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08"/>
  <workbookPr date1904="1"/>
  <mc:AlternateContent xmlns:mc="http://schemas.openxmlformats.org/markup-compatibility/2006">
    <mc:Choice Requires="x15">
      <x15ac:absPath xmlns:x15ac="http://schemas.microsoft.com/office/spreadsheetml/2010/11/ac" url="/Users/benedictecenki-tok/Desktop/Data/_Science-MCSA-DOMES/Nouvelle-Calédonie/_Microsonde/Toulouse_1121/"/>
    </mc:Choice>
  </mc:AlternateContent>
  <xr:revisionPtr revIDLastSave="0" documentId="8_{65B823D2-D9DC-2C4A-90AD-DC66FA9CA7F1}" xr6:coauthVersionLast="45" xr6:coauthVersionMax="45" xr10:uidLastSave="{00000000-0000-0000-0000-000000000000}"/>
  <bookViews>
    <workbookView xWindow="5240" yWindow="460" windowWidth="22020" windowHeight="15360" tabRatio="498" activeTab="1"/>
  </bookViews>
  <sheets>
    <sheet name="Input" sheetId="4" r:id="rId1"/>
    <sheet name="General oxygen" sheetId="1" r:id="rId2"/>
    <sheet name="Biotite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1" l="1"/>
  <c r="C52" i="1" s="1"/>
  <c r="C71" i="1" s="1"/>
  <c r="C90" i="1" s="1"/>
  <c r="C102" i="1"/>
  <c r="G5" i="1"/>
  <c r="G102" i="1" s="1"/>
  <c r="C24" i="1"/>
  <c r="C44" i="1" s="1"/>
  <c r="C62" i="1" s="1"/>
  <c r="C81" i="1" s="1"/>
  <c r="C25" i="1"/>
  <c r="C45" i="1" s="1"/>
  <c r="C63" i="1" s="1"/>
  <c r="C82" i="1" s="1"/>
  <c r="C26" i="1"/>
  <c r="C46" i="1" s="1"/>
  <c r="C64" i="1" s="1"/>
  <c r="C83" i="1" s="1"/>
  <c r="C27" i="1"/>
  <c r="C47" i="1" s="1"/>
  <c r="C65" i="1" s="1"/>
  <c r="C84" i="1" s="1"/>
  <c r="C28" i="1"/>
  <c r="C48" i="1" s="1"/>
  <c r="G4" i="1"/>
  <c r="C29" i="1"/>
  <c r="C49" i="1" s="1"/>
  <c r="C68" i="1" s="1"/>
  <c r="C87" i="1" s="1"/>
  <c r="C30" i="1"/>
  <c r="C31" i="1"/>
  <c r="C51" i="1" s="1"/>
  <c r="C70" i="1" s="1"/>
  <c r="C89" i="1" s="1"/>
  <c r="C33" i="1"/>
  <c r="C53" i="1" s="1"/>
  <c r="C72" i="1" s="1"/>
  <c r="C91" i="1" s="1"/>
  <c r="C34" i="1"/>
  <c r="C54" i="1" s="1"/>
  <c r="C73" i="1" s="1"/>
  <c r="C92" i="1" s="1"/>
  <c r="C35" i="1"/>
  <c r="C55" i="1" s="1"/>
  <c r="C74" i="1" s="1"/>
  <c r="C93" i="1" s="1"/>
  <c r="C16" i="1"/>
  <c r="B16" i="1"/>
  <c r="I55" i="1" s="1"/>
  <c r="I74" i="1" s="1"/>
  <c r="I93" i="1" s="1"/>
  <c r="D32" i="1"/>
  <c r="D52" i="1" s="1"/>
  <c r="D71" i="1" s="1"/>
  <c r="D90" i="1" s="1"/>
  <c r="D24" i="1"/>
  <c r="D44" i="1" s="1"/>
  <c r="D62" i="1" s="1"/>
  <c r="D81" i="1" s="1"/>
  <c r="D25" i="1"/>
  <c r="D45" i="1" s="1"/>
  <c r="D63" i="1" s="1"/>
  <c r="D82" i="1" s="1"/>
  <c r="D26" i="1"/>
  <c r="D46" i="1"/>
  <c r="D64" i="1" s="1"/>
  <c r="D83" i="1" s="1"/>
  <c r="D27" i="1"/>
  <c r="D47" i="1" s="1"/>
  <c r="D65" i="1" s="1"/>
  <c r="D84" i="1" s="1"/>
  <c r="D28" i="1"/>
  <c r="D48" i="1" s="1"/>
  <c r="D29" i="1"/>
  <c r="D49" i="1" s="1"/>
  <c r="D68" i="1" s="1"/>
  <c r="D87" i="1" s="1"/>
  <c r="D30" i="1"/>
  <c r="D50" i="1" s="1"/>
  <c r="D69" i="1" s="1"/>
  <c r="D88" i="1" s="1"/>
  <c r="D31" i="1"/>
  <c r="D51" i="1" s="1"/>
  <c r="D70" i="1" s="1"/>
  <c r="D89" i="1" s="1"/>
  <c r="D33" i="1"/>
  <c r="D53" i="1" s="1"/>
  <c r="D72" i="1" s="1"/>
  <c r="D91" i="1" s="1"/>
  <c r="D34" i="1"/>
  <c r="D54" i="1" s="1"/>
  <c r="D73" i="1" s="1"/>
  <c r="D92" i="1" s="1"/>
  <c r="D35" i="1"/>
  <c r="D55" i="1" s="1"/>
  <c r="D74" i="1" s="1"/>
  <c r="D93" i="1" s="1"/>
  <c r="E32" i="1"/>
  <c r="E52" i="1" s="1"/>
  <c r="E71" i="1" s="1"/>
  <c r="E90" i="1" s="1"/>
  <c r="E24" i="1"/>
  <c r="E44" i="1" s="1"/>
  <c r="E62" i="1" s="1"/>
  <c r="E81" i="1" s="1"/>
  <c r="E25" i="1"/>
  <c r="E45" i="1" s="1"/>
  <c r="E63" i="1" s="1"/>
  <c r="E82" i="1" s="1"/>
  <c r="E26" i="1"/>
  <c r="E46" i="1" s="1"/>
  <c r="E64" i="1" s="1"/>
  <c r="E27" i="1"/>
  <c r="E47" i="1" s="1"/>
  <c r="E65" i="1" s="1"/>
  <c r="E84" i="1" s="1"/>
  <c r="E28" i="1"/>
  <c r="E48" i="1" s="1"/>
  <c r="E67" i="1" s="1"/>
  <c r="E86" i="1" s="1"/>
  <c r="E29" i="1"/>
  <c r="E30" i="1"/>
  <c r="E50" i="1" s="1"/>
  <c r="E69" i="1" s="1"/>
  <c r="E88" i="1" s="1"/>
  <c r="E31" i="1"/>
  <c r="E51" i="1" s="1"/>
  <c r="E70" i="1" s="1"/>
  <c r="E89" i="1" s="1"/>
  <c r="E33" i="1"/>
  <c r="E53" i="1" s="1"/>
  <c r="E72" i="1" s="1"/>
  <c r="E91" i="1" s="1"/>
  <c r="E34" i="1"/>
  <c r="E54" i="1" s="1"/>
  <c r="E73" i="1" s="1"/>
  <c r="E92" i="1" s="1"/>
  <c r="E35" i="1"/>
  <c r="E55" i="1" s="1"/>
  <c r="E74" i="1" s="1"/>
  <c r="E93" i="1" s="1"/>
  <c r="F32" i="1"/>
  <c r="F52" i="1" s="1"/>
  <c r="F71" i="1" s="1"/>
  <c r="F90" i="1" s="1"/>
  <c r="F24" i="1"/>
  <c r="F44" i="1" s="1"/>
  <c r="F62" i="1" s="1"/>
  <c r="F81" i="1" s="1"/>
  <c r="F25" i="1"/>
  <c r="F45" i="1" s="1"/>
  <c r="F63" i="1" s="1"/>
  <c r="F82" i="1" s="1"/>
  <c r="F26" i="1"/>
  <c r="F46" i="1" s="1"/>
  <c r="F64" i="1" s="1"/>
  <c r="F83" i="1" s="1"/>
  <c r="F27" i="1"/>
  <c r="F47" i="1"/>
  <c r="F65" i="1" s="1"/>
  <c r="F84" i="1" s="1"/>
  <c r="F28" i="1"/>
  <c r="F48" i="1"/>
  <c r="F29" i="1"/>
  <c r="F49" i="1" s="1"/>
  <c r="F68" i="1" s="1"/>
  <c r="F87" i="1" s="1"/>
  <c r="F30" i="1"/>
  <c r="F50" i="1" s="1"/>
  <c r="F69" i="1" s="1"/>
  <c r="F88" i="1" s="1"/>
  <c r="F31" i="1"/>
  <c r="F51" i="1" s="1"/>
  <c r="F70" i="1" s="1"/>
  <c r="F89" i="1" s="1"/>
  <c r="F33" i="1"/>
  <c r="F34" i="1"/>
  <c r="F54" i="1" s="1"/>
  <c r="F73" i="1" s="1"/>
  <c r="F92" i="1" s="1"/>
  <c r="F35" i="1"/>
  <c r="F55" i="1" s="1"/>
  <c r="F74" i="1" s="1"/>
  <c r="F93" i="1" s="1"/>
  <c r="G32" i="1"/>
  <c r="G52" i="1"/>
  <c r="G71" i="1" s="1"/>
  <c r="G90" i="1" s="1"/>
  <c r="G24" i="1"/>
  <c r="G44" i="1" s="1"/>
  <c r="G62" i="1" s="1"/>
  <c r="G81" i="1" s="1"/>
  <c r="G25" i="1"/>
  <c r="G45" i="1" s="1"/>
  <c r="G63" i="1" s="1"/>
  <c r="G82" i="1" s="1"/>
  <c r="G26" i="1"/>
  <c r="G46" i="1" s="1"/>
  <c r="G64" i="1" s="1"/>
  <c r="G83" i="1" s="1"/>
  <c r="G27" i="1"/>
  <c r="G47" i="1" s="1"/>
  <c r="G65" i="1"/>
  <c r="G84" i="1" s="1"/>
  <c r="G28" i="1"/>
  <c r="G48" i="1" s="1"/>
  <c r="G66" i="1" s="1"/>
  <c r="G85" i="1" s="1"/>
  <c r="G29" i="1"/>
  <c r="G30" i="1"/>
  <c r="G50" i="1" s="1"/>
  <c r="G69" i="1" s="1"/>
  <c r="G88" i="1" s="1"/>
  <c r="G31" i="1"/>
  <c r="G51" i="1" s="1"/>
  <c r="G70" i="1" s="1"/>
  <c r="G89" i="1" s="1"/>
  <c r="G33" i="1"/>
  <c r="G53" i="1" s="1"/>
  <c r="G72" i="1" s="1"/>
  <c r="G91" i="1" s="1"/>
  <c r="G34" i="1"/>
  <c r="G54" i="1" s="1"/>
  <c r="G73" i="1" s="1"/>
  <c r="G92" i="1" s="1"/>
  <c r="G35" i="1"/>
  <c r="G55" i="1"/>
  <c r="G74" i="1" s="1"/>
  <c r="G93" i="1" s="1"/>
  <c r="H32" i="1"/>
  <c r="H52" i="1" s="1"/>
  <c r="H71" i="1" s="1"/>
  <c r="H90" i="1" s="1"/>
  <c r="H24" i="1"/>
  <c r="H44" i="1" s="1"/>
  <c r="H62" i="1" s="1"/>
  <c r="H81" i="1" s="1"/>
  <c r="H25" i="1"/>
  <c r="H45" i="1" s="1"/>
  <c r="H63" i="1" s="1"/>
  <c r="H82" i="1" s="1"/>
  <c r="H26" i="1"/>
  <c r="H46" i="1"/>
  <c r="H64" i="1" s="1"/>
  <c r="H83" i="1" s="1"/>
  <c r="H27" i="1"/>
  <c r="H47" i="1"/>
  <c r="H28" i="1"/>
  <c r="H48" i="1" s="1"/>
  <c r="H29" i="1"/>
  <c r="H49" i="1" s="1"/>
  <c r="H68" i="1" s="1"/>
  <c r="H87" i="1" s="1"/>
  <c r="H30" i="1"/>
  <c r="H50" i="1" s="1"/>
  <c r="H69" i="1" s="1"/>
  <c r="H88" i="1" s="1"/>
  <c r="H31" i="1"/>
  <c r="H51" i="1" s="1"/>
  <c r="H70" i="1" s="1"/>
  <c r="H89" i="1" s="1"/>
  <c r="H33" i="1"/>
  <c r="H53" i="1" s="1"/>
  <c r="H72" i="1" s="1"/>
  <c r="H91" i="1" s="1"/>
  <c r="H34" i="1"/>
  <c r="H54" i="1" s="1"/>
  <c r="H73" i="1" s="1"/>
  <c r="H92" i="1" s="1"/>
  <c r="H35" i="1"/>
  <c r="I32" i="1"/>
  <c r="I52" i="1" s="1"/>
  <c r="I71" i="1" s="1"/>
  <c r="I90" i="1" s="1"/>
  <c r="I24" i="1"/>
  <c r="I25" i="1"/>
  <c r="I45" i="1" s="1"/>
  <c r="I63" i="1" s="1"/>
  <c r="I82" i="1" s="1"/>
  <c r="I26" i="1"/>
  <c r="I46" i="1" s="1"/>
  <c r="I64" i="1" s="1"/>
  <c r="I83" i="1" s="1"/>
  <c r="I27" i="1"/>
  <c r="I47" i="1" s="1"/>
  <c r="I65" i="1" s="1"/>
  <c r="I84" i="1" s="1"/>
  <c r="I28" i="1"/>
  <c r="I48" i="1" s="1"/>
  <c r="I29" i="1"/>
  <c r="I49" i="1" s="1"/>
  <c r="I68" i="1"/>
  <c r="I87" i="1" s="1"/>
  <c r="I30" i="1"/>
  <c r="I50" i="1" s="1"/>
  <c r="I69" i="1" s="1"/>
  <c r="I88" i="1" s="1"/>
  <c r="I31" i="1"/>
  <c r="I51" i="1" s="1"/>
  <c r="I70" i="1" s="1"/>
  <c r="I89" i="1" s="1"/>
  <c r="I33" i="1"/>
  <c r="I53" i="1" s="1"/>
  <c r="I72" i="1" s="1"/>
  <c r="I91" i="1" s="1"/>
  <c r="I34" i="1"/>
  <c r="I54" i="1" s="1"/>
  <c r="I73" i="1" s="1"/>
  <c r="I92" i="1" s="1"/>
  <c r="I35" i="1"/>
  <c r="J32" i="1"/>
  <c r="J52" i="1" s="1"/>
  <c r="J71" i="1" s="1"/>
  <c r="J90" i="1" s="1"/>
  <c r="J24" i="1"/>
  <c r="J44" i="1" s="1"/>
  <c r="J62" i="1" s="1"/>
  <c r="J81" i="1" s="1"/>
  <c r="J25" i="1"/>
  <c r="J45" i="1" s="1"/>
  <c r="J63" i="1" s="1"/>
  <c r="J82" i="1" s="1"/>
  <c r="J26" i="1"/>
  <c r="J46" i="1" s="1"/>
  <c r="J64" i="1" s="1"/>
  <c r="J83" i="1" s="1"/>
  <c r="J27" i="1"/>
  <c r="J47" i="1" s="1"/>
  <c r="J28" i="1"/>
  <c r="J48" i="1"/>
  <c r="J66" i="1" s="1"/>
  <c r="J85" i="1" s="1"/>
  <c r="J29" i="1"/>
  <c r="J49" i="1" s="1"/>
  <c r="J68" i="1"/>
  <c r="J87" i="1" s="1"/>
  <c r="J30" i="1"/>
  <c r="J50" i="1" s="1"/>
  <c r="J69" i="1" s="1"/>
  <c r="J88" i="1" s="1"/>
  <c r="J31" i="1"/>
  <c r="J51" i="1" s="1"/>
  <c r="J70" i="1" s="1"/>
  <c r="J89" i="1" s="1"/>
  <c r="J33" i="1"/>
  <c r="J53" i="1" s="1"/>
  <c r="J72" i="1" s="1"/>
  <c r="J91" i="1" s="1"/>
  <c r="J34" i="1"/>
  <c r="J54" i="1" s="1"/>
  <c r="J73" i="1" s="1"/>
  <c r="J92" i="1" s="1"/>
  <c r="J35" i="1"/>
  <c r="K32" i="1"/>
  <c r="K24" i="1"/>
  <c r="K44" i="1" s="1"/>
  <c r="K62" i="1" s="1"/>
  <c r="K81" i="1" s="1"/>
  <c r="K25" i="1"/>
  <c r="K45" i="1" s="1"/>
  <c r="K63" i="1" s="1"/>
  <c r="K82" i="1" s="1"/>
  <c r="K26" i="1"/>
  <c r="K46" i="1" s="1"/>
  <c r="K64" i="1" s="1"/>
  <c r="K83" i="1" s="1"/>
  <c r="K27" i="1"/>
  <c r="K47" i="1" s="1"/>
  <c r="K65" i="1" s="1"/>
  <c r="K84" i="1" s="1"/>
  <c r="K28" i="1"/>
  <c r="K48" i="1"/>
  <c r="K29" i="1"/>
  <c r="K49" i="1" s="1"/>
  <c r="K68" i="1" s="1"/>
  <c r="K87" i="1" s="1"/>
  <c r="K30" i="1"/>
  <c r="K50" i="1" s="1"/>
  <c r="K69" i="1" s="1"/>
  <c r="K88" i="1" s="1"/>
  <c r="K31" i="1"/>
  <c r="K51" i="1" s="1"/>
  <c r="K70" i="1" s="1"/>
  <c r="K89" i="1" s="1"/>
  <c r="K33" i="1"/>
  <c r="K53" i="1" s="1"/>
  <c r="K72" i="1" s="1"/>
  <c r="K91" i="1" s="1"/>
  <c r="K34" i="1"/>
  <c r="K54" i="1" s="1"/>
  <c r="K73" i="1" s="1"/>
  <c r="K92" i="1" s="1"/>
  <c r="K35" i="1"/>
  <c r="K55" i="1" s="1"/>
  <c r="K74" i="1" s="1"/>
  <c r="K93" i="1" s="1"/>
  <c r="L32" i="1"/>
  <c r="L52" i="1"/>
  <c r="L71" i="1" s="1"/>
  <c r="L90" i="1" s="1"/>
  <c r="L24" i="1"/>
  <c r="L44" i="1" s="1"/>
  <c r="L62" i="1" s="1"/>
  <c r="L25" i="1"/>
  <c r="L45" i="1" s="1"/>
  <c r="L26" i="1"/>
  <c r="L46" i="1" s="1"/>
  <c r="L64" i="1" s="1"/>
  <c r="L83" i="1" s="1"/>
  <c r="L27" i="1"/>
  <c r="L47" i="1" s="1"/>
  <c r="L65" i="1" s="1"/>
  <c r="L84" i="1" s="1"/>
  <c r="L28" i="1"/>
  <c r="L48" i="1" s="1"/>
  <c r="L67" i="1" s="1"/>
  <c r="L86" i="1" s="1"/>
  <c r="L29" i="1"/>
  <c r="L30" i="1"/>
  <c r="L50" i="1" s="1"/>
  <c r="L69" i="1" s="1"/>
  <c r="L88" i="1" s="1"/>
  <c r="L31" i="1"/>
  <c r="L51" i="1" s="1"/>
  <c r="L70" i="1" s="1"/>
  <c r="L89" i="1" s="1"/>
  <c r="L33" i="1"/>
  <c r="L53" i="1" s="1"/>
  <c r="L72" i="1" s="1"/>
  <c r="L91" i="1" s="1"/>
  <c r="L34" i="1"/>
  <c r="L54" i="1" s="1"/>
  <c r="L73" i="1" s="1"/>
  <c r="L92" i="1" s="1"/>
  <c r="L35" i="1"/>
  <c r="M32" i="1"/>
  <c r="M52" i="1" s="1"/>
  <c r="M71" i="1" s="1"/>
  <c r="M90" i="1" s="1"/>
  <c r="M24" i="1"/>
  <c r="M44" i="1"/>
  <c r="M62" i="1" s="1"/>
  <c r="M25" i="1"/>
  <c r="M45" i="1" s="1"/>
  <c r="M63" i="1" s="1"/>
  <c r="M82" i="1" s="1"/>
  <c r="M26" i="1"/>
  <c r="M46" i="1" s="1"/>
  <c r="M64" i="1" s="1"/>
  <c r="M83" i="1" s="1"/>
  <c r="M27" i="1"/>
  <c r="M47" i="1"/>
  <c r="M65" i="1" s="1"/>
  <c r="M84" i="1" s="1"/>
  <c r="M28" i="1"/>
  <c r="M48" i="1" s="1"/>
  <c r="M67" i="1" s="1"/>
  <c r="M86" i="1" s="1"/>
  <c r="M29" i="1"/>
  <c r="M49" i="1" s="1"/>
  <c r="M68" i="1" s="1"/>
  <c r="M87" i="1" s="1"/>
  <c r="M30" i="1"/>
  <c r="M50" i="1" s="1"/>
  <c r="M69" i="1" s="1"/>
  <c r="M88" i="1" s="1"/>
  <c r="M31" i="1"/>
  <c r="M51" i="1" s="1"/>
  <c r="M70" i="1" s="1"/>
  <c r="M89" i="1" s="1"/>
  <c r="M33" i="1"/>
  <c r="M34" i="1"/>
  <c r="M54" i="1" s="1"/>
  <c r="M73" i="1" s="1"/>
  <c r="M92" i="1" s="1"/>
  <c r="M35" i="1"/>
  <c r="B34" i="1"/>
  <c r="B54" i="1" s="1"/>
  <c r="B73" i="1" s="1"/>
  <c r="B92" i="1" s="1"/>
  <c r="B24" i="1"/>
  <c r="B44" i="1" s="1"/>
  <c r="B62" i="1" s="1"/>
  <c r="B81" i="1" s="1"/>
  <c r="B25" i="1"/>
  <c r="B45" i="1" s="1"/>
  <c r="B63" i="1" s="1"/>
  <c r="B82" i="1" s="1"/>
  <c r="B26" i="1"/>
  <c r="B46" i="1" s="1"/>
  <c r="B27" i="1"/>
  <c r="B47" i="1" s="1"/>
  <c r="B65" i="1" s="1"/>
  <c r="B84" i="1" s="1"/>
  <c r="B28" i="1"/>
  <c r="B48" i="1" s="1"/>
  <c r="B66" i="1" s="1"/>
  <c r="B85" i="1" s="1"/>
  <c r="B29" i="1"/>
  <c r="B49" i="1" s="1"/>
  <c r="B68" i="1" s="1"/>
  <c r="B87" i="1" s="1"/>
  <c r="B30" i="1"/>
  <c r="B50" i="1" s="1"/>
  <c r="B69" i="1" s="1"/>
  <c r="B88" i="1" s="1"/>
  <c r="B31" i="1"/>
  <c r="B51" i="1" s="1"/>
  <c r="B70" i="1" s="1"/>
  <c r="B89" i="1" s="1"/>
  <c r="B32" i="1"/>
  <c r="B52" i="1" s="1"/>
  <c r="B71" i="1" s="1"/>
  <c r="B90" i="1" s="1"/>
  <c r="B33" i="1"/>
  <c r="B53" i="1" s="1"/>
  <c r="B72" i="1" s="1"/>
  <c r="B91" i="1" s="1"/>
  <c r="B35" i="1"/>
  <c r="A14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C44" i="4"/>
  <c r="C45" i="4"/>
  <c r="C46" i="4"/>
  <c r="C47" i="4"/>
  <c r="C48" i="4"/>
  <c r="C49" i="4"/>
  <c r="C50" i="4"/>
  <c r="C51" i="4"/>
  <c r="G3" i="1"/>
  <c r="A16" i="1"/>
  <c r="D16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N24" i="1"/>
  <c r="O24" i="1"/>
  <c r="O44" i="1" s="1"/>
  <c r="O62" i="1" s="1"/>
  <c r="O81" i="1" s="1"/>
  <c r="P24" i="1"/>
  <c r="P44" i="1" s="1"/>
  <c r="P62" i="1" s="1"/>
  <c r="Q24" i="1"/>
  <c r="Q44" i="1" s="1"/>
  <c r="Q62" i="1" s="1"/>
  <c r="R24" i="1"/>
  <c r="R44" i="1" s="1"/>
  <c r="S24" i="1"/>
  <c r="S44" i="1" s="1"/>
  <c r="S62" i="1" s="1"/>
  <c r="S81" i="1" s="1"/>
  <c r="T24" i="1"/>
  <c r="T44" i="1" s="1"/>
  <c r="T62" i="1" s="1"/>
  <c r="U24" i="1"/>
  <c r="V24" i="1"/>
  <c r="W24" i="1"/>
  <c r="W44" i="1" s="1"/>
  <c r="X24" i="1"/>
  <c r="Y24" i="1"/>
  <c r="Z24" i="1"/>
  <c r="AA24" i="1"/>
  <c r="AA40" i="1" s="1"/>
  <c r="AB24" i="1"/>
  <c r="AC24" i="1"/>
  <c r="AD24" i="1"/>
  <c r="N25" i="1"/>
  <c r="N45" i="1" s="1"/>
  <c r="N63" i="1" s="1"/>
  <c r="N82" i="1" s="1"/>
  <c r="O25" i="1"/>
  <c r="O45" i="1" s="1"/>
  <c r="O63" i="1" s="1"/>
  <c r="O82" i="1" s="1"/>
  <c r="P25" i="1"/>
  <c r="P45" i="1" s="1"/>
  <c r="P63" i="1" s="1"/>
  <c r="P82" i="1" s="1"/>
  <c r="Q25" i="1"/>
  <c r="R25" i="1"/>
  <c r="R45" i="1" s="1"/>
  <c r="R63" i="1" s="1"/>
  <c r="R82" i="1" s="1"/>
  <c r="S25" i="1"/>
  <c r="T25" i="1"/>
  <c r="T45" i="1" s="1"/>
  <c r="T63" i="1" s="1"/>
  <c r="T82" i="1" s="1"/>
  <c r="U25" i="1"/>
  <c r="V25" i="1"/>
  <c r="V45" i="1" s="1"/>
  <c r="V63" i="1" s="1"/>
  <c r="V82" i="1" s="1"/>
  <c r="W25" i="1"/>
  <c r="W45" i="1" s="1"/>
  <c r="W63" i="1" s="1"/>
  <c r="W82" i="1" s="1"/>
  <c r="X25" i="1"/>
  <c r="Y25" i="1"/>
  <c r="Z25" i="1"/>
  <c r="Z45" i="1" s="1"/>
  <c r="AA25" i="1"/>
  <c r="AB25" i="1"/>
  <c r="AC25" i="1"/>
  <c r="AD25" i="1"/>
  <c r="N26" i="1"/>
  <c r="N46" i="1" s="1"/>
  <c r="N64" i="1" s="1"/>
  <c r="N83" i="1" s="1"/>
  <c r="O26" i="1"/>
  <c r="O46" i="1" s="1"/>
  <c r="P26" i="1"/>
  <c r="Q26" i="1"/>
  <c r="Q46" i="1" s="1"/>
  <c r="Q64" i="1" s="1"/>
  <c r="Q83" i="1" s="1"/>
  <c r="R26" i="1"/>
  <c r="S26" i="1"/>
  <c r="T26" i="1"/>
  <c r="U26" i="1"/>
  <c r="U46" i="1" s="1"/>
  <c r="U64" i="1" s="1"/>
  <c r="U83" i="1" s="1"/>
  <c r="V26" i="1"/>
  <c r="V46" i="1" s="1"/>
  <c r="V64" i="1" s="1"/>
  <c r="V83" i="1" s="1"/>
  <c r="W26" i="1"/>
  <c r="W46" i="1" s="1"/>
  <c r="W64" i="1" s="1"/>
  <c r="W83" i="1" s="1"/>
  <c r="X26" i="1"/>
  <c r="Y26" i="1"/>
  <c r="Y46" i="1" s="1"/>
  <c r="Y64" i="1" s="1"/>
  <c r="Y83" i="1" s="1"/>
  <c r="Z26" i="1"/>
  <c r="AA26" i="1"/>
  <c r="AA46" i="1" s="1"/>
  <c r="AA64" i="1" s="1"/>
  <c r="AA83" i="1" s="1"/>
  <c r="AB26" i="1"/>
  <c r="AC26" i="1"/>
  <c r="AC46" i="1" s="1"/>
  <c r="AC64" i="1" s="1"/>
  <c r="AC83" i="1" s="1"/>
  <c r="AD26" i="1"/>
  <c r="N27" i="1"/>
  <c r="N47" i="1" s="1"/>
  <c r="N65" i="1" s="1"/>
  <c r="N84" i="1" s="1"/>
  <c r="O27" i="1"/>
  <c r="P27" i="1"/>
  <c r="P47" i="1" s="1"/>
  <c r="P65" i="1" s="1"/>
  <c r="P84" i="1" s="1"/>
  <c r="Q27" i="1"/>
  <c r="R27" i="1"/>
  <c r="R47" i="1" s="1"/>
  <c r="R65" i="1" s="1"/>
  <c r="R84" i="1" s="1"/>
  <c r="S27" i="1"/>
  <c r="T27" i="1"/>
  <c r="T47" i="1" s="1"/>
  <c r="T65" i="1" s="1"/>
  <c r="T84" i="1" s="1"/>
  <c r="U27" i="1"/>
  <c r="U47" i="1" s="1"/>
  <c r="U65" i="1" s="1"/>
  <c r="U84" i="1" s="1"/>
  <c r="V27" i="1"/>
  <c r="V47" i="1" s="1"/>
  <c r="V65" i="1" s="1"/>
  <c r="V84" i="1" s="1"/>
  <c r="W27" i="1"/>
  <c r="X27" i="1"/>
  <c r="X47" i="1" s="1"/>
  <c r="X65" i="1" s="1"/>
  <c r="X84" i="1" s="1"/>
  <c r="Y27" i="1"/>
  <c r="Z27" i="1"/>
  <c r="Z47" i="1" s="1"/>
  <c r="Z65" i="1" s="1"/>
  <c r="Z84" i="1" s="1"/>
  <c r="AA27" i="1"/>
  <c r="AB27" i="1"/>
  <c r="AB47" i="1" s="1"/>
  <c r="AB65" i="1" s="1"/>
  <c r="AB84" i="1" s="1"/>
  <c r="AC27" i="1"/>
  <c r="AD27" i="1"/>
  <c r="AD47" i="1" s="1"/>
  <c r="AD65" i="1" s="1"/>
  <c r="AD84" i="1" s="1"/>
  <c r="N28" i="1"/>
  <c r="N48" i="1" s="1"/>
  <c r="O28" i="1"/>
  <c r="O48" i="1" s="1"/>
  <c r="O66" i="1" s="1"/>
  <c r="O85" i="1" s="1"/>
  <c r="P28" i="1"/>
  <c r="P48" i="1" s="1"/>
  <c r="P67" i="1" s="1"/>
  <c r="P86" i="1" s="1"/>
  <c r="Q28" i="1"/>
  <c r="R28" i="1"/>
  <c r="R48" i="1" s="1"/>
  <c r="S28" i="1"/>
  <c r="S48" i="1" s="1"/>
  <c r="S66" i="1" s="1"/>
  <c r="S85" i="1" s="1"/>
  <c r="T28" i="1"/>
  <c r="T48" i="1" s="1"/>
  <c r="T67" i="1" s="1"/>
  <c r="T86" i="1" s="1"/>
  <c r="U28" i="1"/>
  <c r="U48" i="1" s="1"/>
  <c r="V28" i="1"/>
  <c r="V48" i="1" s="1"/>
  <c r="W28" i="1"/>
  <c r="W48" i="1" s="1"/>
  <c r="X28" i="1"/>
  <c r="Y28" i="1"/>
  <c r="Z28" i="1"/>
  <c r="AA28" i="1"/>
  <c r="AA48" i="1" s="1"/>
  <c r="AB28" i="1"/>
  <c r="AC28" i="1"/>
  <c r="AD28" i="1"/>
  <c r="N29" i="1"/>
  <c r="N49" i="1" s="1"/>
  <c r="N68" i="1" s="1"/>
  <c r="N87" i="1" s="1"/>
  <c r="O29" i="1"/>
  <c r="O49" i="1" s="1"/>
  <c r="O68" i="1" s="1"/>
  <c r="O87" i="1" s="1"/>
  <c r="P29" i="1"/>
  <c r="Q29" i="1"/>
  <c r="Q49" i="1" s="1"/>
  <c r="Q68" i="1" s="1"/>
  <c r="Q87" i="1" s="1"/>
  <c r="R29" i="1"/>
  <c r="R49" i="1" s="1"/>
  <c r="R68" i="1" s="1"/>
  <c r="R87" i="1" s="1"/>
  <c r="S29" i="1"/>
  <c r="S49" i="1" s="1"/>
  <c r="S68" i="1" s="1"/>
  <c r="S87" i="1" s="1"/>
  <c r="T29" i="1"/>
  <c r="T49" i="1" s="1"/>
  <c r="T68" i="1" s="1"/>
  <c r="T87" i="1" s="1"/>
  <c r="U29" i="1"/>
  <c r="U49" i="1" s="1"/>
  <c r="U68" i="1" s="1"/>
  <c r="U87" i="1" s="1"/>
  <c r="V29" i="1"/>
  <c r="V49" i="1" s="1"/>
  <c r="V68" i="1" s="1"/>
  <c r="V87" i="1" s="1"/>
  <c r="W29" i="1"/>
  <c r="W49" i="1" s="1"/>
  <c r="W68" i="1" s="1"/>
  <c r="W87" i="1" s="1"/>
  <c r="X29" i="1"/>
  <c r="X49" i="1" s="1"/>
  <c r="X68" i="1" s="1"/>
  <c r="X87" i="1" s="1"/>
  <c r="Y29" i="1"/>
  <c r="Z29" i="1"/>
  <c r="Z49" i="1" s="1"/>
  <c r="Z68" i="1" s="1"/>
  <c r="Z87" i="1" s="1"/>
  <c r="AA29" i="1"/>
  <c r="AB29" i="1"/>
  <c r="AB49" i="1" s="1"/>
  <c r="AB68" i="1" s="1"/>
  <c r="AB87" i="1" s="1"/>
  <c r="AC29" i="1"/>
  <c r="AD29" i="1"/>
  <c r="N30" i="1"/>
  <c r="N50" i="1" s="1"/>
  <c r="N69" i="1" s="1"/>
  <c r="N88" i="1" s="1"/>
  <c r="O30" i="1"/>
  <c r="O50" i="1" s="1"/>
  <c r="O69" i="1" s="1"/>
  <c r="O88" i="1" s="1"/>
  <c r="P30" i="1"/>
  <c r="P50" i="1" s="1"/>
  <c r="P69" i="1" s="1"/>
  <c r="P88" i="1" s="1"/>
  <c r="Q30" i="1"/>
  <c r="Q50" i="1" s="1"/>
  <c r="Q69" i="1" s="1"/>
  <c r="Q88" i="1" s="1"/>
  <c r="R30" i="1"/>
  <c r="R50" i="1" s="1"/>
  <c r="R69" i="1" s="1"/>
  <c r="R88" i="1" s="1"/>
  <c r="S30" i="1"/>
  <c r="S50" i="1" s="1"/>
  <c r="S69" i="1" s="1"/>
  <c r="S88" i="1" s="1"/>
  <c r="T30" i="1"/>
  <c r="T50" i="1" s="1"/>
  <c r="T69" i="1" s="1"/>
  <c r="T88" i="1" s="1"/>
  <c r="U30" i="1"/>
  <c r="U50" i="1" s="1"/>
  <c r="U69" i="1" s="1"/>
  <c r="U88" i="1" s="1"/>
  <c r="V30" i="1"/>
  <c r="V50" i="1" s="1"/>
  <c r="V69" i="1" s="1"/>
  <c r="V88" i="1" s="1"/>
  <c r="W30" i="1"/>
  <c r="W50" i="1" s="1"/>
  <c r="W69" i="1" s="1"/>
  <c r="W88" i="1" s="1"/>
  <c r="X30" i="1"/>
  <c r="Y30" i="1"/>
  <c r="Z30" i="1"/>
  <c r="AA30" i="1"/>
  <c r="AA50" i="1" s="1"/>
  <c r="AA69" i="1" s="1"/>
  <c r="AA88" i="1" s="1"/>
  <c r="AB30" i="1"/>
  <c r="AC30" i="1"/>
  <c r="AC50" i="1" s="1"/>
  <c r="AC69" i="1" s="1"/>
  <c r="AC88" i="1" s="1"/>
  <c r="AD30" i="1"/>
  <c r="N31" i="1"/>
  <c r="N51" i="1" s="1"/>
  <c r="N70" i="1" s="1"/>
  <c r="N89" i="1" s="1"/>
  <c r="O31" i="1"/>
  <c r="O51" i="1" s="1"/>
  <c r="O70" i="1" s="1"/>
  <c r="O89" i="1" s="1"/>
  <c r="P31" i="1"/>
  <c r="P51" i="1" s="1"/>
  <c r="P70" i="1" s="1"/>
  <c r="P89" i="1" s="1"/>
  <c r="Q31" i="1"/>
  <c r="Q51" i="1" s="1"/>
  <c r="Q70" i="1" s="1"/>
  <c r="Q89" i="1" s="1"/>
  <c r="R31" i="1"/>
  <c r="R51" i="1" s="1"/>
  <c r="R70" i="1" s="1"/>
  <c r="R89" i="1" s="1"/>
  <c r="S31" i="1"/>
  <c r="S51" i="1" s="1"/>
  <c r="S70" i="1" s="1"/>
  <c r="S89" i="1" s="1"/>
  <c r="T31" i="1"/>
  <c r="T51" i="1" s="1"/>
  <c r="T70" i="1" s="1"/>
  <c r="T89" i="1" s="1"/>
  <c r="U31" i="1"/>
  <c r="U51" i="1" s="1"/>
  <c r="U70" i="1" s="1"/>
  <c r="U89" i="1" s="1"/>
  <c r="V31" i="1"/>
  <c r="V51" i="1" s="1"/>
  <c r="V70" i="1" s="1"/>
  <c r="V89" i="1" s="1"/>
  <c r="W31" i="1"/>
  <c r="W51" i="1" s="1"/>
  <c r="W70" i="1" s="1"/>
  <c r="W89" i="1" s="1"/>
  <c r="X31" i="1"/>
  <c r="X51" i="1" s="1"/>
  <c r="X70" i="1" s="1"/>
  <c r="X89" i="1" s="1"/>
  <c r="Y31" i="1"/>
  <c r="Z31" i="1"/>
  <c r="Z51" i="1" s="1"/>
  <c r="Z70" i="1" s="1"/>
  <c r="Z89" i="1" s="1"/>
  <c r="AA31" i="1"/>
  <c r="AB31" i="1"/>
  <c r="AB51" i="1" s="1"/>
  <c r="AB70" i="1" s="1"/>
  <c r="AB89" i="1" s="1"/>
  <c r="AC31" i="1"/>
  <c r="AD31" i="1"/>
  <c r="AD51" i="1" s="1"/>
  <c r="AD70" i="1" s="1"/>
  <c r="AD89" i="1" s="1"/>
  <c r="N32" i="1"/>
  <c r="N52" i="1" s="1"/>
  <c r="N71" i="1" s="1"/>
  <c r="N90" i="1" s="1"/>
  <c r="O32" i="1"/>
  <c r="O52" i="1" s="1"/>
  <c r="O71" i="1" s="1"/>
  <c r="O90" i="1" s="1"/>
  <c r="P32" i="1"/>
  <c r="P52" i="1" s="1"/>
  <c r="P71" i="1" s="1"/>
  <c r="P90" i="1" s="1"/>
  <c r="Q32" i="1"/>
  <c r="R32" i="1"/>
  <c r="R52" i="1" s="1"/>
  <c r="R71" i="1" s="1"/>
  <c r="R90" i="1" s="1"/>
  <c r="S32" i="1"/>
  <c r="S52" i="1" s="1"/>
  <c r="S71" i="1" s="1"/>
  <c r="S90" i="1" s="1"/>
  <c r="T32" i="1"/>
  <c r="T52" i="1" s="1"/>
  <c r="T71" i="1" s="1"/>
  <c r="T90" i="1" s="1"/>
  <c r="U32" i="1"/>
  <c r="U52" i="1" s="1"/>
  <c r="U71" i="1" s="1"/>
  <c r="U90" i="1" s="1"/>
  <c r="V32" i="1"/>
  <c r="V52" i="1" s="1"/>
  <c r="V71" i="1" s="1"/>
  <c r="V90" i="1" s="1"/>
  <c r="W32" i="1"/>
  <c r="W52" i="1" s="1"/>
  <c r="W71" i="1" s="1"/>
  <c r="W90" i="1" s="1"/>
  <c r="X32" i="1"/>
  <c r="Y32" i="1"/>
  <c r="Y52" i="1" s="1"/>
  <c r="Y71" i="1" s="1"/>
  <c r="Y90" i="1" s="1"/>
  <c r="Z32" i="1"/>
  <c r="AA32" i="1"/>
  <c r="AA52" i="1" s="1"/>
  <c r="AA71" i="1" s="1"/>
  <c r="AA90" i="1" s="1"/>
  <c r="AB32" i="1"/>
  <c r="AC32" i="1"/>
  <c r="AC52" i="1" s="1"/>
  <c r="AC71" i="1" s="1"/>
  <c r="AC90" i="1" s="1"/>
  <c r="AD32" i="1"/>
  <c r="N33" i="1"/>
  <c r="N53" i="1" s="1"/>
  <c r="N72" i="1" s="1"/>
  <c r="N91" i="1" s="1"/>
  <c r="O33" i="1"/>
  <c r="O53" i="1" s="1"/>
  <c r="O72" i="1" s="1"/>
  <c r="O91" i="1" s="1"/>
  <c r="P33" i="1"/>
  <c r="Q33" i="1"/>
  <c r="Q53" i="1" s="1"/>
  <c r="Q72" i="1" s="1"/>
  <c r="Q91" i="1" s="1"/>
  <c r="R33" i="1"/>
  <c r="R53" i="1" s="1"/>
  <c r="R72" i="1" s="1"/>
  <c r="R91" i="1" s="1"/>
  <c r="S33" i="1"/>
  <c r="S53" i="1" s="1"/>
  <c r="S72" i="1" s="1"/>
  <c r="S91" i="1" s="1"/>
  <c r="T33" i="1"/>
  <c r="T53" i="1" s="1"/>
  <c r="T72" i="1" s="1"/>
  <c r="T91" i="1" s="1"/>
  <c r="U33" i="1"/>
  <c r="U53" i="1" s="1"/>
  <c r="U72" i="1" s="1"/>
  <c r="U91" i="1" s="1"/>
  <c r="V33" i="1"/>
  <c r="V53" i="1" s="1"/>
  <c r="V72" i="1" s="1"/>
  <c r="V91" i="1" s="1"/>
  <c r="W33" i="1"/>
  <c r="W53" i="1" s="1"/>
  <c r="W72" i="1" s="1"/>
  <c r="W91" i="1" s="1"/>
  <c r="X33" i="1"/>
  <c r="X53" i="1" s="1"/>
  <c r="X72" i="1" s="1"/>
  <c r="X91" i="1" s="1"/>
  <c r="Y33" i="1"/>
  <c r="Z33" i="1"/>
  <c r="AA33" i="1"/>
  <c r="AB33" i="1"/>
  <c r="AB53" i="1" s="1"/>
  <c r="AB72" i="1" s="1"/>
  <c r="AB91" i="1" s="1"/>
  <c r="AC33" i="1"/>
  <c r="AD33" i="1"/>
  <c r="AD53" i="1" s="1"/>
  <c r="AD72" i="1" s="1"/>
  <c r="AD91" i="1" s="1"/>
  <c r="N34" i="1"/>
  <c r="N54" i="1" s="1"/>
  <c r="N73" i="1" s="1"/>
  <c r="N92" i="1" s="1"/>
  <c r="O34" i="1"/>
  <c r="O54" i="1" s="1"/>
  <c r="O73" i="1" s="1"/>
  <c r="O92" i="1" s="1"/>
  <c r="P34" i="1"/>
  <c r="P54" i="1" s="1"/>
  <c r="P73" i="1" s="1"/>
  <c r="P92" i="1" s="1"/>
  <c r="Q34" i="1"/>
  <c r="R34" i="1"/>
  <c r="R54" i="1" s="1"/>
  <c r="R73" i="1" s="1"/>
  <c r="R92" i="1" s="1"/>
  <c r="S34" i="1"/>
  <c r="S54" i="1" s="1"/>
  <c r="S73" i="1" s="1"/>
  <c r="S92" i="1" s="1"/>
  <c r="T34" i="1"/>
  <c r="T54" i="1" s="1"/>
  <c r="T73" i="1" s="1"/>
  <c r="T92" i="1" s="1"/>
  <c r="U34" i="1"/>
  <c r="U54" i="1" s="1"/>
  <c r="U73" i="1" s="1"/>
  <c r="U92" i="1" s="1"/>
  <c r="V34" i="1"/>
  <c r="V54" i="1" s="1"/>
  <c r="V73" i="1" s="1"/>
  <c r="V92" i="1" s="1"/>
  <c r="W34" i="1"/>
  <c r="W54" i="1" s="1"/>
  <c r="W73" i="1" s="1"/>
  <c r="W92" i="1" s="1"/>
  <c r="X34" i="1"/>
  <c r="Y34" i="1"/>
  <c r="Y54" i="1" s="1"/>
  <c r="Y73" i="1" s="1"/>
  <c r="Y92" i="1" s="1"/>
  <c r="Z34" i="1"/>
  <c r="AA34" i="1"/>
  <c r="AA54" i="1" s="1"/>
  <c r="AA73" i="1" s="1"/>
  <c r="AA92" i="1" s="1"/>
  <c r="AB34" i="1"/>
  <c r="AC34" i="1"/>
  <c r="AC54" i="1" s="1"/>
  <c r="AC73" i="1" s="1"/>
  <c r="AC92" i="1" s="1"/>
  <c r="AD34" i="1"/>
  <c r="A35" i="1"/>
  <c r="N35" i="1"/>
  <c r="O35" i="1"/>
  <c r="O55" i="1" s="1"/>
  <c r="O74" i="1" s="1"/>
  <c r="O93" i="1" s="1"/>
  <c r="P35" i="1"/>
  <c r="Q35" i="1"/>
  <c r="R35" i="1"/>
  <c r="S35" i="1"/>
  <c r="S55" i="1" s="1"/>
  <c r="S74" i="1" s="1"/>
  <c r="S93" i="1" s="1"/>
  <c r="T35" i="1"/>
  <c r="U35" i="1"/>
  <c r="V35" i="1"/>
  <c r="W35" i="1"/>
  <c r="W55" i="1" s="1"/>
  <c r="W74" i="1" s="1"/>
  <c r="W93" i="1" s="1"/>
  <c r="X35" i="1"/>
  <c r="Y35" i="1"/>
  <c r="Z35" i="1"/>
  <c r="AA35" i="1"/>
  <c r="AA55" i="1" s="1"/>
  <c r="AA74" i="1" s="1"/>
  <c r="AA93" i="1" s="1"/>
  <c r="AB35" i="1"/>
  <c r="AC35" i="1"/>
  <c r="AD35" i="1"/>
  <c r="B36" i="1"/>
  <c r="B56" i="1" s="1"/>
  <c r="C36" i="1"/>
  <c r="C56" i="1" s="1"/>
  <c r="D36" i="1"/>
  <c r="E36" i="1"/>
  <c r="E56" i="1" s="1"/>
  <c r="F36" i="1"/>
  <c r="F56" i="1" s="1"/>
  <c r="G36" i="1"/>
  <c r="G56" i="1" s="1"/>
  <c r="H36" i="1"/>
  <c r="I36" i="1"/>
  <c r="I56" i="1" s="1"/>
  <c r="J36" i="1"/>
  <c r="J56" i="1" s="1"/>
  <c r="K36" i="1"/>
  <c r="K56" i="1" s="1"/>
  <c r="L36" i="1"/>
  <c r="M36" i="1"/>
  <c r="M56" i="1" s="1"/>
  <c r="N36" i="1"/>
  <c r="N56" i="1" s="1"/>
  <c r="O36" i="1"/>
  <c r="O56" i="1" s="1"/>
  <c r="P36" i="1"/>
  <c r="Q36" i="1"/>
  <c r="Q56" i="1" s="1"/>
  <c r="R36" i="1"/>
  <c r="R56" i="1" s="1"/>
  <c r="S36" i="1"/>
  <c r="S56" i="1" s="1"/>
  <c r="T36" i="1"/>
  <c r="U36" i="1"/>
  <c r="U56" i="1" s="1"/>
  <c r="V36" i="1"/>
  <c r="V56" i="1" s="1"/>
  <c r="W36" i="1"/>
  <c r="W56" i="1" s="1"/>
  <c r="X36" i="1"/>
  <c r="X56" i="1" s="1"/>
  <c r="Y36" i="1"/>
  <c r="Z36" i="1"/>
  <c r="Z56" i="1" s="1"/>
  <c r="AA36" i="1"/>
  <c r="AB36" i="1"/>
  <c r="AB56" i="1" s="1"/>
  <c r="AC36" i="1"/>
  <c r="AD36" i="1"/>
  <c r="B37" i="1"/>
  <c r="B57" i="1" s="1"/>
  <c r="C37" i="1"/>
  <c r="D37" i="1"/>
  <c r="D57" i="1" s="1"/>
  <c r="E37" i="1"/>
  <c r="E57" i="1" s="1"/>
  <c r="F37" i="1"/>
  <c r="F57" i="1" s="1"/>
  <c r="G37" i="1"/>
  <c r="H37" i="1"/>
  <c r="H57" i="1" s="1"/>
  <c r="I37" i="1"/>
  <c r="J37" i="1"/>
  <c r="J57" i="1" s="1"/>
  <c r="K37" i="1"/>
  <c r="L37" i="1"/>
  <c r="L57" i="1" s="1"/>
  <c r="M37" i="1"/>
  <c r="M57" i="1" s="1"/>
  <c r="N37" i="1"/>
  <c r="N57" i="1" s="1"/>
  <c r="O37" i="1"/>
  <c r="P37" i="1"/>
  <c r="P57" i="1" s="1"/>
  <c r="Q37" i="1"/>
  <c r="R37" i="1"/>
  <c r="R57" i="1" s="1"/>
  <c r="S37" i="1"/>
  <c r="T37" i="1"/>
  <c r="T57" i="1" s="1"/>
  <c r="U37" i="1"/>
  <c r="U57" i="1" s="1"/>
  <c r="V37" i="1"/>
  <c r="V57" i="1" s="1"/>
  <c r="W37" i="1"/>
  <c r="X37" i="1"/>
  <c r="Y37" i="1"/>
  <c r="Y57" i="1" s="1"/>
  <c r="Z37" i="1"/>
  <c r="AA37" i="1"/>
  <c r="AA57" i="1" s="1"/>
  <c r="AB37" i="1"/>
  <c r="AC37" i="1"/>
  <c r="AD37" i="1"/>
  <c r="B38" i="1"/>
  <c r="C38" i="1"/>
  <c r="C58" i="1" s="1"/>
  <c r="D38" i="1"/>
  <c r="D58" i="1" s="1"/>
  <c r="E38" i="1"/>
  <c r="E58" i="1" s="1"/>
  <c r="F38" i="1"/>
  <c r="G38" i="1"/>
  <c r="G58" i="1" s="1"/>
  <c r="H38" i="1"/>
  <c r="H58" i="1" s="1"/>
  <c r="I38" i="1"/>
  <c r="I58" i="1" s="1"/>
  <c r="J38" i="1"/>
  <c r="K38" i="1"/>
  <c r="K58" i="1" s="1"/>
  <c r="L38" i="1"/>
  <c r="L58" i="1" s="1"/>
  <c r="M38" i="1"/>
  <c r="M58" i="1" s="1"/>
  <c r="N38" i="1"/>
  <c r="O38" i="1"/>
  <c r="O58" i="1" s="1"/>
  <c r="P38" i="1"/>
  <c r="P58" i="1" s="1"/>
  <c r="Q38" i="1"/>
  <c r="Q58" i="1" s="1"/>
  <c r="R38" i="1"/>
  <c r="S38" i="1"/>
  <c r="S58" i="1" s="1"/>
  <c r="T38" i="1"/>
  <c r="T58" i="1" s="1"/>
  <c r="U38" i="1"/>
  <c r="U58" i="1" s="1"/>
  <c r="V38" i="1"/>
  <c r="W38" i="1"/>
  <c r="W58" i="1" s="1"/>
  <c r="X38" i="1"/>
  <c r="X58" i="1" s="1"/>
  <c r="Y38" i="1"/>
  <c r="Z38" i="1"/>
  <c r="Z58" i="1" s="1"/>
  <c r="AA38" i="1"/>
  <c r="AB38" i="1"/>
  <c r="AC38" i="1"/>
  <c r="AD38" i="1"/>
  <c r="AD58" i="1" s="1"/>
  <c r="U44" i="1"/>
  <c r="U62" i="1" s="1"/>
  <c r="U81" i="1" s="1"/>
  <c r="X44" i="1"/>
  <c r="Z44" i="1"/>
  <c r="AB44" i="1"/>
  <c r="AD44" i="1"/>
  <c r="S45" i="1"/>
  <c r="S63" i="1" s="1"/>
  <c r="S82" i="1" s="1"/>
  <c r="Y45" i="1"/>
  <c r="Y63" i="1" s="1"/>
  <c r="Y82" i="1" s="1"/>
  <c r="AA45" i="1"/>
  <c r="AC45" i="1"/>
  <c r="AD45" i="1"/>
  <c r="AD63" i="1" s="1"/>
  <c r="AD82" i="1" s="1"/>
  <c r="S46" i="1"/>
  <c r="X46" i="1"/>
  <c r="Z46" i="1"/>
  <c r="Z64" i="1" s="1"/>
  <c r="Z83" i="1" s="1"/>
  <c r="AB46" i="1"/>
  <c r="AD46" i="1"/>
  <c r="AD64" i="1" s="1"/>
  <c r="AD83" i="1" s="1"/>
  <c r="Q47" i="1"/>
  <c r="Q65" i="1" s="1"/>
  <c r="Q84" i="1" s="1"/>
  <c r="Y47" i="1"/>
  <c r="Y65" i="1" s="1"/>
  <c r="Y84" i="1" s="1"/>
  <c r="AA47" i="1"/>
  <c r="AC47" i="1"/>
  <c r="AC65" i="1" s="1"/>
  <c r="AC84" i="1" s="1"/>
  <c r="Q48" i="1"/>
  <c r="X48" i="1"/>
  <c r="X67" i="1" s="1"/>
  <c r="X86" i="1" s="1"/>
  <c r="Y48" i="1"/>
  <c r="Y67" i="1" s="1"/>
  <c r="Y86" i="1" s="1"/>
  <c r="Z48" i="1"/>
  <c r="AB48" i="1"/>
  <c r="AB66" i="1" s="1"/>
  <c r="AB85" i="1" s="1"/>
  <c r="AC48" i="1"/>
  <c r="AC67" i="1" s="1"/>
  <c r="AC86" i="1" s="1"/>
  <c r="AD48" i="1"/>
  <c r="P49" i="1"/>
  <c r="P68" i="1" s="1"/>
  <c r="P87" i="1" s="1"/>
  <c r="Y49" i="1"/>
  <c r="Y68" i="1" s="1"/>
  <c r="Y87" i="1" s="1"/>
  <c r="AA49" i="1"/>
  <c r="AC49" i="1"/>
  <c r="AC68" i="1" s="1"/>
  <c r="AC87" i="1" s="1"/>
  <c r="AD49" i="1"/>
  <c r="X50" i="1"/>
  <c r="Y50" i="1"/>
  <c r="Y69" i="1" s="1"/>
  <c r="Y88" i="1" s="1"/>
  <c r="Z50" i="1"/>
  <c r="AB50" i="1"/>
  <c r="AD50" i="1"/>
  <c r="AD69" i="1" s="1"/>
  <c r="AD88" i="1" s="1"/>
  <c r="Y51" i="1"/>
  <c r="Y70" i="1" s="1"/>
  <c r="Y89" i="1" s="1"/>
  <c r="AA51" i="1"/>
  <c r="AA70" i="1" s="1"/>
  <c r="AA89" i="1" s="1"/>
  <c r="AC51" i="1"/>
  <c r="Q52" i="1"/>
  <c r="Q71" i="1" s="1"/>
  <c r="Q90" i="1" s="1"/>
  <c r="X52" i="1"/>
  <c r="Z52" i="1"/>
  <c r="AB52" i="1"/>
  <c r="AB71" i="1" s="1"/>
  <c r="AB90" i="1" s="1"/>
  <c r="AD52" i="1"/>
  <c r="P53" i="1"/>
  <c r="P72" i="1" s="1"/>
  <c r="P91" i="1" s="1"/>
  <c r="Y53" i="1"/>
  <c r="Z53" i="1"/>
  <c r="Z72" i="1" s="1"/>
  <c r="Z91" i="1" s="1"/>
  <c r="AA53" i="1"/>
  <c r="AA72" i="1" s="1"/>
  <c r="AA91" i="1" s="1"/>
  <c r="AC53" i="1"/>
  <c r="Q54" i="1"/>
  <c r="X54" i="1"/>
  <c r="Z54" i="1"/>
  <c r="Z73" i="1" s="1"/>
  <c r="Z92" i="1" s="1"/>
  <c r="AB54" i="1"/>
  <c r="AD54" i="1"/>
  <c r="A55" i="1"/>
  <c r="A74" i="1" s="1"/>
  <c r="U55" i="1"/>
  <c r="U74" i="1" s="1"/>
  <c r="U93" i="1" s="1"/>
  <c r="Z55" i="1"/>
  <c r="AD55" i="1"/>
  <c r="AD74" i="1" s="1"/>
  <c r="AD93" i="1" s="1"/>
  <c r="D56" i="1"/>
  <c r="H56" i="1"/>
  <c r="L56" i="1"/>
  <c r="P56" i="1"/>
  <c r="T56" i="1"/>
  <c r="Y56" i="1"/>
  <c r="AA56" i="1"/>
  <c r="AC56" i="1"/>
  <c r="AD56" i="1"/>
  <c r="C57" i="1"/>
  <c r="G57" i="1"/>
  <c r="I57" i="1"/>
  <c r="K57" i="1"/>
  <c r="O57" i="1"/>
  <c r="Q57" i="1"/>
  <c r="S57" i="1"/>
  <c r="W57" i="1"/>
  <c r="X57" i="1"/>
  <c r="Z57" i="1"/>
  <c r="AB57" i="1"/>
  <c r="AC57" i="1"/>
  <c r="AD57" i="1"/>
  <c r="B58" i="1"/>
  <c r="F58" i="1"/>
  <c r="J58" i="1"/>
  <c r="N58" i="1"/>
  <c r="R58" i="1"/>
  <c r="V58" i="1"/>
  <c r="Y58" i="1"/>
  <c r="AA58" i="1"/>
  <c r="AB58" i="1"/>
  <c r="AC58" i="1"/>
  <c r="X62" i="1"/>
  <c r="Z62" i="1"/>
  <c r="AB62" i="1"/>
  <c r="AB81" i="1" s="1"/>
  <c r="AD62" i="1"/>
  <c r="AA63" i="1"/>
  <c r="AA82" i="1" s="1"/>
  <c r="AC63" i="1"/>
  <c r="X64" i="1"/>
  <c r="AB64" i="1"/>
  <c r="AA65" i="1"/>
  <c r="AA84" i="1" s="1"/>
  <c r="Y66" i="1"/>
  <c r="Y85" i="1" s="1"/>
  <c r="Z66" i="1"/>
  <c r="Z85" i="1" s="1"/>
  <c r="AC66" i="1"/>
  <c r="AC85" i="1" s="1"/>
  <c r="AD66" i="1"/>
  <c r="Z67" i="1"/>
  <c r="Z86" i="1" s="1"/>
  <c r="AB67" i="1"/>
  <c r="AB86" i="1" s="1"/>
  <c r="AD67" i="1"/>
  <c r="AD86" i="1" s="1"/>
  <c r="AA68" i="1"/>
  <c r="AA87" i="1" s="1"/>
  <c r="AD68" i="1"/>
  <c r="AD87" i="1" s="1"/>
  <c r="X69" i="1"/>
  <c r="X88" i="1" s="1"/>
  <c r="Z69" i="1"/>
  <c r="AB69" i="1"/>
  <c r="AB88" i="1" s="1"/>
  <c r="AC70" i="1"/>
  <c r="AC89" i="1" s="1"/>
  <c r="X71" i="1"/>
  <c r="X90" i="1" s="1"/>
  <c r="Z71" i="1"/>
  <c r="AD71" i="1"/>
  <c r="AD90" i="1" s="1"/>
  <c r="Y72" i="1"/>
  <c r="Y91" i="1" s="1"/>
  <c r="AC72" i="1"/>
  <c r="Q73" i="1"/>
  <c r="Q92" i="1" s="1"/>
  <c r="X73" i="1"/>
  <c r="AB73" i="1"/>
  <c r="AD73" i="1"/>
  <c r="AD92" i="1" s="1"/>
  <c r="Z74" i="1"/>
  <c r="X81" i="1"/>
  <c r="Z81" i="1"/>
  <c r="AD81" i="1"/>
  <c r="AC82" i="1"/>
  <c r="X83" i="1"/>
  <c r="AB83" i="1"/>
  <c r="AD85" i="1"/>
  <c r="Z88" i="1"/>
  <c r="Z90" i="1"/>
  <c r="AC91" i="1"/>
  <c r="X92" i="1"/>
  <c r="AB92" i="1"/>
  <c r="Z93" i="1"/>
  <c r="E102" i="1"/>
  <c r="A134" i="1"/>
  <c r="B17" i="6"/>
  <c r="C17" i="6"/>
  <c r="D17" i="6"/>
  <c r="E17" i="6"/>
  <c r="F17" i="6"/>
  <c r="G17" i="6"/>
  <c r="H17" i="6"/>
  <c r="I17" i="6"/>
  <c r="J17" i="6"/>
  <c r="AA66" i="1" l="1"/>
  <c r="AA85" i="1" s="1"/>
  <c r="AA67" i="1"/>
  <c r="AA86" i="1" s="1"/>
  <c r="Z59" i="1"/>
  <c r="Z63" i="1"/>
  <c r="Z82" i="1" s="1"/>
  <c r="A115" i="1"/>
  <c r="A93" i="1"/>
  <c r="AC55" i="1"/>
  <c r="AC74" i="1" s="1"/>
  <c r="AC93" i="1" s="1"/>
  <c r="Y55" i="1"/>
  <c r="Y74" i="1" s="1"/>
  <c r="Y93" i="1" s="1"/>
  <c r="AA44" i="1"/>
  <c r="AA62" i="1" s="1"/>
  <c r="V55" i="1"/>
  <c r="V74" i="1" s="1"/>
  <c r="V93" i="1" s="1"/>
  <c r="R55" i="1"/>
  <c r="R74" i="1" s="1"/>
  <c r="R93" i="1" s="1"/>
  <c r="N55" i="1"/>
  <c r="N74" i="1" s="1"/>
  <c r="N93" i="1" s="1"/>
  <c r="H55" i="1"/>
  <c r="H74" i="1" s="1"/>
  <c r="H93" i="1" s="1"/>
  <c r="J102" i="1"/>
  <c r="X66" i="1"/>
  <c r="X85" i="1" s="1"/>
  <c r="AB55" i="1"/>
  <c r="AB74" i="1" s="1"/>
  <c r="AB93" i="1" s="1"/>
  <c r="X55" i="1"/>
  <c r="X74" i="1" s="1"/>
  <c r="X93" i="1" s="1"/>
  <c r="Q55" i="1"/>
  <c r="Q74" i="1" s="1"/>
  <c r="Q93" i="1" s="1"/>
  <c r="AB40" i="1"/>
  <c r="X40" i="1"/>
  <c r="AC40" i="1"/>
  <c r="Y40" i="1"/>
  <c r="B55" i="1"/>
  <c r="B74" i="1" s="1"/>
  <c r="B93" i="1" s="1"/>
  <c r="M55" i="1"/>
  <c r="M74" i="1" s="1"/>
  <c r="M93" i="1" s="1"/>
  <c r="L55" i="1"/>
  <c r="L74" i="1" s="1"/>
  <c r="L93" i="1" s="1"/>
  <c r="J55" i="1"/>
  <c r="J74" i="1" s="1"/>
  <c r="J93" i="1" s="1"/>
  <c r="T55" i="1"/>
  <c r="T74" i="1" s="1"/>
  <c r="T93" i="1" s="1"/>
  <c r="P55" i="1"/>
  <c r="P74" i="1" s="1"/>
  <c r="P93" i="1" s="1"/>
  <c r="Z76" i="1"/>
  <c r="Z95" i="1" s="1"/>
  <c r="Z75" i="1"/>
  <c r="Z94" i="1" s="1"/>
  <c r="AD59" i="1"/>
  <c r="Z97" i="1"/>
  <c r="Z99" i="1" s="1"/>
  <c r="AA78" i="1"/>
  <c r="AA81" i="1"/>
  <c r="AA97" i="1" s="1"/>
  <c r="AA99" i="1" s="1"/>
  <c r="AD97" i="1"/>
  <c r="AD99" i="1" s="1"/>
  <c r="AD77" i="1"/>
  <c r="AD96" i="1" s="1"/>
  <c r="Z77" i="1"/>
  <c r="Z96" i="1" s="1"/>
  <c r="AD78" i="1"/>
  <c r="AA59" i="1"/>
  <c r="AA75" i="1" s="1"/>
  <c r="AA94" i="1" s="1"/>
  <c r="AD40" i="1"/>
  <c r="Z40" i="1"/>
  <c r="AB45" i="1"/>
  <c r="X45" i="1"/>
  <c r="AC44" i="1"/>
  <c r="Y44" i="1"/>
  <c r="W66" i="1"/>
  <c r="W85" i="1" s="1"/>
  <c r="W67" i="1"/>
  <c r="W86" i="1" s="1"/>
  <c r="R40" i="1"/>
  <c r="H40" i="1"/>
  <c r="C66" i="1"/>
  <c r="C85" i="1" s="1"/>
  <c r="C67" i="1"/>
  <c r="C86" i="1" s="1"/>
  <c r="S67" i="1"/>
  <c r="S86" i="1" s="1"/>
  <c r="D59" i="1"/>
  <c r="D77" i="1" s="1"/>
  <c r="D96" i="1" s="1"/>
  <c r="D40" i="1"/>
  <c r="O67" i="1"/>
  <c r="O86" i="1" s="1"/>
  <c r="R46" i="1"/>
  <c r="R64" i="1" s="1"/>
  <c r="R83" i="1" s="1"/>
  <c r="B40" i="1"/>
  <c r="G67" i="1"/>
  <c r="G86" i="1" s="1"/>
  <c r="T66" i="1"/>
  <c r="T85" i="1" s="1"/>
  <c r="P66" i="1"/>
  <c r="P85" i="1" s="1"/>
  <c r="J40" i="1"/>
  <c r="J67" i="1"/>
  <c r="J86" i="1" s="1"/>
  <c r="V66" i="1"/>
  <c r="V85" i="1" s="1"/>
  <c r="V67" i="1"/>
  <c r="V86" i="1" s="1"/>
  <c r="R66" i="1"/>
  <c r="R85" i="1" s="1"/>
  <c r="R67" i="1"/>
  <c r="R86" i="1" s="1"/>
  <c r="N66" i="1"/>
  <c r="N85" i="1" s="1"/>
  <c r="N67" i="1"/>
  <c r="N86" i="1" s="1"/>
  <c r="W40" i="1"/>
  <c r="W47" i="1"/>
  <c r="W65" i="1" s="1"/>
  <c r="W84" i="1" s="1"/>
  <c r="S40" i="1"/>
  <c r="S47" i="1"/>
  <c r="S65" i="1" s="1"/>
  <c r="S84" i="1" s="1"/>
  <c r="O40" i="1"/>
  <c r="O47" i="1"/>
  <c r="O65" i="1" s="1"/>
  <c r="O84" i="1" s="1"/>
  <c r="T40" i="1"/>
  <c r="T46" i="1"/>
  <c r="P46" i="1"/>
  <c r="P64" i="1" s="1"/>
  <c r="P83" i="1" s="1"/>
  <c r="P40" i="1"/>
  <c r="U45" i="1"/>
  <c r="U40" i="1"/>
  <c r="Q45" i="1"/>
  <c r="Q40" i="1"/>
  <c r="V44" i="1"/>
  <c r="V40" i="1"/>
  <c r="R62" i="1"/>
  <c r="N44" i="1"/>
  <c r="N40" i="1"/>
  <c r="L49" i="1"/>
  <c r="L68" i="1" s="1"/>
  <c r="L87" i="1" s="1"/>
  <c r="L40" i="1"/>
  <c r="L63" i="1"/>
  <c r="L82" i="1" s="1"/>
  <c r="H65" i="1"/>
  <c r="H59" i="1"/>
  <c r="H77" i="1" s="1"/>
  <c r="H96" i="1" s="1"/>
  <c r="G49" i="1"/>
  <c r="G40" i="1"/>
  <c r="F53" i="1"/>
  <c r="F72" i="1" s="1"/>
  <c r="F91" i="1" s="1"/>
  <c r="F40" i="1"/>
  <c r="F67" i="1"/>
  <c r="F86" i="1" s="1"/>
  <c r="F66" i="1"/>
  <c r="F59" i="1"/>
  <c r="F75" i="1" s="1"/>
  <c r="F94" i="1" s="1"/>
  <c r="E83" i="1"/>
  <c r="F77" i="1"/>
  <c r="F96" i="1" s="1"/>
  <c r="U66" i="1"/>
  <c r="U85" i="1" s="1"/>
  <c r="U67" i="1"/>
  <c r="U86" i="1" s="1"/>
  <c r="H76" i="1"/>
  <c r="H95" i="1" s="1"/>
  <c r="Q66" i="1"/>
  <c r="Q85" i="1" s="1"/>
  <c r="Q67" i="1"/>
  <c r="Q86" i="1" s="1"/>
  <c r="M53" i="1"/>
  <c r="M40" i="1"/>
  <c r="L81" i="1"/>
  <c r="J65" i="1"/>
  <c r="J59" i="1"/>
  <c r="J75" i="1" s="1"/>
  <c r="J94" i="1" s="1"/>
  <c r="I66" i="1"/>
  <c r="I85" i="1" s="1"/>
  <c r="I67" i="1"/>
  <c r="I86" i="1" s="1"/>
  <c r="I44" i="1"/>
  <c r="I40" i="1"/>
  <c r="S64" i="1"/>
  <c r="S59" i="1"/>
  <c r="S77" i="1" s="1"/>
  <c r="S96" i="1" s="1"/>
  <c r="T81" i="1"/>
  <c r="P81" i="1"/>
  <c r="H75" i="1"/>
  <c r="H94" i="1" s="1"/>
  <c r="O64" i="1"/>
  <c r="O83" i="1" s="1"/>
  <c r="O97" i="1" s="1"/>
  <c r="O99" i="1" s="1"/>
  <c r="O59" i="1"/>
  <c r="O77" i="1" s="1"/>
  <c r="O96" i="1" s="1"/>
  <c r="W59" i="1"/>
  <c r="W77" i="1" s="1"/>
  <c r="W96" i="1" s="1"/>
  <c r="W62" i="1"/>
  <c r="Q81" i="1"/>
  <c r="F76" i="1"/>
  <c r="F95" i="1" s="1"/>
  <c r="W75" i="1"/>
  <c r="W94" i="1" s="1"/>
  <c r="B64" i="1"/>
  <c r="B59" i="1"/>
  <c r="B75" i="1" s="1"/>
  <c r="B94" i="1" s="1"/>
  <c r="M81" i="1"/>
  <c r="B67" i="1"/>
  <c r="B86" i="1" s="1"/>
  <c r="L66" i="1"/>
  <c r="L85" i="1" s="1"/>
  <c r="K66" i="1"/>
  <c r="K67" i="1"/>
  <c r="K86" i="1" s="1"/>
  <c r="E49" i="1"/>
  <c r="E40" i="1"/>
  <c r="C50" i="1"/>
  <c r="C40" i="1"/>
  <c r="K52" i="1"/>
  <c r="K40" i="1"/>
  <c r="M66" i="1"/>
  <c r="M85" i="1" s="1"/>
  <c r="H66" i="1"/>
  <c r="H85" i="1" s="1"/>
  <c r="H67" i="1"/>
  <c r="H86" i="1" s="1"/>
  <c r="E66" i="1"/>
  <c r="E85" i="1" s="1"/>
  <c r="D66" i="1"/>
  <c r="D67" i="1"/>
  <c r="D86" i="1" s="1"/>
  <c r="AA76" i="1" l="1"/>
  <c r="AA95" i="1" s="1"/>
  <c r="Z78" i="1"/>
  <c r="AA77" i="1"/>
  <c r="AA96" i="1" s="1"/>
  <c r="AC59" i="1"/>
  <c r="AC62" i="1"/>
  <c r="AD76" i="1"/>
  <c r="AD95" i="1" s="1"/>
  <c r="AD75" i="1"/>
  <c r="AD94" i="1" s="1"/>
  <c r="X63" i="1"/>
  <c r="X59" i="1"/>
  <c r="AB63" i="1"/>
  <c r="AB59" i="1"/>
  <c r="Y59" i="1"/>
  <c r="Y62" i="1"/>
  <c r="P59" i="1"/>
  <c r="P77" i="1" s="1"/>
  <c r="P96" i="1" s="1"/>
  <c r="P97" i="1"/>
  <c r="P99" i="1" s="1"/>
  <c r="P78" i="1"/>
  <c r="D75" i="1"/>
  <c r="D94" i="1" s="1"/>
  <c r="R59" i="1"/>
  <c r="D76" i="1"/>
  <c r="D95" i="1" s="1"/>
  <c r="L59" i="1"/>
  <c r="C69" i="1"/>
  <c r="C59" i="1"/>
  <c r="B83" i="1"/>
  <c r="B97" i="1" s="1"/>
  <c r="B99" i="1" s="1"/>
  <c r="B104" i="1" s="1"/>
  <c r="B78" i="1"/>
  <c r="O75" i="1"/>
  <c r="O94" i="1" s="1"/>
  <c r="W81" i="1"/>
  <c r="W97" i="1" s="1"/>
  <c r="W99" i="1" s="1"/>
  <c r="W78" i="1"/>
  <c r="S83" i="1"/>
  <c r="S97" i="1" s="1"/>
  <c r="S99" i="1" s="1"/>
  <c r="S104" i="1" s="1"/>
  <c r="S78" i="1"/>
  <c r="I62" i="1"/>
  <c r="I59" i="1"/>
  <c r="J84" i="1"/>
  <c r="J97" i="1" s="1"/>
  <c r="J99" i="1" s="1"/>
  <c r="J106" i="1" s="1"/>
  <c r="J78" i="1"/>
  <c r="M72" i="1"/>
  <c r="M91" i="1" s="1"/>
  <c r="M59" i="1"/>
  <c r="O76" i="1"/>
  <c r="O95" i="1" s="1"/>
  <c r="G68" i="1"/>
  <c r="G59" i="1"/>
  <c r="N59" i="1"/>
  <c r="N62" i="1"/>
  <c r="V59" i="1"/>
  <c r="V62" i="1"/>
  <c r="U63" i="1"/>
  <c r="U59" i="1"/>
  <c r="J77" i="1"/>
  <c r="J96" i="1" s="1"/>
  <c r="F85" i="1"/>
  <c r="F97" i="1" s="1"/>
  <c r="F99" i="1" s="1"/>
  <c r="F78" i="1"/>
  <c r="L76" i="1"/>
  <c r="L95" i="1" s="1"/>
  <c r="K85" i="1"/>
  <c r="S75" i="1"/>
  <c r="S94" i="1" s="1"/>
  <c r="J76" i="1"/>
  <c r="J95" i="1" s="1"/>
  <c r="P75" i="1"/>
  <c r="P94" i="1" s="1"/>
  <c r="L78" i="1"/>
  <c r="W76" i="1"/>
  <c r="W95" i="1" s="1"/>
  <c r="O78" i="1"/>
  <c r="R78" i="1"/>
  <c r="R81" i="1"/>
  <c r="R97" i="1" s="1"/>
  <c r="R99" i="1" s="1"/>
  <c r="R112" i="1" s="1"/>
  <c r="D85" i="1"/>
  <c r="D97" i="1" s="1"/>
  <c r="D99" i="1" s="1"/>
  <c r="D78" i="1"/>
  <c r="B76" i="1"/>
  <c r="B95" i="1" s="1"/>
  <c r="T64" i="1"/>
  <c r="T59" i="1"/>
  <c r="K71" i="1"/>
  <c r="K90" i="1" s="1"/>
  <c r="K59" i="1"/>
  <c r="E68" i="1"/>
  <c r="E87" i="1" s="1"/>
  <c r="E97" i="1" s="1"/>
  <c r="E99" i="1" s="1"/>
  <c r="E59" i="1"/>
  <c r="M97" i="1"/>
  <c r="M99" i="1" s="1"/>
  <c r="M106" i="1" s="1"/>
  <c r="L97" i="1"/>
  <c r="L99" i="1" s="1"/>
  <c r="L113" i="1" s="1"/>
  <c r="B77" i="1"/>
  <c r="B96" i="1" s="1"/>
  <c r="P76" i="1"/>
  <c r="P95" i="1" s="1"/>
  <c r="S76" i="1"/>
  <c r="S95" i="1" s="1"/>
  <c r="H84" i="1"/>
  <c r="H97" i="1" s="1"/>
  <c r="H99" i="1" s="1"/>
  <c r="H113" i="1" s="1"/>
  <c r="H78" i="1"/>
  <c r="Q63" i="1"/>
  <c r="Q59" i="1"/>
  <c r="O103" i="1"/>
  <c r="O104" i="1"/>
  <c r="O107" i="1"/>
  <c r="O111" i="1"/>
  <c r="O108" i="1"/>
  <c r="O112" i="1"/>
  <c r="O115" i="1"/>
  <c r="O118" i="1"/>
  <c r="O105" i="1"/>
  <c r="O109" i="1"/>
  <c r="O113" i="1"/>
  <c r="O106" i="1"/>
  <c r="O110" i="1"/>
  <c r="O114" i="1"/>
  <c r="AD103" i="1"/>
  <c r="AD104" i="1"/>
  <c r="AD108" i="1"/>
  <c r="AD112" i="1"/>
  <c r="AD115" i="1"/>
  <c r="AD105" i="1"/>
  <c r="AD109" i="1"/>
  <c r="AD113" i="1"/>
  <c r="AD106" i="1"/>
  <c r="AD110" i="1"/>
  <c r="AD114" i="1"/>
  <c r="AD107" i="1"/>
  <c r="AD117" i="1"/>
  <c r="AD111" i="1"/>
  <c r="AD118" i="1"/>
  <c r="B106" i="1"/>
  <c r="B115" i="1"/>
  <c r="B110" i="1"/>
  <c r="AA103" i="1"/>
  <c r="AA107" i="1"/>
  <c r="AA111" i="1"/>
  <c r="AA104" i="1"/>
  <c r="AA108" i="1"/>
  <c r="AA112" i="1"/>
  <c r="AA115" i="1"/>
  <c r="AA105" i="1"/>
  <c r="AA109" i="1"/>
  <c r="AA113" i="1"/>
  <c r="AA106" i="1"/>
  <c r="AA118" i="1"/>
  <c r="AA110" i="1"/>
  <c r="AA114" i="1"/>
  <c r="AA117" i="1"/>
  <c r="Z103" i="1"/>
  <c r="Z104" i="1"/>
  <c r="Z108" i="1"/>
  <c r="Z112" i="1"/>
  <c r="Z115" i="1"/>
  <c r="Z105" i="1"/>
  <c r="Z109" i="1"/>
  <c r="Z113" i="1"/>
  <c r="Z106" i="1"/>
  <c r="Z110" i="1"/>
  <c r="Z114" i="1"/>
  <c r="Z111" i="1"/>
  <c r="Z118" i="1"/>
  <c r="Z107" i="1"/>
  <c r="Z117" i="1"/>
  <c r="M113" i="1"/>
  <c r="M105" i="1"/>
  <c r="M111" i="1"/>
  <c r="M108" i="1"/>
  <c r="P103" i="1"/>
  <c r="P104" i="1"/>
  <c r="P106" i="1"/>
  <c r="P110" i="1"/>
  <c r="P114" i="1"/>
  <c r="P118" i="1"/>
  <c r="P107" i="1"/>
  <c r="P111" i="1"/>
  <c r="P108" i="1"/>
  <c r="P112" i="1"/>
  <c r="P115" i="1"/>
  <c r="P117" i="1"/>
  <c r="P105" i="1"/>
  <c r="P113" i="1"/>
  <c r="P109" i="1"/>
  <c r="W103" i="1"/>
  <c r="W107" i="1"/>
  <c r="W111" i="1"/>
  <c r="W104" i="1"/>
  <c r="W108" i="1"/>
  <c r="W112" i="1"/>
  <c r="W115" i="1"/>
  <c r="W105" i="1"/>
  <c r="W109" i="1"/>
  <c r="W113" i="1"/>
  <c r="W110" i="1"/>
  <c r="W114" i="1"/>
  <c r="W117" i="1"/>
  <c r="W118" i="1"/>
  <c r="W106" i="1"/>
  <c r="H115" i="1"/>
  <c r="F112" i="1"/>
  <c r="F114" i="1"/>
  <c r="F104" i="1"/>
  <c r="F106" i="1"/>
  <c r="F103" i="1"/>
  <c r="F113" i="1"/>
  <c r="F108" i="1"/>
  <c r="F115" i="1"/>
  <c r="F105" i="1"/>
  <c r="F109" i="1"/>
  <c r="F117" i="1"/>
  <c r="F110" i="1"/>
  <c r="F118" i="1"/>
  <c r="F107" i="1"/>
  <c r="F111" i="1"/>
  <c r="F150" i="1" s="1"/>
  <c r="J104" i="1"/>
  <c r="S117" i="1"/>
  <c r="R108" i="1"/>
  <c r="R109" i="1"/>
  <c r="R114" i="1"/>
  <c r="D113" i="1"/>
  <c r="D106" i="1"/>
  <c r="D103" i="1"/>
  <c r="D112" i="1"/>
  <c r="D114" i="1"/>
  <c r="D104" i="1"/>
  <c r="D110" i="1"/>
  <c r="D118" i="1"/>
  <c r="D107" i="1"/>
  <c r="D111" i="1"/>
  <c r="D108" i="1"/>
  <c r="D115" i="1"/>
  <c r="D109" i="1"/>
  <c r="D105" i="1"/>
  <c r="D117" i="1"/>
  <c r="H118" i="1" l="1"/>
  <c r="W149" i="1"/>
  <c r="P150" i="1"/>
  <c r="L115" i="1"/>
  <c r="O150" i="1"/>
  <c r="D149" i="1"/>
  <c r="S106" i="1"/>
  <c r="J110" i="1"/>
  <c r="F149" i="1"/>
  <c r="H112" i="1"/>
  <c r="P149" i="1"/>
  <c r="M150" i="1"/>
  <c r="L112" i="1"/>
  <c r="D150" i="1"/>
  <c r="S103" i="1"/>
  <c r="S105" i="1"/>
  <c r="J108" i="1"/>
  <c r="W150" i="1"/>
  <c r="O149" i="1"/>
  <c r="AB78" i="1"/>
  <c r="AB82" i="1"/>
  <c r="AB97" i="1" s="1"/>
  <c r="AB99" i="1" s="1"/>
  <c r="AB77" i="1"/>
  <c r="AB76" i="1"/>
  <c r="AB75" i="1"/>
  <c r="AB94" i="1" s="1"/>
  <c r="Y81" i="1"/>
  <c r="Y97" i="1" s="1"/>
  <c r="Y99" i="1" s="1"/>
  <c r="Y78" i="1"/>
  <c r="X77" i="1"/>
  <c r="X76" i="1"/>
  <c r="X75" i="1"/>
  <c r="X94" i="1" s="1"/>
  <c r="AC81" i="1"/>
  <c r="AC97" i="1" s="1"/>
  <c r="AC99" i="1" s="1"/>
  <c r="AC78" i="1"/>
  <c r="Y75" i="1"/>
  <c r="Y94" i="1" s="1"/>
  <c r="Y77" i="1"/>
  <c r="Y76" i="1"/>
  <c r="X78" i="1"/>
  <c r="X82" i="1"/>
  <c r="X97" i="1" s="1"/>
  <c r="X99" i="1" s="1"/>
  <c r="AC75" i="1"/>
  <c r="AC94" i="1" s="1"/>
  <c r="AC76" i="1"/>
  <c r="AC77" i="1"/>
  <c r="R110" i="1"/>
  <c r="R105" i="1"/>
  <c r="R103" i="1"/>
  <c r="R111" i="1"/>
  <c r="R106" i="1"/>
  <c r="R115" i="1"/>
  <c r="R104" i="1"/>
  <c r="R107" i="1"/>
  <c r="R119" i="1" s="1"/>
  <c r="R146" i="1" s="1"/>
  <c r="R113" i="1"/>
  <c r="S118" i="1"/>
  <c r="S115" i="1"/>
  <c r="S111" i="1"/>
  <c r="J107" i="1"/>
  <c r="J145" i="1" s="1"/>
  <c r="J109" i="1"/>
  <c r="J113" i="1"/>
  <c r="J114" i="1"/>
  <c r="H105" i="1"/>
  <c r="H108" i="1"/>
  <c r="H110" i="1"/>
  <c r="H103" i="1"/>
  <c r="L109" i="1"/>
  <c r="L108" i="1"/>
  <c r="L110" i="1"/>
  <c r="L103" i="1"/>
  <c r="O117" i="1"/>
  <c r="L77" i="1"/>
  <c r="L75" i="1"/>
  <c r="L94" i="1" s="1"/>
  <c r="S114" i="1"/>
  <c r="S113" i="1"/>
  <c r="S112" i="1"/>
  <c r="S107" i="1"/>
  <c r="J111" i="1"/>
  <c r="J105" i="1"/>
  <c r="J103" i="1"/>
  <c r="J112" i="1"/>
  <c r="H117" i="1"/>
  <c r="H116" i="1" s="1"/>
  <c r="H111" i="1"/>
  <c r="H104" i="1"/>
  <c r="H106" i="1"/>
  <c r="L117" i="1"/>
  <c r="L111" i="1"/>
  <c r="L104" i="1"/>
  <c r="L106" i="1"/>
  <c r="R75" i="1"/>
  <c r="R94" i="1" s="1"/>
  <c r="R77" i="1"/>
  <c r="R76" i="1"/>
  <c r="S110" i="1"/>
  <c r="S109" i="1"/>
  <c r="S149" i="1" s="1"/>
  <c r="S108" i="1"/>
  <c r="J118" i="1"/>
  <c r="J115" i="1"/>
  <c r="H109" i="1"/>
  <c r="H149" i="1" s="1"/>
  <c r="H107" i="1"/>
  <c r="H145" i="1" s="1"/>
  <c r="H114" i="1"/>
  <c r="L105" i="1"/>
  <c r="L107" i="1"/>
  <c r="L145" i="1" s="1"/>
  <c r="L114" i="1"/>
  <c r="E106" i="1"/>
  <c r="E109" i="1"/>
  <c r="E112" i="1"/>
  <c r="E103" i="1"/>
  <c r="E110" i="1"/>
  <c r="E113" i="1"/>
  <c r="E111" i="1"/>
  <c r="E114" i="1"/>
  <c r="E104" i="1"/>
  <c r="E107" i="1"/>
  <c r="E108" i="1"/>
  <c r="E105" i="1"/>
  <c r="E115" i="1"/>
  <c r="Q82" i="1"/>
  <c r="Q97" i="1" s="1"/>
  <c r="Q99" i="1" s="1"/>
  <c r="Q78" i="1"/>
  <c r="K97" i="1"/>
  <c r="K99" i="1" s="1"/>
  <c r="V75" i="1"/>
  <c r="V94" i="1" s="1"/>
  <c r="V77" i="1"/>
  <c r="V76" i="1"/>
  <c r="M107" i="1"/>
  <c r="M144" i="1" s="1"/>
  <c r="M104" i="1"/>
  <c r="M114" i="1"/>
  <c r="B111" i="1"/>
  <c r="B117" i="1"/>
  <c r="B108" i="1"/>
  <c r="B113" i="1"/>
  <c r="E76" i="1"/>
  <c r="E75" i="1"/>
  <c r="E94" i="1" s="1"/>
  <c r="E77" i="1"/>
  <c r="T77" i="1"/>
  <c r="T76" i="1"/>
  <c r="T75" i="1"/>
  <c r="T94" i="1" s="1"/>
  <c r="U76" i="1"/>
  <c r="U77" i="1"/>
  <c r="U75" i="1"/>
  <c r="U94" i="1" s="1"/>
  <c r="N78" i="1"/>
  <c r="N81" i="1"/>
  <c r="N97" i="1" s="1"/>
  <c r="N99" i="1" s="1"/>
  <c r="E78" i="1"/>
  <c r="C77" i="1"/>
  <c r="C76" i="1"/>
  <c r="C75" i="1"/>
  <c r="C94" i="1" s="1"/>
  <c r="G87" i="1"/>
  <c r="G97" i="1" s="1"/>
  <c r="G99" i="1" s="1"/>
  <c r="G78" i="1"/>
  <c r="J117" i="1"/>
  <c r="J116" i="1" s="1"/>
  <c r="M115" i="1"/>
  <c r="M110" i="1"/>
  <c r="M103" i="1"/>
  <c r="M112" i="1"/>
  <c r="B107" i="1"/>
  <c r="B109" i="1"/>
  <c r="B112" i="1"/>
  <c r="B114" i="1"/>
  <c r="T83" i="1"/>
  <c r="T97" i="1" s="1"/>
  <c r="T99" i="1" s="1"/>
  <c r="T78" i="1"/>
  <c r="M78" i="1"/>
  <c r="U78" i="1"/>
  <c r="U82" i="1"/>
  <c r="U97" i="1" s="1"/>
  <c r="U99" i="1" s="1"/>
  <c r="N75" i="1"/>
  <c r="N94" i="1" s="1"/>
  <c r="N77" i="1"/>
  <c r="N76" i="1"/>
  <c r="C88" i="1"/>
  <c r="C97" i="1" s="1"/>
  <c r="C99" i="1" s="1"/>
  <c r="C78" i="1"/>
  <c r="I81" i="1"/>
  <c r="I97" i="1" s="1"/>
  <c r="I99" i="1" s="1"/>
  <c r="I78" i="1"/>
  <c r="M109" i="1"/>
  <c r="M149" i="1" s="1"/>
  <c r="B118" i="1"/>
  <c r="B105" i="1"/>
  <c r="B103" i="1"/>
  <c r="Q76" i="1"/>
  <c r="Q77" i="1"/>
  <c r="Q75" i="1"/>
  <c r="Q94" i="1" s="1"/>
  <c r="K76" i="1"/>
  <c r="K77" i="1"/>
  <c r="K75" i="1"/>
  <c r="K94" i="1" s="1"/>
  <c r="K78" i="1"/>
  <c r="V78" i="1"/>
  <c r="V81" i="1"/>
  <c r="V97" i="1" s="1"/>
  <c r="V99" i="1" s="1"/>
  <c r="G75" i="1"/>
  <c r="G94" i="1" s="1"/>
  <c r="G76" i="1"/>
  <c r="G77" i="1"/>
  <c r="M76" i="1"/>
  <c r="M75" i="1"/>
  <c r="M94" i="1" s="1"/>
  <c r="M77" i="1"/>
  <c r="I76" i="1"/>
  <c r="I75" i="1"/>
  <c r="I94" i="1" s="1"/>
  <c r="I77" i="1"/>
  <c r="W145" i="1"/>
  <c r="P119" i="1"/>
  <c r="P146" i="1" s="1"/>
  <c r="AA116" i="1"/>
  <c r="F144" i="1"/>
  <c r="F143" i="1"/>
  <c r="F116" i="1"/>
  <c r="W116" i="1"/>
  <c r="W119" i="1"/>
  <c r="W146" i="1" s="1"/>
  <c r="P116" i="1"/>
  <c r="P135" i="1" s="1"/>
  <c r="P143" i="1"/>
  <c r="P144" i="1"/>
  <c r="M143" i="1"/>
  <c r="Z144" i="1"/>
  <c r="Z143" i="1"/>
  <c r="AA145" i="1"/>
  <c r="AD116" i="1"/>
  <c r="AD119" i="1"/>
  <c r="AD146" i="1" s="1"/>
  <c r="O143" i="1"/>
  <c r="O144" i="1"/>
  <c r="AD129" i="1"/>
  <c r="O119" i="1"/>
  <c r="O146" i="1" s="1"/>
  <c r="D145" i="1"/>
  <c r="S116" i="1"/>
  <c r="F145" i="1"/>
  <c r="W123" i="1"/>
  <c r="P145" i="1"/>
  <c r="Z116" i="1"/>
  <c r="AA119" i="1"/>
  <c r="AA146" i="1" s="1"/>
  <c r="AD126" i="1"/>
  <c r="AD145" i="1"/>
  <c r="AD132" i="1"/>
  <c r="AD131" i="1"/>
  <c r="O128" i="1"/>
  <c r="O131" i="1"/>
  <c r="O126" i="1"/>
  <c r="O145" i="1"/>
  <c r="D143" i="1"/>
  <c r="D144" i="1"/>
  <c r="S145" i="1"/>
  <c r="Z119" i="1"/>
  <c r="Z146" i="1" s="1"/>
  <c r="AA143" i="1"/>
  <c r="AA144" i="1"/>
  <c r="AD130" i="1"/>
  <c r="AD144" i="1"/>
  <c r="AD143" i="1"/>
  <c r="AD124" i="1"/>
  <c r="O125" i="1"/>
  <c r="O116" i="1"/>
  <c r="O135" i="1" s="1"/>
  <c r="D116" i="1"/>
  <c r="D119" i="1"/>
  <c r="D146" i="1" s="1"/>
  <c r="F119" i="1"/>
  <c r="F146" i="1" s="1"/>
  <c r="W125" i="1"/>
  <c r="W143" i="1"/>
  <c r="W144" i="1"/>
  <c r="P132" i="1"/>
  <c r="P123" i="1"/>
  <c r="Z145" i="1"/>
  <c r="AA123" i="1"/>
  <c r="B145" i="1"/>
  <c r="AD137" i="1"/>
  <c r="AD133" i="1"/>
  <c r="AD128" i="1"/>
  <c r="AD127" i="1"/>
  <c r="O129" i="1"/>
  <c r="O124" i="1"/>
  <c r="O127" i="1"/>
  <c r="O123" i="1"/>
  <c r="J144" i="1" l="1"/>
  <c r="J150" i="1"/>
  <c r="S144" i="1"/>
  <c r="S150" i="1"/>
  <c r="R144" i="1"/>
  <c r="R150" i="1"/>
  <c r="AA124" i="1"/>
  <c r="AA125" i="1"/>
  <c r="AA127" i="1"/>
  <c r="W124" i="1"/>
  <c r="W131" i="1"/>
  <c r="W128" i="1"/>
  <c r="B149" i="1"/>
  <c r="E149" i="1"/>
  <c r="B144" i="1"/>
  <c r="B150" i="1"/>
  <c r="W137" i="1"/>
  <c r="W135" i="1"/>
  <c r="J149" i="1"/>
  <c r="R149" i="1"/>
  <c r="E150" i="1"/>
  <c r="H135" i="1"/>
  <c r="H119" i="1"/>
  <c r="H146" i="1" s="1"/>
  <c r="AA137" i="1"/>
  <c r="W134" i="1"/>
  <c r="AA130" i="1"/>
  <c r="W133" i="1"/>
  <c r="Z129" i="1"/>
  <c r="W130" i="1"/>
  <c r="W129" i="1"/>
  <c r="W132" i="1"/>
  <c r="O133" i="1"/>
  <c r="AD123" i="1"/>
  <c r="J143" i="1"/>
  <c r="W122" i="1"/>
  <c r="B116" i="1"/>
  <c r="L143" i="1"/>
  <c r="L150" i="1"/>
  <c r="H143" i="1"/>
  <c r="H150" i="1"/>
  <c r="L149" i="1"/>
  <c r="Z122" i="1"/>
  <c r="Z130" i="1"/>
  <c r="AC95" i="1"/>
  <c r="AC117" i="1"/>
  <c r="Y95" i="1"/>
  <c r="Y117" i="1"/>
  <c r="AC103" i="1"/>
  <c r="AC106" i="1"/>
  <c r="AC111" i="1"/>
  <c r="AC113" i="1"/>
  <c r="AC115" i="1"/>
  <c r="AC105" i="1"/>
  <c r="AC110" i="1"/>
  <c r="AC104" i="1"/>
  <c r="AC109" i="1"/>
  <c r="AC114" i="1"/>
  <c r="AC112" i="1"/>
  <c r="AC108" i="1"/>
  <c r="AC107" i="1"/>
  <c r="AB96" i="1"/>
  <c r="AB118" i="1"/>
  <c r="AC96" i="1"/>
  <c r="AC118" i="1"/>
  <c r="AB95" i="1"/>
  <c r="AB117" i="1"/>
  <c r="Z123" i="1"/>
  <c r="Z126" i="1"/>
  <c r="AD135" i="1"/>
  <c r="Y96" i="1"/>
  <c r="Y118" i="1"/>
  <c r="Y109" i="1"/>
  <c r="Y114" i="1"/>
  <c r="Y112" i="1"/>
  <c r="Y104" i="1"/>
  <c r="Y113" i="1"/>
  <c r="Y107" i="1"/>
  <c r="Y115" i="1"/>
  <c r="Y110" i="1"/>
  <c r="Y103" i="1"/>
  <c r="Y106" i="1"/>
  <c r="Y111" i="1"/>
  <c r="Y105" i="1"/>
  <c r="Y108" i="1"/>
  <c r="AB114" i="1"/>
  <c r="AB108" i="1"/>
  <c r="AB115" i="1"/>
  <c r="AB105" i="1"/>
  <c r="AB103" i="1"/>
  <c r="AB107" i="1"/>
  <c r="AB112" i="1"/>
  <c r="AB113" i="1"/>
  <c r="AB111" i="1"/>
  <c r="AB104" i="1"/>
  <c r="AB106" i="1"/>
  <c r="AB109" i="1"/>
  <c r="AB110" i="1"/>
  <c r="Z133" i="1"/>
  <c r="X96" i="1"/>
  <c r="X118" i="1"/>
  <c r="Z124" i="1"/>
  <c r="AA135" i="1"/>
  <c r="X103" i="1"/>
  <c r="X107" i="1"/>
  <c r="X112" i="1"/>
  <c r="X108" i="1"/>
  <c r="X106" i="1"/>
  <c r="X111" i="1"/>
  <c r="X115" i="1"/>
  <c r="X105" i="1"/>
  <c r="X114" i="1"/>
  <c r="X110" i="1"/>
  <c r="X104" i="1"/>
  <c r="X113" i="1"/>
  <c r="X109" i="1"/>
  <c r="X95" i="1"/>
  <c r="X117" i="1"/>
  <c r="R145" i="1"/>
  <c r="R143" i="1"/>
  <c r="O137" i="1"/>
  <c r="D122" i="1"/>
  <c r="S119" i="1"/>
  <c r="S137" i="1" s="1"/>
  <c r="J119" i="1"/>
  <c r="J130" i="1" s="1"/>
  <c r="O136" i="1"/>
  <c r="L119" i="1"/>
  <c r="S146" i="1"/>
  <c r="L146" i="1"/>
  <c r="L127" i="1"/>
  <c r="L130" i="1"/>
  <c r="L122" i="1"/>
  <c r="L129" i="1"/>
  <c r="L131" i="1"/>
  <c r="L125" i="1"/>
  <c r="F126" i="1"/>
  <c r="F131" i="1"/>
  <c r="S143" i="1"/>
  <c r="E119" i="1"/>
  <c r="E146" i="1" s="1"/>
  <c r="P133" i="1"/>
  <c r="M145" i="1"/>
  <c r="P126" i="1"/>
  <c r="P127" i="1"/>
  <c r="R131" i="1"/>
  <c r="B119" i="1"/>
  <c r="E145" i="1"/>
  <c r="E143" i="1"/>
  <c r="R96" i="1"/>
  <c r="R118" i="1"/>
  <c r="P137" i="1"/>
  <c r="P131" i="1"/>
  <c r="H144" i="1"/>
  <c r="F124" i="1"/>
  <c r="L144" i="1"/>
  <c r="P125" i="1"/>
  <c r="P134" i="1"/>
  <c r="P130" i="1"/>
  <c r="F122" i="1"/>
  <c r="R122" i="1"/>
  <c r="D127" i="1"/>
  <c r="P124" i="1"/>
  <c r="P128" i="1"/>
  <c r="P129" i="1"/>
  <c r="P136" i="1"/>
  <c r="P122" i="1"/>
  <c r="R95" i="1"/>
  <c r="R117" i="1"/>
  <c r="R116" i="1" s="1"/>
  <c r="R135" i="1" s="1"/>
  <c r="L96" i="1"/>
  <c r="L118" i="1"/>
  <c r="L116" i="1" s="1"/>
  <c r="B146" i="1"/>
  <c r="B137" i="1"/>
  <c r="B127" i="1"/>
  <c r="B126" i="1"/>
  <c r="B134" i="1"/>
  <c r="B125" i="1"/>
  <c r="B123" i="1"/>
  <c r="B128" i="1"/>
  <c r="B129" i="1"/>
  <c r="B132" i="1"/>
  <c r="B133" i="1"/>
  <c r="B136" i="1"/>
  <c r="B131" i="1"/>
  <c r="B130" i="1"/>
  <c r="I113" i="1"/>
  <c r="I105" i="1"/>
  <c r="I111" i="1"/>
  <c r="I150" i="1" s="1"/>
  <c r="I104" i="1"/>
  <c r="I106" i="1"/>
  <c r="I109" i="1"/>
  <c r="I107" i="1"/>
  <c r="I145" i="1" s="1"/>
  <c r="I112" i="1"/>
  <c r="I110" i="1"/>
  <c r="I115" i="1"/>
  <c r="I114" i="1"/>
  <c r="I108" i="1"/>
  <c r="H125" i="1"/>
  <c r="B135" i="1"/>
  <c r="I96" i="1"/>
  <c r="I118" i="1"/>
  <c r="Q96" i="1"/>
  <c r="Q118" i="1"/>
  <c r="G112" i="1"/>
  <c r="G107" i="1"/>
  <c r="G115" i="1"/>
  <c r="G110" i="1"/>
  <c r="G109" i="1"/>
  <c r="G114" i="1"/>
  <c r="G111" i="1"/>
  <c r="G150" i="1" s="1"/>
  <c r="G103" i="1"/>
  <c r="G113" i="1"/>
  <c r="G106" i="1"/>
  <c r="G105" i="1"/>
  <c r="G104" i="1"/>
  <c r="G108" i="1"/>
  <c r="U96" i="1"/>
  <c r="U118" i="1"/>
  <c r="T96" i="1"/>
  <c r="T118" i="1"/>
  <c r="V96" i="1"/>
  <c r="V118" i="1"/>
  <c r="Q105" i="1"/>
  <c r="Q110" i="1"/>
  <c r="Q115" i="1"/>
  <c r="Q112" i="1"/>
  <c r="Q109" i="1"/>
  <c r="Q114" i="1"/>
  <c r="Q108" i="1"/>
  <c r="Q106" i="1"/>
  <c r="Q103" i="1"/>
  <c r="Q113" i="1"/>
  <c r="Q107" i="1"/>
  <c r="Q145" i="1" s="1"/>
  <c r="Q104" i="1"/>
  <c r="Q111" i="1"/>
  <c r="G95" i="1"/>
  <c r="G117" i="1"/>
  <c r="C96" i="1"/>
  <c r="C118" i="1"/>
  <c r="T95" i="1"/>
  <c r="T117" i="1"/>
  <c r="V95" i="1"/>
  <c r="V117" i="1"/>
  <c r="M119" i="1"/>
  <c r="M128" i="1" s="1"/>
  <c r="H130" i="1"/>
  <c r="B124" i="1"/>
  <c r="H133" i="1"/>
  <c r="F125" i="1"/>
  <c r="B143" i="1"/>
  <c r="O132" i="1"/>
  <c r="L124" i="1"/>
  <c r="F123" i="1"/>
  <c r="D133" i="1"/>
  <c r="E144" i="1"/>
  <c r="M95" i="1"/>
  <c r="M117" i="1"/>
  <c r="V112" i="1"/>
  <c r="V113" i="1"/>
  <c r="V111" i="1"/>
  <c r="V103" i="1"/>
  <c r="V115" i="1"/>
  <c r="V106" i="1"/>
  <c r="V107" i="1"/>
  <c r="V108" i="1"/>
  <c r="V114" i="1"/>
  <c r="V104" i="1"/>
  <c r="V105" i="1"/>
  <c r="V110" i="1"/>
  <c r="V109" i="1"/>
  <c r="V149" i="1" s="1"/>
  <c r="K96" i="1"/>
  <c r="K118" i="1"/>
  <c r="Q95" i="1"/>
  <c r="Q117" i="1"/>
  <c r="Q116" i="1" s="1"/>
  <c r="C114" i="1"/>
  <c r="C111" i="1"/>
  <c r="C115" i="1"/>
  <c r="C113" i="1"/>
  <c r="C106" i="1"/>
  <c r="C105" i="1"/>
  <c r="C107" i="1"/>
  <c r="C104" i="1"/>
  <c r="C103" i="1"/>
  <c r="C108" i="1"/>
  <c r="C109" i="1"/>
  <c r="C112" i="1"/>
  <c r="C110" i="1"/>
  <c r="U104" i="1"/>
  <c r="U106" i="1"/>
  <c r="U111" i="1"/>
  <c r="U112" i="1"/>
  <c r="U113" i="1"/>
  <c r="U105" i="1"/>
  <c r="U110" i="1"/>
  <c r="U115" i="1"/>
  <c r="U103" i="1"/>
  <c r="U109" i="1"/>
  <c r="U114" i="1"/>
  <c r="U108" i="1"/>
  <c r="U107" i="1"/>
  <c r="T106" i="1"/>
  <c r="T107" i="1"/>
  <c r="T115" i="1"/>
  <c r="T104" i="1"/>
  <c r="T110" i="1"/>
  <c r="T111" i="1"/>
  <c r="T109" i="1"/>
  <c r="T149" i="1" s="1"/>
  <c r="T103" i="1"/>
  <c r="T113" i="1"/>
  <c r="T114" i="1"/>
  <c r="T108" i="1"/>
  <c r="T105" i="1"/>
  <c r="T112" i="1"/>
  <c r="N108" i="1"/>
  <c r="N109" i="1"/>
  <c r="N110" i="1"/>
  <c r="N111" i="1"/>
  <c r="N105" i="1"/>
  <c r="N112" i="1"/>
  <c r="N113" i="1"/>
  <c r="N114" i="1"/>
  <c r="N103" i="1"/>
  <c r="N107" i="1"/>
  <c r="N104" i="1"/>
  <c r="N115" i="1"/>
  <c r="N106" i="1"/>
  <c r="U95" i="1"/>
  <c r="U117" i="1"/>
  <c r="E96" i="1"/>
  <c r="E118" i="1"/>
  <c r="H137" i="1"/>
  <c r="M96" i="1"/>
  <c r="M118" i="1"/>
  <c r="N96" i="1"/>
  <c r="N118" i="1"/>
  <c r="E95" i="1"/>
  <c r="E117" i="1"/>
  <c r="H123" i="1"/>
  <c r="H136" i="1"/>
  <c r="H139" i="1" s="1"/>
  <c r="R125" i="1"/>
  <c r="L133" i="1"/>
  <c r="R133" i="1"/>
  <c r="L135" i="1"/>
  <c r="D124" i="1"/>
  <c r="I95" i="1"/>
  <c r="I117" i="1"/>
  <c r="G96" i="1"/>
  <c r="G118" i="1"/>
  <c r="K95" i="1"/>
  <c r="K117" i="1"/>
  <c r="N95" i="1"/>
  <c r="N117" i="1"/>
  <c r="C95" i="1"/>
  <c r="C117" i="1"/>
  <c r="K114" i="1"/>
  <c r="K111" i="1"/>
  <c r="K107" i="1"/>
  <c r="K110" i="1"/>
  <c r="K113" i="1"/>
  <c r="K106" i="1"/>
  <c r="K105" i="1"/>
  <c r="K115" i="1"/>
  <c r="K104" i="1"/>
  <c r="K103" i="1"/>
  <c r="K108" i="1"/>
  <c r="K109" i="1"/>
  <c r="K112" i="1"/>
  <c r="I103" i="1"/>
  <c r="S128" i="1"/>
  <c r="S130" i="1"/>
  <c r="D136" i="1"/>
  <c r="S132" i="1"/>
  <c r="H129" i="1"/>
  <c r="F132" i="1"/>
  <c r="S125" i="1"/>
  <c r="R127" i="1"/>
  <c r="R130" i="1"/>
  <c r="D137" i="1"/>
  <c r="D126" i="1"/>
  <c r="O122" i="1"/>
  <c r="AA134" i="1"/>
  <c r="Z134" i="1"/>
  <c r="D123" i="1"/>
  <c r="AD134" i="1"/>
  <c r="AD136" i="1"/>
  <c r="AD139" i="1" s="1"/>
  <c r="AA132" i="1"/>
  <c r="Z132" i="1"/>
  <c r="W127" i="1"/>
  <c r="H134" i="1"/>
  <c r="F127" i="1"/>
  <c r="F130" i="1"/>
  <c r="S129" i="1"/>
  <c r="B122" i="1"/>
  <c r="W126" i="1"/>
  <c r="H128" i="1"/>
  <c r="R123" i="1"/>
  <c r="S124" i="1"/>
  <c r="L128" i="1"/>
  <c r="F137" i="1"/>
  <c r="D135" i="1"/>
  <c r="E127" i="1"/>
  <c r="Z125" i="1"/>
  <c r="Z138" i="1" s="1"/>
  <c r="F129" i="1"/>
  <c r="R134" i="1"/>
  <c r="D130" i="1"/>
  <c r="AA122" i="1"/>
  <c r="AA128" i="1"/>
  <c r="Z127" i="1"/>
  <c r="Z135" i="1"/>
  <c r="L137" i="1"/>
  <c r="H122" i="1"/>
  <c r="H127" i="1"/>
  <c r="S136" i="1"/>
  <c r="R128" i="1"/>
  <c r="D134" i="1"/>
  <c r="L123" i="1"/>
  <c r="F134" i="1"/>
  <c r="S131" i="1"/>
  <c r="O130" i="1"/>
  <c r="AD125" i="1"/>
  <c r="AA126" i="1"/>
  <c r="L132" i="1"/>
  <c r="M130" i="1"/>
  <c r="H131" i="1"/>
  <c r="F136" i="1"/>
  <c r="S123" i="1"/>
  <c r="R132" i="1"/>
  <c r="D132" i="1"/>
  <c r="D128" i="1"/>
  <c r="Z137" i="1"/>
  <c r="D125" i="1"/>
  <c r="P139" i="1"/>
  <c r="S134" i="1"/>
  <c r="R124" i="1"/>
  <c r="R126" i="1"/>
  <c r="D129" i="1"/>
  <c r="S126" i="1"/>
  <c r="R137" i="1"/>
  <c r="AA129" i="1"/>
  <c r="Z128" i="1"/>
  <c r="Z136" i="1"/>
  <c r="Z139" i="1" s="1"/>
  <c r="L134" i="1"/>
  <c r="H124" i="1"/>
  <c r="F133" i="1"/>
  <c r="F128" i="1"/>
  <c r="S122" i="1"/>
  <c r="S135" i="1"/>
  <c r="R129" i="1"/>
  <c r="D131" i="1"/>
  <c r="H126" i="1"/>
  <c r="E125" i="1"/>
  <c r="O134" i="1"/>
  <c r="AD122" i="1"/>
  <c r="AD138" i="1" s="1"/>
  <c r="AD140" i="1" s="1"/>
  <c r="AA131" i="1"/>
  <c r="AA133" i="1"/>
  <c r="Z131" i="1"/>
  <c r="L126" i="1"/>
  <c r="M124" i="1"/>
  <c r="W136" i="1"/>
  <c r="W139" i="1" s="1"/>
  <c r="F135" i="1"/>
  <c r="S127" i="1"/>
  <c r="AA136" i="1"/>
  <c r="AA139" i="1" s="1"/>
  <c r="L136" i="1"/>
  <c r="L139" i="1" s="1"/>
  <c r="H132" i="1"/>
  <c r="S133" i="1"/>
  <c r="K149" i="1" l="1"/>
  <c r="T150" i="1"/>
  <c r="U150" i="1"/>
  <c r="E131" i="1"/>
  <c r="I149" i="1"/>
  <c r="J126" i="1"/>
  <c r="J123" i="1"/>
  <c r="J127" i="1"/>
  <c r="J138" i="1" s="1"/>
  <c r="J140" i="1" s="1"/>
  <c r="N149" i="1"/>
  <c r="J134" i="1"/>
  <c r="J146" i="1"/>
  <c r="J128" i="1"/>
  <c r="J137" i="1"/>
  <c r="N150" i="1"/>
  <c r="U149" i="1"/>
  <c r="C149" i="1"/>
  <c r="G149" i="1"/>
  <c r="J132" i="1"/>
  <c r="J125" i="1"/>
  <c r="J135" i="1"/>
  <c r="J133" i="1"/>
  <c r="J131" i="1"/>
  <c r="J122" i="1"/>
  <c r="K150" i="1"/>
  <c r="C150" i="1"/>
  <c r="V150" i="1"/>
  <c r="Q150" i="1"/>
  <c r="Q149" i="1"/>
  <c r="J124" i="1"/>
  <c r="J136" i="1"/>
  <c r="J139" i="1" s="1"/>
  <c r="J129" i="1"/>
  <c r="O139" i="1"/>
  <c r="X116" i="1"/>
  <c r="AC116" i="1"/>
  <c r="AB119" i="1"/>
  <c r="AB146" i="1" s="1"/>
  <c r="Y145" i="1"/>
  <c r="X143" i="1"/>
  <c r="X144" i="1"/>
  <c r="X145" i="1"/>
  <c r="AB128" i="1"/>
  <c r="AB132" i="1"/>
  <c r="AB124" i="1"/>
  <c r="Y119" i="1"/>
  <c r="Y127" i="1" s="1"/>
  <c r="Y122" i="1"/>
  <c r="AC145" i="1"/>
  <c r="AC119" i="1"/>
  <c r="AB129" i="1"/>
  <c r="AB133" i="1"/>
  <c r="X119" i="1"/>
  <c r="X134" i="1" s="1"/>
  <c r="AB125" i="1"/>
  <c r="AB131" i="1"/>
  <c r="AB134" i="1"/>
  <c r="Y136" i="1"/>
  <c r="Y116" i="1"/>
  <c r="Y135" i="1" s="1"/>
  <c r="AB130" i="1"/>
  <c r="AB143" i="1"/>
  <c r="AB144" i="1"/>
  <c r="Y125" i="1"/>
  <c r="Y133" i="1"/>
  <c r="Z140" i="1"/>
  <c r="AC125" i="1"/>
  <c r="AB122" i="1"/>
  <c r="AB138" i="1" s="1"/>
  <c r="AB123" i="1"/>
  <c r="AB126" i="1"/>
  <c r="AB145" i="1"/>
  <c r="AB127" i="1"/>
  <c r="Y143" i="1"/>
  <c r="Y144" i="1"/>
  <c r="Y134" i="1"/>
  <c r="Y131" i="1"/>
  <c r="AB136" i="1"/>
  <c r="AB116" i="1"/>
  <c r="AB135" i="1" s="1"/>
  <c r="AB137" i="1"/>
  <c r="AC144" i="1"/>
  <c r="AC143" i="1"/>
  <c r="E126" i="1"/>
  <c r="S139" i="1"/>
  <c r="M126" i="1"/>
  <c r="M132" i="1"/>
  <c r="E130" i="1"/>
  <c r="E133" i="1"/>
  <c r="M137" i="1"/>
  <c r="E134" i="1"/>
  <c r="M133" i="1"/>
  <c r="E137" i="1"/>
  <c r="E129" i="1"/>
  <c r="E132" i="1"/>
  <c r="E128" i="1"/>
  <c r="M127" i="1"/>
  <c r="E124" i="1"/>
  <c r="E123" i="1"/>
  <c r="E122" i="1"/>
  <c r="E136" i="1"/>
  <c r="M136" i="1"/>
  <c r="P138" i="1"/>
  <c r="R136" i="1"/>
  <c r="R139" i="1" s="1"/>
  <c r="V116" i="1"/>
  <c r="B139" i="1"/>
  <c r="N119" i="1"/>
  <c r="T144" i="1"/>
  <c r="T143" i="1"/>
  <c r="U144" i="1"/>
  <c r="U143" i="1"/>
  <c r="I119" i="1"/>
  <c r="I132" i="1" s="1"/>
  <c r="K119" i="1"/>
  <c r="K128" i="1" s="1"/>
  <c r="K143" i="1"/>
  <c r="K144" i="1"/>
  <c r="N116" i="1"/>
  <c r="N135" i="1" s="1"/>
  <c r="N136" i="1"/>
  <c r="E116" i="1"/>
  <c r="E135" i="1" s="1"/>
  <c r="N134" i="1"/>
  <c r="N133" i="1"/>
  <c r="N143" i="1"/>
  <c r="N130" i="1"/>
  <c r="N144" i="1"/>
  <c r="C145" i="1"/>
  <c r="V119" i="1"/>
  <c r="V128" i="1" s="1"/>
  <c r="M116" i="1"/>
  <c r="M135" i="1" s="1"/>
  <c r="Q144" i="1"/>
  <c r="Q143" i="1"/>
  <c r="Q119" i="1"/>
  <c r="Q132" i="1" s="1"/>
  <c r="G119" i="1"/>
  <c r="G137" i="1" s="1"/>
  <c r="K127" i="1"/>
  <c r="K145" i="1"/>
  <c r="K126" i="1"/>
  <c r="T145" i="1"/>
  <c r="F138" i="1"/>
  <c r="D138" i="1"/>
  <c r="N125" i="1"/>
  <c r="L138" i="1"/>
  <c r="L140" i="1" s="1"/>
  <c r="H138" i="1"/>
  <c r="H140" i="1" s="1"/>
  <c r="K123" i="1"/>
  <c r="K132" i="1"/>
  <c r="K133" i="1"/>
  <c r="U136" i="1"/>
  <c r="U116" i="1"/>
  <c r="N123" i="1"/>
  <c r="N132" i="1"/>
  <c r="N129" i="1"/>
  <c r="T119" i="1"/>
  <c r="T133" i="1" s="1"/>
  <c r="U126" i="1"/>
  <c r="U145" i="1"/>
  <c r="U119" i="1"/>
  <c r="U125" i="1" s="1"/>
  <c r="C143" i="1"/>
  <c r="C144" i="1"/>
  <c r="V145" i="1"/>
  <c r="V144" i="1"/>
  <c r="V143" i="1"/>
  <c r="M146" i="1"/>
  <c r="M131" i="1"/>
  <c r="M123" i="1"/>
  <c r="M129" i="1"/>
  <c r="M134" i="1"/>
  <c r="M125" i="1"/>
  <c r="T116" i="1"/>
  <c r="T136" i="1"/>
  <c r="G116" i="1"/>
  <c r="G143" i="1"/>
  <c r="G144" i="1"/>
  <c r="I144" i="1"/>
  <c r="I143" i="1"/>
  <c r="F139" i="1"/>
  <c r="N122" i="1"/>
  <c r="B138" i="1"/>
  <c r="B140" i="1" s="1"/>
  <c r="C116" i="1"/>
  <c r="K116" i="1"/>
  <c r="K135" i="1" s="1"/>
  <c r="K136" i="1"/>
  <c r="I116" i="1"/>
  <c r="N137" i="1"/>
  <c r="N145" i="1"/>
  <c r="N131" i="1"/>
  <c r="N128" i="1"/>
  <c r="T127" i="1"/>
  <c r="T128" i="1"/>
  <c r="T134" i="1"/>
  <c r="U127" i="1"/>
  <c r="U134" i="1"/>
  <c r="C119" i="1"/>
  <c r="C127" i="1" s="1"/>
  <c r="V125" i="1"/>
  <c r="M122" i="1"/>
  <c r="G133" i="1"/>
  <c r="G145" i="1"/>
  <c r="W138" i="1"/>
  <c r="W140" i="1" s="1"/>
  <c r="AA138" i="1"/>
  <c r="AA140" i="1" s="1"/>
  <c r="O138" i="1"/>
  <c r="D139" i="1"/>
  <c r="D140" i="1" s="1"/>
  <c r="S138" i="1"/>
  <c r="S140" i="1" s="1"/>
  <c r="M139" i="1"/>
  <c r="P140" i="1"/>
  <c r="R138" i="1" l="1"/>
  <c r="R140" i="1" s="1"/>
  <c r="T135" i="1"/>
  <c r="U122" i="1"/>
  <c r="T122" i="1"/>
  <c r="I123" i="1"/>
  <c r="I137" i="1"/>
  <c r="I130" i="1"/>
  <c r="O140" i="1"/>
  <c r="C133" i="1"/>
  <c r="T124" i="1"/>
  <c r="E138" i="1"/>
  <c r="AB139" i="1"/>
  <c r="AB140" i="1" s="1"/>
  <c r="AC146" i="1"/>
  <c r="AC128" i="1"/>
  <c r="AC127" i="1"/>
  <c r="AC131" i="1"/>
  <c r="AC136" i="1"/>
  <c r="AC132" i="1"/>
  <c r="AC137" i="1"/>
  <c r="AC130" i="1"/>
  <c r="AC122" i="1"/>
  <c r="AC138" i="1" s="1"/>
  <c r="AC129" i="1"/>
  <c r="AC126" i="1"/>
  <c r="AC123" i="1"/>
  <c r="AC134" i="1"/>
  <c r="AC133" i="1"/>
  <c r="Y132" i="1"/>
  <c r="X131" i="1"/>
  <c r="AC124" i="1"/>
  <c r="X146" i="1"/>
  <c r="X125" i="1"/>
  <c r="X132" i="1"/>
  <c r="X137" i="1"/>
  <c r="X135" i="1"/>
  <c r="X124" i="1"/>
  <c r="X129" i="1"/>
  <c r="X130" i="1"/>
  <c r="X122" i="1"/>
  <c r="X138" i="1" s="1"/>
  <c r="X126" i="1"/>
  <c r="X136" i="1"/>
  <c r="X139" i="1" s="1"/>
  <c r="X123" i="1"/>
  <c r="X127" i="1"/>
  <c r="X133" i="1"/>
  <c r="X128" i="1"/>
  <c r="Y146" i="1"/>
  <c r="Y128" i="1"/>
  <c r="Y137" i="1"/>
  <c r="Y139" i="1" s="1"/>
  <c r="Y123" i="1"/>
  <c r="Y138" i="1" s="1"/>
  <c r="Y124" i="1"/>
  <c r="Y129" i="1"/>
  <c r="Y130" i="1"/>
  <c r="Y126" i="1"/>
  <c r="AC135" i="1"/>
  <c r="G125" i="1"/>
  <c r="I136" i="1"/>
  <c r="G135" i="1"/>
  <c r="E139" i="1"/>
  <c r="E140" i="1" s="1"/>
  <c r="I131" i="1"/>
  <c r="U130" i="1"/>
  <c r="U133" i="1"/>
  <c r="G126" i="1"/>
  <c r="I135" i="1"/>
  <c r="G130" i="1"/>
  <c r="G136" i="1"/>
  <c r="U124" i="1"/>
  <c r="I128" i="1"/>
  <c r="G134" i="1"/>
  <c r="G124" i="1"/>
  <c r="G131" i="1"/>
  <c r="C125" i="1"/>
  <c r="Q131" i="1"/>
  <c r="V130" i="1"/>
  <c r="G128" i="1"/>
  <c r="G122" i="1"/>
  <c r="K122" i="1"/>
  <c r="Q134" i="1"/>
  <c r="C122" i="1"/>
  <c r="V131" i="1"/>
  <c r="T137" i="1"/>
  <c r="T129" i="1"/>
  <c r="V134" i="1"/>
  <c r="Q129" i="1"/>
  <c r="M138" i="1"/>
  <c r="M140" i="1" s="1"/>
  <c r="C135" i="1"/>
  <c r="Q136" i="1"/>
  <c r="V126" i="1"/>
  <c r="T126" i="1"/>
  <c r="G129" i="1"/>
  <c r="K130" i="1"/>
  <c r="G132" i="1"/>
  <c r="K124" i="1"/>
  <c r="C146" i="1"/>
  <c r="C126" i="1"/>
  <c r="C134" i="1"/>
  <c r="C129" i="1"/>
  <c r="C137" i="1"/>
  <c r="I139" i="1"/>
  <c r="C136" i="1"/>
  <c r="C130" i="1"/>
  <c r="U123" i="1"/>
  <c r="T146" i="1"/>
  <c r="T131" i="1"/>
  <c r="T123" i="1"/>
  <c r="F140" i="1"/>
  <c r="V135" i="1"/>
  <c r="Q146" i="1"/>
  <c r="Q124" i="1"/>
  <c r="Q123" i="1"/>
  <c r="Q128" i="1"/>
  <c r="Q126" i="1"/>
  <c r="Q130" i="1"/>
  <c r="Q127" i="1"/>
  <c r="Q137" i="1"/>
  <c r="Q139" i="1" s="1"/>
  <c r="Q122" i="1"/>
  <c r="Q125" i="1"/>
  <c r="Q135" i="1"/>
  <c r="V122" i="1"/>
  <c r="C128" i="1"/>
  <c r="U128" i="1"/>
  <c r="T132" i="1"/>
  <c r="K125" i="1"/>
  <c r="G127" i="1"/>
  <c r="G139" i="1"/>
  <c r="C123" i="1"/>
  <c r="V146" i="1"/>
  <c r="V124" i="1"/>
  <c r="V133" i="1"/>
  <c r="V123" i="1"/>
  <c r="V127" i="1"/>
  <c r="V132" i="1"/>
  <c r="V137" i="1"/>
  <c r="V129" i="1"/>
  <c r="I146" i="1"/>
  <c r="I134" i="1"/>
  <c r="I127" i="1"/>
  <c r="I126" i="1"/>
  <c r="I133" i="1"/>
  <c r="I124" i="1"/>
  <c r="I122" i="1"/>
  <c r="C131" i="1"/>
  <c r="I125" i="1"/>
  <c r="C132" i="1"/>
  <c r="N146" i="1"/>
  <c r="N126" i="1"/>
  <c r="N127" i="1"/>
  <c r="N124" i="1"/>
  <c r="N138" i="1" s="1"/>
  <c r="N140" i="1" s="1"/>
  <c r="T139" i="1"/>
  <c r="C124" i="1"/>
  <c r="U146" i="1"/>
  <c r="U131" i="1"/>
  <c r="U132" i="1"/>
  <c r="U137" i="1"/>
  <c r="U139" i="1" s="1"/>
  <c r="U135" i="1"/>
  <c r="U129" i="1"/>
  <c r="G146" i="1"/>
  <c r="G123" i="1"/>
  <c r="T125" i="1"/>
  <c r="N139" i="1"/>
  <c r="K146" i="1"/>
  <c r="K137" i="1"/>
  <c r="K139" i="1" s="1"/>
  <c r="K134" i="1"/>
  <c r="K131" i="1"/>
  <c r="K129" i="1"/>
  <c r="V136" i="1"/>
  <c r="V139" i="1" s="1"/>
  <c r="Q133" i="1"/>
  <c r="T130" i="1"/>
  <c r="I129" i="1"/>
  <c r="AC139" i="1" l="1"/>
  <c r="AC140" i="1" s="1"/>
  <c r="X140" i="1"/>
  <c r="Y140" i="1"/>
  <c r="U138" i="1"/>
  <c r="U140" i="1" s="1"/>
  <c r="T138" i="1"/>
  <c r="G138" i="1"/>
  <c r="G140" i="1" s="1"/>
  <c r="K138" i="1"/>
  <c r="K140" i="1" s="1"/>
  <c r="T140" i="1"/>
  <c r="V138" i="1"/>
  <c r="V140" i="1" s="1"/>
  <c r="C138" i="1"/>
  <c r="I138" i="1"/>
  <c r="I140" i="1" s="1"/>
  <c r="Q138" i="1"/>
  <c r="Q140" i="1" s="1"/>
  <c r="C139" i="1"/>
  <c r="C140" i="1" l="1"/>
</calcChain>
</file>

<file path=xl/sharedStrings.xml><?xml version="1.0" encoding="utf-8"?>
<sst xmlns="http://schemas.openxmlformats.org/spreadsheetml/2006/main" count="278" uniqueCount="128">
  <si>
    <t>Liquids</t>
  </si>
  <si>
    <t>Oxygens</t>
  </si>
  <si>
    <t>OH</t>
  </si>
  <si>
    <t>K2O</t>
  </si>
  <si>
    <t>SiO2</t>
  </si>
  <si>
    <t>Na2O</t>
  </si>
  <si>
    <t>FeO</t>
  </si>
  <si>
    <t>Al2O3</t>
  </si>
  <si>
    <t>MgO</t>
  </si>
  <si>
    <t>MnO</t>
  </si>
  <si>
    <t>CaO</t>
  </si>
  <si>
    <t>TiO2</t>
  </si>
  <si>
    <t>Atoms</t>
  </si>
  <si>
    <t>Ox weight</t>
  </si>
  <si>
    <t>charge</t>
  </si>
  <si>
    <t>Cr2O3</t>
  </si>
  <si>
    <t>NiO</t>
  </si>
  <si>
    <t>Total</t>
  </si>
  <si>
    <t>Si</t>
  </si>
  <si>
    <t>Ti</t>
  </si>
  <si>
    <t>Cr</t>
  </si>
  <si>
    <t>Al</t>
  </si>
  <si>
    <t>Fe</t>
  </si>
  <si>
    <t>Mn</t>
  </si>
  <si>
    <t>Ni</t>
  </si>
  <si>
    <t>Mg</t>
  </si>
  <si>
    <t>Ca</t>
  </si>
  <si>
    <t>Na</t>
  </si>
  <si>
    <t>K</t>
  </si>
  <si>
    <t>Charges</t>
  </si>
  <si>
    <t>Fe2+</t>
  </si>
  <si>
    <t>Fe3+</t>
  </si>
  <si>
    <t>Wt.% Recalculated</t>
  </si>
  <si>
    <t>Fe2O3</t>
  </si>
  <si>
    <t>Number OXYGENS</t>
  </si>
  <si>
    <t>Number OH-sites</t>
  </si>
  <si>
    <t>#Cat</t>
  </si>
  <si>
    <t>#Oxygens</t>
  </si>
  <si>
    <t>#OH-sites</t>
  </si>
  <si>
    <t xml:space="preserve">150 F1000 BIO1      </t>
  </si>
  <si>
    <t xml:space="preserve">151 F1000 BIO2      </t>
  </si>
  <si>
    <t xml:space="preserve">158 F1000 BIO3      </t>
  </si>
  <si>
    <t xml:space="preserve">161 F1000 BIO4      </t>
  </si>
  <si>
    <t xml:space="preserve"> 13 F1000 BIO5      </t>
  </si>
  <si>
    <t xml:space="preserve"> 14 F1000 BIO6      </t>
  </si>
  <si>
    <t xml:space="preserve"> 16 F1000 BIO7      </t>
  </si>
  <si>
    <t xml:space="preserve"> 19 F1000 BIO8      </t>
  </si>
  <si>
    <t xml:space="preserve">   </t>
  </si>
  <si>
    <t xml:space="preserve"> </t>
  </si>
  <si>
    <t xml:space="preserve">  </t>
  </si>
  <si>
    <t>SumCAT</t>
  </si>
  <si>
    <t>Ratios and Site activities</t>
  </si>
  <si>
    <t>xMg(Fe2+)</t>
  </si>
  <si>
    <t>xMg(Fetot)</t>
  </si>
  <si>
    <t>Cat mult</t>
  </si>
  <si>
    <t>Input</t>
  </si>
  <si>
    <t>H2O</t>
  </si>
  <si>
    <t>F</t>
  </si>
  <si>
    <t>Cl</t>
  </si>
  <si>
    <t>H</t>
  </si>
  <si>
    <t>F,Cl=O</t>
  </si>
  <si>
    <t>xFe3+</t>
  </si>
  <si>
    <t>Additional Element (for HFSE-partitioning runs)</t>
  </si>
  <si>
    <t>Element</t>
  </si>
  <si>
    <t>Formula</t>
  </si>
  <si>
    <t>Y</t>
  </si>
  <si>
    <t>Y2O3</t>
  </si>
  <si>
    <t>#Ox</t>
  </si>
  <si>
    <t>El. Weight</t>
  </si>
  <si>
    <t>Oxygen</t>
  </si>
  <si>
    <t>Sc</t>
  </si>
  <si>
    <t>Sc2O3</t>
  </si>
  <si>
    <t>V</t>
  </si>
  <si>
    <t>V2O5</t>
  </si>
  <si>
    <t>P</t>
  </si>
  <si>
    <t>P2O5</t>
  </si>
  <si>
    <t>Zr</t>
  </si>
  <si>
    <t>ZrO2</t>
  </si>
  <si>
    <t>Nb</t>
  </si>
  <si>
    <t>Nb2O5</t>
  </si>
  <si>
    <t>Hf</t>
  </si>
  <si>
    <t>HfO2</t>
  </si>
  <si>
    <t>Ta</t>
  </si>
  <si>
    <t>Ta2O5</t>
  </si>
  <si>
    <t>Add El</t>
  </si>
  <si>
    <t>Add ox</t>
  </si>
  <si>
    <t>Biotite</t>
  </si>
  <si>
    <t>Muscovite</t>
  </si>
  <si>
    <t>*Ox</t>
  </si>
  <si>
    <t>Form wt.</t>
  </si>
  <si>
    <t>Fe3+/Fetot</t>
  </si>
  <si>
    <t>Total charges/2</t>
  </si>
  <si>
    <t>Atoms Fe3+=Input</t>
  </si>
  <si>
    <t>General Oxygen</t>
  </si>
  <si>
    <t>Cations (Fe2+/Fe3+ Input)</t>
  </si>
  <si>
    <t>Ox-corr</t>
  </si>
  <si>
    <t>Charge(corr)</t>
  </si>
  <si>
    <t>Factor</t>
  </si>
  <si>
    <t>Total Cations</t>
  </si>
  <si>
    <t>General Oxygen  NORM (number oxygens and OH-sites given in Input)</t>
  </si>
  <si>
    <t>NB: number of oxygens = total number of oxygens including oxygens from OH</t>
  </si>
  <si>
    <t xml:space="preserve">24 / 1 . </t>
  </si>
  <si>
    <t xml:space="preserve">23 / 1 . </t>
  </si>
  <si>
    <t xml:space="preserve">3 / 1 . </t>
  </si>
  <si>
    <t xml:space="preserve">11 / 1 . </t>
  </si>
  <si>
    <t xml:space="preserve">12 / 1 . </t>
  </si>
  <si>
    <t xml:space="preserve">13 / 1 . </t>
  </si>
  <si>
    <t xml:space="preserve">14 / 1 . </t>
  </si>
  <si>
    <t xml:space="preserve">2 / 1 . </t>
  </si>
  <si>
    <t xml:space="preserve">10 / 1 . </t>
  </si>
  <si>
    <t xml:space="preserve">21 / 1 . </t>
  </si>
  <si>
    <t xml:space="preserve">36 / 1 . </t>
  </si>
  <si>
    <t xml:space="preserve">37 / 1 . </t>
  </si>
  <si>
    <t xml:space="preserve">39 / 1 . </t>
  </si>
  <si>
    <t xml:space="preserve">9 / 1 . </t>
  </si>
  <si>
    <t xml:space="preserve">22 / 1 . </t>
  </si>
  <si>
    <t xml:space="preserve">25 / 1 . </t>
  </si>
  <si>
    <t xml:space="preserve">38 / 1 . </t>
  </si>
  <si>
    <t>YG182_1_Gt</t>
  </si>
  <si>
    <t>YG182_1_GtC</t>
  </si>
  <si>
    <t>YG182_1_GtB</t>
  </si>
  <si>
    <t>YG182_2_GtC</t>
  </si>
  <si>
    <t>YG182_2_GtB</t>
  </si>
  <si>
    <t>YG182_2_GrtC</t>
  </si>
  <si>
    <t>YG182_2_GrtB</t>
  </si>
  <si>
    <t>Mn/(Mn+Fe+Mg+Ca)</t>
  </si>
  <si>
    <t>Mg/(Mn+Fe+Mg+Ca)</t>
  </si>
  <si>
    <t>Différencier CŒUR et BORD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</si>
</sst>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6" formatCode="0.000"/>
  </numFmts>
  <fonts count="8" x14ac:knownFonts="1">
    <font>
      <sz val="10"/>
      <name val="Times"/>
    </font>
    <font>
      <sz val="10"/>
      <name val="Arial"/>
      <family val="2"/>
    </font>
    <font>
      <sz val="8"/>
      <name val="Times"/>
      <family val="1"/>
    </font>
    <font>
      <b/>
      <sz val="12"/>
      <color indexed="10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86" fontId="1" fillId="0" borderId="0" xfId="0" applyNumberFormat="1" applyFont="1"/>
    <xf numFmtId="186" fontId="1" fillId="0" borderId="0" xfId="0" applyNumberFormat="1" applyFont="1" applyFill="1" applyBorder="1"/>
    <xf numFmtId="186" fontId="1" fillId="2" borderId="0" xfId="0" applyNumberFormat="1" applyFont="1" applyFill="1"/>
    <xf numFmtId="186" fontId="1" fillId="0" borderId="0" xfId="0" applyNumberFormat="1" applyFont="1" applyFill="1"/>
    <xf numFmtId="186" fontId="1" fillId="2" borderId="1" xfId="0" applyNumberFormat="1" applyFont="1" applyFill="1" applyBorder="1"/>
    <xf numFmtId="186" fontId="1" fillId="2" borderId="2" xfId="0" applyNumberFormat="1" applyFont="1" applyFill="1" applyBorder="1"/>
    <xf numFmtId="186" fontId="1" fillId="3" borderId="1" xfId="0" applyNumberFormat="1" applyFont="1" applyFill="1" applyBorder="1"/>
    <xf numFmtId="186" fontId="1" fillId="3" borderId="2" xfId="0" applyNumberFormat="1" applyFont="1" applyFill="1" applyBorder="1"/>
    <xf numFmtId="186" fontId="1" fillId="2" borderId="3" xfId="0" applyNumberFormat="1" applyFont="1" applyFill="1" applyBorder="1"/>
    <xf numFmtId="186" fontId="1" fillId="2" borderId="4" xfId="0" applyNumberFormat="1" applyFont="1" applyFill="1" applyBorder="1"/>
    <xf numFmtId="186" fontId="1" fillId="2" borderId="5" xfId="0" applyNumberFormat="1" applyFont="1" applyFill="1" applyBorder="1"/>
    <xf numFmtId="186" fontId="1" fillId="2" borderId="6" xfId="0" applyNumberFormat="1" applyFont="1" applyFill="1" applyBorder="1"/>
    <xf numFmtId="186" fontId="1" fillId="2" borderId="7" xfId="0" applyNumberFormat="1" applyFont="1" applyFill="1" applyBorder="1"/>
    <xf numFmtId="186" fontId="1" fillId="2" borderId="8" xfId="0" applyNumberFormat="1" applyFont="1" applyFill="1" applyBorder="1"/>
    <xf numFmtId="186" fontId="1" fillId="2" borderId="9" xfId="0" applyNumberFormat="1" applyFont="1" applyFill="1" applyBorder="1"/>
    <xf numFmtId="186" fontId="1" fillId="2" borderId="10" xfId="0" applyNumberFormat="1" applyFont="1" applyFill="1" applyBorder="1"/>
    <xf numFmtId="186" fontId="3" fillId="2" borderId="0" xfId="0" applyNumberFormat="1" applyFont="1" applyFill="1" applyBorder="1"/>
    <xf numFmtId="186" fontId="4" fillId="0" borderId="0" xfId="0" applyNumberFormat="1" applyFont="1"/>
    <xf numFmtId="186" fontId="1" fillId="3" borderId="0" xfId="0" applyNumberFormat="1" applyFont="1" applyFill="1" applyBorder="1"/>
    <xf numFmtId="186" fontId="1" fillId="4" borderId="11" xfId="0" applyNumberFormat="1" applyFont="1" applyFill="1" applyBorder="1"/>
    <xf numFmtId="186" fontId="1" fillId="4" borderId="1" xfId="0" applyNumberFormat="1" applyFont="1" applyFill="1" applyBorder="1"/>
    <xf numFmtId="186" fontId="1" fillId="4" borderId="12" xfId="0" applyNumberFormat="1" applyFont="1" applyFill="1" applyBorder="1"/>
    <xf numFmtId="186" fontId="5" fillId="4" borderId="13" xfId="0" applyNumberFormat="1" applyFont="1" applyFill="1" applyBorder="1"/>
    <xf numFmtId="186" fontId="5" fillId="4" borderId="0" xfId="0" applyNumberFormat="1" applyFont="1" applyFill="1" applyBorder="1"/>
    <xf numFmtId="186" fontId="1" fillId="4" borderId="14" xfId="0" applyNumberFormat="1" applyFont="1" applyFill="1" applyBorder="1"/>
    <xf numFmtId="186" fontId="3" fillId="4" borderId="13" xfId="0" applyNumberFormat="1" applyFont="1" applyFill="1" applyBorder="1"/>
    <xf numFmtId="186" fontId="3" fillId="4" borderId="0" xfId="0" applyNumberFormat="1" applyFont="1" applyFill="1" applyBorder="1"/>
    <xf numFmtId="186" fontId="1" fillId="4" borderId="15" xfId="0" applyNumberFormat="1" applyFont="1" applyFill="1" applyBorder="1"/>
    <xf numFmtId="186" fontId="1" fillId="4" borderId="2" xfId="0" applyNumberFormat="1" applyFont="1" applyFill="1" applyBorder="1"/>
    <xf numFmtId="186" fontId="1" fillId="4" borderId="16" xfId="0" applyNumberFormat="1" applyFont="1" applyFill="1" applyBorder="1"/>
    <xf numFmtId="186" fontId="0" fillId="0" borderId="0" xfId="0" applyNumberFormat="1"/>
    <xf numFmtId="186" fontId="1" fillId="3" borderId="11" xfId="0" applyNumberFormat="1" applyFont="1" applyFill="1" applyBorder="1"/>
    <xf numFmtId="186" fontId="0" fillId="3" borderId="1" xfId="0" applyNumberFormat="1" applyFill="1" applyBorder="1"/>
    <xf numFmtId="186" fontId="1" fillId="3" borderId="13" xfId="0" applyNumberFormat="1" applyFont="1" applyFill="1" applyBorder="1"/>
    <xf numFmtId="186" fontId="0" fillId="3" borderId="0" xfId="0" applyNumberFormat="1" applyFill="1" applyBorder="1"/>
    <xf numFmtId="186" fontId="1" fillId="3" borderId="15" xfId="0" applyNumberFormat="1" applyFont="1" applyFill="1" applyBorder="1"/>
    <xf numFmtId="186" fontId="0" fillId="3" borderId="2" xfId="0" applyNumberFormat="1" applyFill="1" applyBorder="1"/>
    <xf numFmtId="186" fontId="1" fillId="5" borderId="13" xfId="0" applyNumberFormat="1" applyFont="1" applyFill="1" applyBorder="1"/>
    <xf numFmtId="186" fontId="1" fillId="5" borderId="0" xfId="0" applyNumberFormat="1" applyFont="1" applyFill="1" applyBorder="1"/>
    <xf numFmtId="186" fontId="0" fillId="5" borderId="0" xfId="0" applyNumberFormat="1" applyFill="1" applyBorder="1"/>
    <xf numFmtId="2" fontId="1" fillId="0" borderId="0" xfId="0" applyNumberFormat="1" applyFont="1"/>
    <xf numFmtId="186" fontId="6" fillId="0" borderId="17" xfId="0" applyNumberFormat="1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"/>
  <sheetViews>
    <sheetView topLeftCell="E1" workbookViewId="0">
      <selection activeCell="W2" sqref="W2"/>
    </sheetView>
  </sheetViews>
  <sheetFormatPr baseColWidth="10" defaultRowHeight="14" x14ac:dyDescent="0.2"/>
  <cols>
    <col min="1" max="1" width="19.59765625" style="1" customWidth="1"/>
    <col min="2" max="4" width="11" style="1" customWidth="1"/>
    <col min="5" max="5" width="11" style="2" customWidth="1"/>
    <col min="6" max="7" width="11" style="1" customWidth="1"/>
    <col min="8" max="16384" width="11" style="31"/>
  </cols>
  <sheetData>
    <row r="1" spans="1:40" s="1" customFormat="1" x14ac:dyDescent="0.2">
      <c r="B1" t="s">
        <v>108</v>
      </c>
      <c r="C1" t="s">
        <v>103</v>
      </c>
      <c r="D1" t="s">
        <v>114</v>
      </c>
      <c r="E1" t="s">
        <v>109</v>
      </c>
      <c r="F1" t="s">
        <v>104</v>
      </c>
      <c r="G1" t="s">
        <v>105</v>
      </c>
      <c r="H1" t="s">
        <v>106</v>
      </c>
      <c r="I1" t="s">
        <v>107</v>
      </c>
      <c r="J1" t="s">
        <v>110</v>
      </c>
      <c r="K1" t="s">
        <v>115</v>
      </c>
      <c r="L1" t="s">
        <v>102</v>
      </c>
      <c r="M1" t="s">
        <v>101</v>
      </c>
      <c r="N1" t="s">
        <v>116</v>
      </c>
      <c r="O1" t="s">
        <v>110</v>
      </c>
      <c r="P1" t="s">
        <v>115</v>
      </c>
      <c r="Q1" t="s">
        <v>102</v>
      </c>
      <c r="R1" t="s">
        <v>101</v>
      </c>
      <c r="S1" t="s">
        <v>116</v>
      </c>
      <c r="T1" t="s">
        <v>111</v>
      </c>
      <c r="U1" t="s">
        <v>112</v>
      </c>
      <c r="V1" t="s">
        <v>117</v>
      </c>
      <c r="W1" t="s">
        <v>113</v>
      </c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</row>
    <row r="2" spans="1:40" s="1" customFormat="1" x14ac:dyDescent="0.2">
      <c r="B2" t="s">
        <v>118</v>
      </c>
      <c r="C2" t="s">
        <v>118</v>
      </c>
      <c r="D2" t="s">
        <v>119</v>
      </c>
      <c r="E2" t="s">
        <v>120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123</v>
      </c>
      <c r="M2" t="s">
        <v>124</v>
      </c>
      <c r="N2" t="s">
        <v>124</v>
      </c>
      <c r="O2" t="s">
        <v>123</v>
      </c>
      <c r="P2" t="s">
        <v>124</v>
      </c>
      <c r="Q2" t="s">
        <v>123</v>
      </c>
      <c r="R2" t="s">
        <v>124</v>
      </c>
      <c r="S2" t="s">
        <v>124</v>
      </c>
      <c r="T2" t="s">
        <v>119</v>
      </c>
      <c r="U2" t="s">
        <v>120</v>
      </c>
      <c r="V2" t="s">
        <v>119</v>
      </c>
      <c r="W2" t="s">
        <v>120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s="1" customFormat="1" x14ac:dyDescent="0.2">
      <c r="A3" s="1" t="s">
        <v>4</v>
      </c>
      <c r="B3">
        <v>36.86</v>
      </c>
      <c r="C3">
        <v>37.56</v>
      </c>
      <c r="D3">
        <v>37.229999999999997</v>
      </c>
      <c r="E3">
        <v>37.65</v>
      </c>
      <c r="F3">
        <v>36.76</v>
      </c>
      <c r="G3">
        <v>37.67</v>
      </c>
      <c r="H3">
        <v>36.83</v>
      </c>
      <c r="I3">
        <v>37.11</v>
      </c>
      <c r="J3">
        <v>37.19</v>
      </c>
      <c r="K3">
        <v>37.46</v>
      </c>
      <c r="L3">
        <v>37.200000000000003</v>
      </c>
      <c r="M3">
        <v>37.35</v>
      </c>
      <c r="N3">
        <v>36.840000000000003</v>
      </c>
      <c r="O3">
        <v>37.19</v>
      </c>
      <c r="P3">
        <v>37.46</v>
      </c>
      <c r="Q3">
        <v>37.200000000000003</v>
      </c>
      <c r="R3">
        <v>37.35</v>
      </c>
      <c r="S3">
        <v>36.840000000000003</v>
      </c>
      <c r="T3">
        <v>37.090000000000003</v>
      </c>
      <c r="U3">
        <v>36.909999999999997</v>
      </c>
      <c r="V3">
        <v>37.229999999999997</v>
      </c>
      <c r="W3">
        <v>37.630000000000003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s="1" customFormat="1" x14ac:dyDescent="0.2">
      <c r="A4" s="1" t="s">
        <v>11</v>
      </c>
      <c r="B4">
        <v>0.28000000000000003</v>
      </c>
      <c r="C4">
        <v>0.06</v>
      </c>
      <c r="D4">
        <v>0.22</v>
      </c>
      <c r="E4">
        <v>7.0000000000000007E-2</v>
      </c>
      <c r="F4">
        <v>0.31</v>
      </c>
      <c r="G4">
        <v>0.13</v>
      </c>
      <c r="H4">
        <v>0.11</v>
      </c>
      <c r="I4">
        <v>0.06</v>
      </c>
      <c r="J4">
        <v>0.08</v>
      </c>
      <c r="K4">
        <v>0.11</v>
      </c>
      <c r="L4">
        <v>0.06</v>
      </c>
      <c r="M4">
        <v>0.06</v>
      </c>
      <c r="N4">
        <v>0.55000000000000004</v>
      </c>
      <c r="O4">
        <v>0.08</v>
      </c>
      <c r="P4">
        <v>0.11</v>
      </c>
      <c r="Q4">
        <v>0.06</v>
      </c>
      <c r="R4">
        <v>0.06</v>
      </c>
      <c r="S4">
        <v>0.55000000000000004</v>
      </c>
      <c r="T4">
        <v>0.2</v>
      </c>
      <c r="U4">
        <v>0.09</v>
      </c>
      <c r="V4">
        <v>0.55000000000000004</v>
      </c>
      <c r="W4">
        <v>0.05</v>
      </c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s="1" customFormat="1" x14ac:dyDescent="0.2">
      <c r="A5" s="1" t="s">
        <v>15</v>
      </c>
      <c r="B5">
        <v>0</v>
      </c>
      <c r="C5">
        <v>0.01</v>
      </c>
      <c r="D5">
        <v>0.01</v>
      </c>
      <c r="E5">
        <v>0</v>
      </c>
      <c r="F5">
        <v>0</v>
      </c>
      <c r="G5">
        <v>0.01</v>
      </c>
      <c r="H5">
        <v>0</v>
      </c>
      <c r="I5">
        <v>0</v>
      </c>
      <c r="J5">
        <v>0.02</v>
      </c>
      <c r="K5">
        <v>0.02</v>
      </c>
      <c r="L5">
        <v>0</v>
      </c>
      <c r="M5">
        <v>0</v>
      </c>
      <c r="N5">
        <v>0.01</v>
      </c>
      <c r="O5">
        <v>0.02</v>
      </c>
      <c r="P5">
        <v>0.02</v>
      </c>
      <c r="Q5">
        <v>0</v>
      </c>
      <c r="R5">
        <v>0</v>
      </c>
      <c r="S5">
        <v>0.01</v>
      </c>
      <c r="T5">
        <v>0</v>
      </c>
      <c r="U5">
        <v>0.03</v>
      </c>
      <c r="V5">
        <v>0</v>
      </c>
      <c r="W5">
        <v>0.03</v>
      </c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s="1" customFormat="1" x14ac:dyDescent="0.2">
      <c r="A6" s="1" t="s">
        <v>7</v>
      </c>
      <c r="B6">
        <v>20.190000000000001</v>
      </c>
      <c r="C6">
        <v>21.12</v>
      </c>
      <c r="D6">
        <v>20.18</v>
      </c>
      <c r="E6">
        <v>20.98</v>
      </c>
      <c r="F6">
        <v>20</v>
      </c>
      <c r="G6">
        <v>21.1</v>
      </c>
      <c r="H6">
        <v>20.52</v>
      </c>
      <c r="I6">
        <v>20.420000000000002</v>
      </c>
      <c r="J6">
        <v>20.8</v>
      </c>
      <c r="K6">
        <v>20.82</v>
      </c>
      <c r="L6">
        <v>20.51</v>
      </c>
      <c r="M6">
        <v>20.83</v>
      </c>
      <c r="N6">
        <v>19.45</v>
      </c>
      <c r="O6">
        <v>20.8</v>
      </c>
      <c r="P6">
        <v>20.82</v>
      </c>
      <c r="Q6">
        <v>20.51</v>
      </c>
      <c r="R6">
        <v>20.83</v>
      </c>
      <c r="S6">
        <v>19.45</v>
      </c>
      <c r="T6">
        <v>20.02</v>
      </c>
      <c r="U6">
        <v>20.2</v>
      </c>
      <c r="V6">
        <v>20.02</v>
      </c>
      <c r="W6">
        <v>20.64</v>
      </c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s="1" customFormat="1" x14ac:dyDescent="0.2">
      <c r="A7" s="1" t="s">
        <v>6</v>
      </c>
      <c r="B7">
        <v>20.36</v>
      </c>
      <c r="C7">
        <v>23.26</v>
      </c>
      <c r="D7">
        <v>19.66</v>
      </c>
      <c r="E7">
        <v>20.36</v>
      </c>
      <c r="F7">
        <v>8.8800000000000008</v>
      </c>
      <c r="G7">
        <v>20.46</v>
      </c>
      <c r="H7">
        <v>19.649999999999999</v>
      </c>
      <c r="I7">
        <v>18.239999999999998</v>
      </c>
      <c r="J7">
        <v>18.39</v>
      </c>
      <c r="K7">
        <v>21.68</v>
      </c>
      <c r="L7">
        <v>17.55</v>
      </c>
      <c r="M7">
        <v>21.47</v>
      </c>
      <c r="N7">
        <v>19.16</v>
      </c>
      <c r="O7">
        <v>18.39</v>
      </c>
      <c r="P7">
        <v>21.68</v>
      </c>
      <c r="Q7">
        <v>17.55</v>
      </c>
      <c r="R7">
        <v>21.47</v>
      </c>
      <c r="S7">
        <v>19.16</v>
      </c>
      <c r="T7">
        <v>20.97</v>
      </c>
      <c r="U7">
        <v>17.66</v>
      </c>
      <c r="V7">
        <v>21.75</v>
      </c>
      <c r="W7">
        <v>21.38</v>
      </c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s="1" customFormat="1" x14ac:dyDescent="0.2">
      <c r="A8" s="1" t="s">
        <v>9</v>
      </c>
      <c r="B8">
        <v>16.95</v>
      </c>
      <c r="C8">
        <v>12.57</v>
      </c>
      <c r="D8">
        <v>18.559999999999999</v>
      </c>
      <c r="E8">
        <v>16.64</v>
      </c>
      <c r="F8">
        <v>30.15</v>
      </c>
      <c r="G8">
        <v>15.01</v>
      </c>
      <c r="H8">
        <v>19.07</v>
      </c>
      <c r="I8">
        <v>20.02</v>
      </c>
      <c r="J8">
        <v>20.079999999999998</v>
      </c>
      <c r="K8">
        <v>13.58</v>
      </c>
      <c r="L8">
        <v>21.19</v>
      </c>
      <c r="M8">
        <v>13.71</v>
      </c>
      <c r="N8">
        <v>20.34</v>
      </c>
      <c r="O8">
        <v>20.079999999999998</v>
      </c>
      <c r="P8">
        <v>13.58</v>
      </c>
      <c r="Q8">
        <v>21.19</v>
      </c>
      <c r="R8">
        <v>13.71</v>
      </c>
      <c r="S8">
        <v>20.34</v>
      </c>
      <c r="T8">
        <v>16.420000000000002</v>
      </c>
      <c r="U8">
        <v>19.97</v>
      </c>
      <c r="V8">
        <v>15.13</v>
      </c>
      <c r="W8">
        <v>14.99</v>
      </c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s="1" customFormat="1" x14ac:dyDescent="0.2">
      <c r="A9" s="1" t="s">
        <v>16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s="1" customFormat="1" x14ac:dyDescent="0.2">
      <c r="A10" s="1" t="s">
        <v>8</v>
      </c>
      <c r="B10">
        <v>3.72</v>
      </c>
      <c r="C10">
        <v>4.49</v>
      </c>
      <c r="D10">
        <v>3.36</v>
      </c>
      <c r="E10">
        <v>3.99</v>
      </c>
      <c r="F10">
        <v>2.73</v>
      </c>
      <c r="G10">
        <v>4.03</v>
      </c>
      <c r="H10">
        <v>3.15</v>
      </c>
      <c r="I10">
        <v>3.33</v>
      </c>
      <c r="J10">
        <v>3.19</v>
      </c>
      <c r="K10">
        <v>4.2300000000000004</v>
      </c>
      <c r="L10">
        <v>3.08</v>
      </c>
      <c r="M10">
        <v>4.26</v>
      </c>
      <c r="N10">
        <v>3.19</v>
      </c>
      <c r="O10">
        <v>3.19</v>
      </c>
      <c r="P10">
        <v>4.2300000000000004</v>
      </c>
      <c r="Q10">
        <v>3.08</v>
      </c>
      <c r="R10">
        <v>4.26</v>
      </c>
      <c r="S10">
        <v>3.19</v>
      </c>
      <c r="T10">
        <v>3.99</v>
      </c>
      <c r="U10">
        <v>3.57</v>
      </c>
      <c r="V10">
        <v>4.0199999999999996</v>
      </c>
      <c r="W10">
        <v>4.29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s="1" customFormat="1" x14ac:dyDescent="0.2">
      <c r="A11" s="1" t="s">
        <v>10</v>
      </c>
      <c r="B11">
        <v>1.37</v>
      </c>
      <c r="C11">
        <v>1.83</v>
      </c>
      <c r="D11">
        <v>1.21</v>
      </c>
      <c r="E11">
        <v>1.1200000000000001</v>
      </c>
      <c r="F11">
        <v>1.17</v>
      </c>
      <c r="G11">
        <v>2.27</v>
      </c>
      <c r="H11">
        <v>1.3</v>
      </c>
      <c r="I11">
        <v>1.02</v>
      </c>
      <c r="J11">
        <v>1.1399999999999999</v>
      </c>
      <c r="K11">
        <v>2.27</v>
      </c>
      <c r="L11">
        <v>1.1299999999999999</v>
      </c>
      <c r="M11">
        <v>1.88</v>
      </c>
      <c r="N11">
        <v>1.01</v>
      </c>
      <c r="O11">
        <v>1.1399999999999999</v>
      </c>
      <c r="P11">
        <v>2.27</v>
      </c>
      <c r="Q11">
        <v>1.1299999999999999</v>
      </c>
      <c r="R11">
        <v>1.88</v>
      </c>
      <c r="S11">
        <v>1.01</v>
      </c>
      <c r="T11">
        <v>1.27</v>
      </c>
      <c r="U11">
        <v>1.25</v>
      </c>
      <c r="V11">
        <v>1.54</v>
      </c>
      <c r="W11">
        <v>1.25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s="1" customFormat="1" x14ac:dyDescent="0.2">
      <c r="A12" s="1" t="s">
        <v>5</v>
      </c>
      <c r="B12">
        <v>0.04</v>
      </c>
      <c r="C12">
        <v>0</v>
      </c>
      <c r="D12">
        <v>0.04</v>
      </c>
      <c r="E12">
        <v>0.04</v>
      </c>
      <c r="F12">
        <v>0</v>
      </c>
      <c r="G12">
        <v>0.03</v>
      </c>
      <c r="H12">
        <v>0</v>
      </c>
      <c r="I12">
        <v>0.05</v>
      </c>
      <c r="J12">
        <v>0.03</v>
      </c>
      <c r="K12">
        <v>0.04</v>
      </c>
      <c r="L12">
        <v>0.03</v>
      </c>
      <c r="M12">
        <v>0.02</v>
      </c>
      <c r="N12">
        <v>0.03</v>
      </c>
      <c r="O12">
        <v>0.03</v>
      </c>
      <c r="P12">
        <v>0.04</v>
      </c>
      <c r="Q12">
        <v>0.03</v>
      </c>
      <c r="R12">
        <v>0.02</v>
      </c>
      <c r="S12">
        <v>0.03</v>
      </c>
      <c r="T12">
        <v>0.02</v>
      </c>
      <c r="U12">
        <v>0.05</v>
      </c>
      <c r="V12">
        <v>0</v>
      </c>
      <c r="W12">
        <v>0.05</v>
      </c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s="1" customFormat="1" x14ac:dyDescent="0.2">
      <c r="A13" s="1" t="s">
        <v>3</v>
      </c>
      <c r="B13">
        <v>0.03</v>
      </c>
      <c r="C13">
        <v>0</v>
      </c>
      <c r="D13">
        <v>0</v>
      </c>
      <c r="E13">
        <v>0</v>
      </c>
      <c r="F13">
        <v>0</v>
      </c>
      <c r="G13">
        <v>0</v>
      </c>
      <c r="H13">
        <v>0.01</v>
      </c>
      <c r="I13">
        <v>0.01</v>
      </c>
      <c r="J13">
        <v>0</v>
      </c>
      <c r="K13">
        <v>0</v>
      </c>
      <c r="L13">
        <v>0.01</v>
      </c>
      <c r="M13">
        <v>0</v>
      </c>
      <c r="N13">
        <v>0</v>
      </c>
      <c r="O13">
        <v>0</v>
      </c>
      <c r="P13">
        <v>0</v>
      </c>
      <c r="Q13">
        <v>0.01</v>
      </c>
      <c r="R13">
        <v>0</v>
      </c>
      <c r="S13">
        <v>0</v>
      </c>
      <c r="T13">
        <v>0</v>
      </c>
      <c r="U13">
        <v>0</v>
      </c>
      <c r="V13">
        <v>0.01</v>
      </c>
      <c r="W13">
        <v>0</v>
      </c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s="1" customFormat="1" x14ac:dyDescent="0.2">
      <c r="A14" s="1" t="str">
        <f>B39</f>
        <v>Add ox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s="1" customFormat="1" x14ac:dyDescent="0.2">
      <c r="A15" s="1" t="s">
        <v>56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s="1" customFormat="1" x14ac:dyDescent="0.2">
      <c r="A16" s="1" t="s">
        <v>57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s="1" customFormat="1" x14ac:dyDescent="0.2">
      <c r="A17" s="1" t="s">
        <v>58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s="1" customFormat="1" x14ac:dyDescent="0.2">
      <c r="A18" s="1" t="s">
        <v>17</v>
      </c>
      <c r="B18" s="1">
        <f>SUM(B3:B17)</f>
        <v>99.800000000000011</v>
      </c>
      <c r="C18" s="1">
        <f t="shared" ref="C18:AA18" si="0">SUM(C3:C17)</f>
        <v>100.9</v>
      </c>
      <c r="D18" s="1">
        <f t="shared" si="0"/>
        <v>100.47</v>
      </c>
      <c r="E18" s="1">
        <f t="shared" si="0"/>
        <v>100.85000000000001</v>
      </c>
      <c r="F18" s="1">
        <f t="shared" si="0"/>
        <v>100</v>
      </c>
      <c r="G18" s="1">
        <f t="shared" si="0"/>
        <v>100.71000000000001</v>
      </c>
      <c r="H18" s="1">
        <f t="shared" ref="H18:M18" si="1">SUM(H3:H17)</f>
        <v>100.63999999999999</v>
      </c>
      <c r="I18" s="1">
        <f t="shared" si="1"/>
        <v>100.25999999999999</v>
      </c>
      <c r="J18" s="1">
        <f>SUM(J3:J17)</f>
        <v>100.92</v>
      </c>
      <c r="K18" s="1">
        <f t="shared" si="1"/>
        <v>100.21000000000001</v>
      </c>
      <c r="L18" s="1">
        <f t="shared" si="1"/>
        <v>100.76</v>
      </c>
      <c r="M18" s="1">
        <f t="shared" si="1"/>
        <v>99.580000000000013</v>
      </c>
      <c r="N18" s="1">
        <f t="shared" si="0"/>
        <v>100.58</v>
      </c>
      <c r="O18" s="1">
        <f t="shared" si="0"/>
        <v>100.92</v>
      </c>
      <c r="P18" s="1">
        <f t="shared" si="0"/>
        <v>100.21000000000001</v>
      </c>
      <c r="Q18" s="1">
        <f t="shared" si="0"/>
        <v>100.76</v>
      </c>
      <c r="R18" s="1">
        <f t="shared" si="0"/>
        <v>99.580000000000013</v>
      </c>
      <c r="S18" s="1">
        <f t="shared" si="0"/>
        <v>100.58</v>
      </c>
      <c r="T18" s="1">
        <f t="shared" si="0"/>
        <v>99.97999999999999</v>
      </c>
      <c r="U18" s="1">
        <f t="shared" si="0"/>
        <v>99.72999999999999</v>
      </c>
      <c r="V18" s="1">
        <f t="shared" si="0"/>
        <v>100.25</v>
      </c>
      <c r="W18" s="1">
        <f t="shared" si="0"/>
        <v>100.31</v>
      </c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s="1" customFormat="1" thickBot="1" x14ac:dyDescent="0.2"/>
    <row r="20" spans="1:40" s="1" customFormat="1" thickBot="1" x14ac:dyDescent="0.2">
      <c r="A20" s="9"/>
      <c r="B20" s="10"/>
      <c r="C20" s="11"/>
      <c r="F20" s="1" t="s">
        <v>86</v>
      </c>
      <c r="G20" s="1" t="s">
        <v>87</v>
      </c>
      <c r="H20" s="1" t="s">
        <v>0</v>
      </c>
    </row>
    <row r="21" spans="1:40" s="1" customFormat="1" ht="17" thickTop="1" x14ac:dyDescent="0.2">
      <c r="A21" s="12" t="s">
        <v>34</v>
      </c>
      <c r="B21" s="17">
        <v>12</v>
      </c>
      <c r="C21" s="13"/>
      <c r="D21" s="1" t="s">
        <v>91</v>
      </c>
      <c r="E21" s="2"/>
      <c r="F21" s="1">
        <v>11</v>
      </c>
      <c r="G21" s="1">
        <v>11</v>
      </c>
      <c r="H21" s="1">
        <v>100</v>
      </c>
      <c r="J21" s="42" t="s">
        <v>100</v>
      </c>
      <c r="K21" s="43"/>
      <c r="L21" s="43"/>
      <c r="M21" s="44"/>
    </row>
    <row r="22" spans="1:40" s="1" customFormat="1" thickBot="1" x14ac:dyDescent="0.2">
      <c r="A22" s="14"/>
      <c r="B22" s="15"/>
      <c r="C22" s="16"/>
      <c r="E22" s="2"/>
      <c r="J22" s="45"/>
      <c r="K22" s="46"/>
      <c r="L22" s="46"/>
      <c r="M22" s="47"/>
    </row>
    <row r="23" spans="1:40" s="1" customFormat="1" thickBot="1" x14ac:dyDescent="0.2">
      <c r="E23" s="2"/>
      <c r="J23" s="48"/>
      <c r="K23" s="49"/>
      <c r="L23" s="49"/>
      <c r="M23" s="50"/>
    </row>
    <row r="24" spans="1:40" s="1" customFormat="1" thickTop="1" x14ac:dyDescent="0.15">
      <c r="A24" s="9"/>
      <c r="B24" s="10"/>
      <c r="C24" s="11"/>
      <c r="E24" s="2"/>
    </row>
    <row r="25" spans="1:40" s="1" customFormat="1" ht="16" x14ac:dyDescent="0.2">
      <c r="A25" s="12" t="s">
        <v>90</v>
      </c>
      <c r="B25" s="17">
        <v>0</v>
      </c>
      <c r="C25" s="13"/>
      <c r="D25" s="2"/>
      <c r="F25" s="1">
        <v>0</v>
      </c>
      <c r="G25" s="1">
        <v>0</v>
      </c>
      <c r="H25" s="1">
        <v>0</v>
      </c>
    </row>
    <row r="26" spans="1:40" s="1" customFormat="1" thickBot="1" x14ac:dyDescent="0.2">
      <c r="A26" s="14"/>
      <c r="B26" s="15"/>
      <c r="C26" s="16"/>
      <c r="E26" s="2"/>
    </row>
    <row r="27" spans="1:40" s="1" customFormat="1" thickBot="1" x14ac:dyDescent="0.2">
      <c r="E27" s="2"/>
    </row>
    <row r="28" spans="1:40" s="1" customFormat="1" ht="13" x14ac:dyDescent="0.15">
      <c r="A28" s="9"/>
      <c r="B28" s="10"/>
      <c r="C28" s="11"/>
      <c r="E28" s="2"/>
    </row>
    <row r="29" spans="1:40" s="1" customFormat="1" ht="16" x14ac:dyDescent="0.2">
      <c r="A29" s="12" t="s">
        <v>35</v>
      </c>
      <c r="B29" s="17">
        <v>0</v>
      </c>
      <c r="C29" s="13"/>
      <c r="E29" s="2"/>
      <c r="F29" s="1">
        <v>2</v>
      </c>
      <c r="G29" s="1">
        <v>2</v>
      </c>
      <c r="H29" s="1">
        <v>0</v>
      </c>
    </row>
    <row r="30" spans="1:40" s="1" customFormat="1" thickBot="1" x14ac:dyDescent="0.2">
      <c r="A30" s="14"/>
      <c r="B30" s="15"/>
      <c r="C30" s="16"/>
      <c r="E30" s="2"/>
    </row>
    <row r="31" spans="1:40" s="1" customFormat="1" ht="13" x14ac:dyDescent="0.15">
      <c r="E31" s="2"/>
    </row>
    <row r="32" spans="1:40" s="1" customFormat="1" ht="13" x14ac:dyDescent="0.15">
      <c r="E32" s="2"/>
    </row>
    <row r="33" spans="1:8" s="1" customFormat="1" ht="13" x14ac:dyDescent="0.15">
      <c r="E33" s="2"/>
    </row>
    <row r="34" spans="1:8" s="1" customFormat="1" ht="13" x14ac:dyDescent="0.15">
      <c r="E34" s="2"/>
    </row>
    <row r="35" spans="1:8" s="1" customFormat="1" ht="13" x14ac:dyDescent="0.15">
      <c r="A35" s="20"/>
      <c r="B35" s="21"/>
      <c r="C35" s="21"/>
      <c r="D35" s="21"/>
      <c r="E35" s="21"/>
      <c r="F35" s="22"/>
    </row>
    <row r="36" spans="1:8" s="1" customFormat="1" ht="16" x14ac:dyDescent="0.2">
      <c r="A36" s="23" t="s">
        <v>62</v>
      </c>
      <c r="B36" s="24"/>
      <c r="C36" s="24"/>
      <c r="D36" s="24"/>
      <c r="E36" s="24"/>
      <c r="F36" s="25"/>
    </row>
    <row r="37" spans="1:8" s="1" customFormat="1" ht="16" x14ac:dyDescent="0.2">
      <c r="A37" s="23"/>
      <c r="B37" s="24"/>
      <c r="C37" s="24"/>
      <c r="D37" s="24"/>
      <c r="E37" s="24"/>
      <c r="F37" s="25"/>
    </row>
    <row r="38" spans="1:8" s="1" customFormat="1" ht="16" x14ac:dyDescent="0.2">
      <c r="A38" s="23" t="s">
        <v>63</v>
      </c>
      <c r="B38" s="24" t="s">
        <v>64</v>
      </c>
      <c r="C38" s="24" t="s">
        <v>13</v>
      </c>
      <c r="D38" s="24" t="s">
        <v>54</v>
      </c>
      <c r="E38" s="24" t="s">
        <v>14</v>
      </c>
      <c r="F38" s="25"/>
    </row>
    <row r="39" spans="1:8" s="1" customFormat="1" ht="16" x14ac:dyDescent="0.2">
      <c r="A39" s="26" t="s">
        <v>84</v>
      </c>
      <c r="B39" s="27" t="s">
        <v>85</v>
      </c>
      <c r="C39" s="27">
        <v>441.89300000000003</v>
      </c>
      <c r="D39" s="27">
        <v>2</v>
      </c>
      <c r="E39" s="27">
        <v>5</v>
      </c>
      <c r="F39" s="25"/>
    </row>
    <row r="40" spans="1:8" s="1" customFormat="1" ht="13" x14ac:dyDescent="0.15">
      <c r="A40" s="28"/>
      <c r="B40" s="29"/>
      <c r="C40" s="29"/>
      <c r="D40" s="29"/>
      <c r="E40" s="29"/>
      <c r="F40" s="30"/>
    </row>
    <row r="41" spans="1:8" s="1" customFormat="1" ht="13" x14ac:dyDescent="0.15">
      <c r="E41" s="2"/>
    </row>
    <row r="42" spans="1:8" s="1" customFormat="1" ht="13" x14ac:dyDescent="0.15">
      <c r="E42" s="2"/>
    </row>
    <row r="43" spans="1:8" s="1" customFormat="1" ht="13" x14ac:dyDescent="0.15">
      <c r="C43" s="1" t="s">
        <v>89</v>
      </c>
      <c r="D43" s="1" t="s">
        <v>36</v>
      </c>
      <c r="E43" s="2" t="s">
        <v>88</v>
      </c>
      <c r="F43" s="1" t="s">
        <v>67</v>
      </c>
      <c r="G43" s="1" t="s">
        <v>68</v>
      </c>
      <c r="H43" s="1" t="s">
        <v>69</v>
      </c>
    </row>
    <row r="44" spans="1:8" x14ac:dyDescent="0.2">
      <c r="A44" s="1" t="s">
        <v>65</v>
      </c>
      <c r="B44" s="1" t="s">
        <v>66</v>
      </c>
      <c r="C44" s="1">
        <f>D44*G44+F44*H44</f>
        <v>225.8082</v>
      </c>
      <c r="D44" s="1">
        <v>2</v>
      </c>
      <c r="E44" s="2">
        <v>3</v>
      </c>
      <c r="F44" s="1">
        <v>3</v>
      </c>
      <c r="G44" s="1">
        <v>88.905000000000001</v>
      </c>
      <c r="H44" s="1">
        <v>15.9994</v>
      </c>
    </row>
    <row r="45" spans="1:8" x14ac:dyDescent="0.2">
      <c r="A45" s="1" t="s">
        <v>70</v>
      </c>
      <c r="B45" s="1" t="s">
        <v>71</v>
      </c>
      <c r="C45" s="1">
        <f>D45*G45+F45*H45</f>
        <v>137.9102</v>
      </c>
      <c r="D45" s="1">
        <v>2</v>
      </c>
      <c r="E45" s="2">
        <v>3</v>
      </c>
      <c r="F45" s="1">
        <v>3</v>
      </c>
      <c r="G45" s="1">
        <v>44.956000000000003</v>
      </c>
      <c r="H45" s="1">
        <v>15.9994</v>
      </c>
    </row>
    <row r="46" spans="1:8" x14ac:dyDescent="0.2">
      <c r="A46" s="1" t="s">
        <v>72</v>
      </c>
      <c r="B46" s="1" t="s">
        <v>73</v>
      </c>
      <c r="C46" s="1">
        <f>D46*G46+F46*H46</f>
        <v>181.881</v>
      </c>
      <c r="D46" s="1">
        <v>2</v>
      </c>
      <c r="E46" s="2">
        <v>5</v>
      </c>
      <c r="F46" s="1">
        <v>5</v>
      </c>
      <c r="G46" s="1">
        <v>50.942</v>
      </c>
      <c r="H46" s="1">
        <v>15.9994</v>
      </c>
    </row>
    <row r="47" spans="1:8" x14ac:dyDescent="0.2">
      <c r="A47" s="1" t="s">
        <v>74</v>
      </c>
      <c r="B47" s="1" t="s">
        <v>75</v>
      </c>
      <c r="C47" s="1">
        <f>D47*G47+F47*H47</f>
        <v>141.94460000000001</v>
      </c>
      <c r="D47" s="1">
        <v>2</v>
      </c>
      <c r="E47" s="2">
        <v>5</v>
      </c>
      <c r="F47" s="1">
        <v>5</v>
      </c>
      <c r="G47" s="1">
        <v>30.973800000000001</v>
      </c>
      <c r="H47" s="1">
        <v>15.9994</v>
      </c>
    </row>
    <row r="48" spans="1:8" x14ac:dyDescent="0.2">
      <c r="A48" s="1" t="s">
        <v>76</v>
      </c>
      <c r="B48" s="1" t="s">
        <v>77</v>
      </c>
      <c r="C48" s="1">
        <f>D48*G48+F48*H48</f>
        <v>123.2188</v>
      </c>
      <c r="D48" s="1">
        <v>1</v>
      </c>
      <c r="E48" s="2">
        <v>4</v>
      </c>
      <c r="F48" s="1">
        <v>2</v>
      </c>
      <c r="G48" s="1">
        <v>91.22</v>
      </c>
      <c r="H48" s="1">
        <v>15.9994</v>
      </c>
    </row>
    <row r="49" spans="1:8" x14ac:dyDescent="0.2">
      <c r="A49" s="1" t="s">
        <v>78</v>
      </c>
      <c r="B49" s="1" t="s">
        <v>79</v>
      </c>
      <c r="C49" s="1">
        <f>D49*G49+E49*H49</f>
        <v>265.80900000000003</v>
      </c>
      <c r="D49" s="1">
        <v>2</v>
      </c>
      <c r="E49" s="2">
        <v>5</v>
      </c>
      <c r="F49" s="1">
        <v>2</v>
      </c>
      <c r="G49" s="1">
        <v>92.906000000000006</v>
      </c>
      <c r="H49" s="1">
        <v>15.9994</v>
      </c>
    </row>
    <row r="50" spans="1:8" x14ac:dyDescent="0.2">
      <c r="A50" s="1" t="s">
        <v>80</v>
      </c>
      <c r="B50" s="1" t="s">
        <v>81</v>
      </c>
      <c r="C50" s="1">
        <f>D50*G50+E50*H50</f>
        <v>210.4888</v>
      </c>
      <c r="D50" s="1">
        <v>1</v>
      </c>
      <c r="E50" s="2">
        <v>2</v>
      </c>
      <c r="F50" s="1">
        <v>2</v>
      </c>
      <c r="G50" s="1">
        <v>178.49</v>
      </c>
      <c r="H50" s="1">
        <v>15.9994</v>
      </c>
    </row>
    <row r="51" spans="1:8" x14ac:dyDescent="0.2">
      <c r="A51" s="1" t="s">
        <v>82</v>
      </c>
      <c r="B51" s="1" t="s">
        <v>83</v>
      </c>
      <c r="C51" s="1">
        <f>D51*G51+E51*H51</f>
        <v>441.89300000000003</v>
      </c>
      <c r="D51" s="1">
        <v>2</v>
      </c>
      <c r="E51" s="2">
        <v>5</v>
      </c>
      <c r="F51" s="1">
        <v>5</v>
      </c>
      <c r="G51" s="1">
        <v>180.94800000000001</v>
      </c>
      <c r="H51" s="1">
        <v>15.9994</v>
      </c>
    </row>
  </sheetData>
  <mergeCells count="1">
    <mergeCell ref="J21:M23"/>
  </mergeCells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81"/>
  <sheetViews>
    <sheetView tabSelected="1" topLeftCell="A130" workbookViewId="0">
      <selection activeCell="F158" sqref="F158"/>
    </sheetView>
  </sheetViews>
  <sheetFormatPr baseColWidth="10" defaultRowHeight="14" x14ac:dyDescent="0.2"/>
  <cols>
    <col min="1" max="1" width="38.19921875" style="1" customWidth="1"/>
    <col min="2" max="28" width="11" style="1" customWidth="1"/>
    <col min="29" max="16384" width="11" style="31"/>
  </cols>
  <sheetData>
    <row r="1" spans="1:7" x14ac:dyDescent="0.2">
      <c r="A1" s="1" t="s">
        <v>99</v>
      </c>
    </row>
    <row r="3" spans="1:7" x14ac:dyDescent="0.2">
      <c r="B3" s="1" t="s">
        <v>13</v>
      </c>
      <c r="C3" s="1" t="s">
        <v>54</v>
      </c>
      <c r="D3" s="1" t="s">
        <v>14</v>
      </c>
      <c r="F3" s="1" t="s">
        <v>37</v>
      </c>
      <c r="G3" s="18">
        <f>Input!B21</f>
        <v>12</v>
      </c>
    </row>
    <row r="4" spans="1:7" x14ac:dyDescent="0.2">
      <c r="A4" s="1" t="s">
        <v>4</v>
      </c>
      <c r="B4" s="1">
        <v>60.08</v>
      </c>
      <c r="C4" s="1">
        <v>1</v>
      </c>
      <c r="D4" s="1">
        <v>4</v>
      </c>
      <c r="F4" s="1" t="s">
        <v>90</v>
      </c>
      <c r="G4" s="18">
        <f>Input!B25</f>
        <v>0</v>
      </c>
    </row>
    <row r="5" spans="1:7" x14ac:dyDescent="0.2">
      <c r="A5" s="1" t="s">
        <v>11</v>
      </c>
      <c r="B5" s="1">
        <v>79.900000000000006</v>
      </c>
      <c r="C5" s="1">
        <v>1</v>
      </c>
      <c r="D5" s="1">
        <v>4</v>
      </c>
      <c r="F5" s="1" t="s">
        <v>38</v>
      </c>
      <c r="G5" s="18">
        <f>Input!B29</f>
        <v>0</v>
      </c>
    </row>
    <row r="6" spans="1:7" x14ac:dyDescent="0.2">
      <c r="A6" s="1" t="s">
        <v>15</v>
      </c>
      <c r="B6" s="1">
        <v>151.99080000000001</v>
      </c>
      <c r="C6" s="1">
        <v>2</v>
      </c>
      <c r="D6" s="1">
        <v>3</v>
      </c>
    </row>
    <row r="7" spans="1:7" x14ac:dyDescent="0.2">
      <c r="A7" s="1" t="s">
        <v>7</v>
      </c>
      <c r="B7" s="1">
        <v>101.94</v>
      </c>
      <c r="C7" s="1">
        <v>2</v>
      </c>
      <c r="D7" s="1">
        <v>3</v>
      </c>
    </row>
    <row r="8" spans="1:7" x14ac:dyDescent="0.2">
      <c r="A8" s="1" t="s">
        <v>6</v>
      </c>
      <c r="B8" s="1">
        <v>71.849999999999994</v>
      </c>
      <c r="C8" s="1">
        <v>1</v>
      </c>
      <c r="D8" s="1">
        <v>2</v>
      </c>
    </row>
    <row r="9" spans="1:7" x14ac:dyDescent="0.2">
      <c r="A9" s="1" t="s">
        <v>9</v>
      </c>
      <c r="B9" s="1">
        <v>70.936999999999998</v>
      </c>
      <c r="C9" s="1">
        <v>1</v>
      </c>
      <c r="D9" s="1">
        <v>2</v>
      </c>
    </row>
    <row r="10" spans="1:7" x14ac:dyDescent="0.2">
      <c r="A10" s="1" t="s">
        <v>16</v>
      </c>
      <c r="B10" s="1">
        <v>74.709400000000002</v>
      </c>
      <c r="C10" s="1">
        <v>1</v>
      </c>
      <c r="D10" s="1">
        <v>2</v>
      </c>
    </row>
    <row r="11" spans="1:7" x14ac:dyDescent="0.2">
      <c r="A11" s="1" t="s">
        <v>8</v>
      </c>
      <c r="B11" s="1">
        <v>40.31</v>
      </c>
      <c r="C11" s="1">
        <v>1</v>
      </c>
      <c r="D11" s="1">
        <v>2</v>
      </c>
    </row>
    <row r="12" spans="1:7" x14ac:dyDescent="0.2">
      <c r="A12" s="1" t="s">
        <v>10</v>
      </c>
      <c r="B12" s="1">
        <v>56.08</v>
      </c>
      <c r="C12" s="1">
        <v>1</v>
      </c>
      <c r="D12" s="1">
        <v>2</v>
      </c>
    </row>
    <row r="13" spans="1:7" x14ac:dyDescent="0.2">
      <c r="A13" s="1" t="s">
        <v>5</v>
      </c>
      <c r="B13" s="1">
        <v>61.981999999999999</v>
      </c>
      <c r="C13" s="1">
        <v>2</v>
      </c>
      <c r="D13" s="1">
        <v>1</v>
      </c>
    </row>
    <row r="14" spans="1:7" x14ac:dyDescent="0.2">
      <c r="A14" s="1" t="s">
        <v>3</v>
      </c>
      <c r="B14" s="1">
        <v>94.2</v>
      </c>
      <c r="C14" s="1">
        <v>2</v>
      </c>
      <c r="D14" s="1">
        <v>1</v>
      </c>
    </row>
    <row r="15" spans="1:7" x14ac:dyDescent="0.2">
      <c r="A15" s="1" t="s">
        <v>33</v>
      </c>
      <c r="B15" s="1">
        <v>159.691</v>
      </c>
      <c r="C15" s="1">
        <v>2</v>
      </c>
      <c r="D15" s="1">
        <v>3</v>
      </c>
    </row>
    <row r="16" spans="1:7" x14ac:dyDescent="0.2">
      <c r="A16" s="1" t="str">
        <f>Input!B39</f>
        <v>Add ox</v>
      </c>
      <c r="B16" s="1">
        <f>Input!C39</f>
        <v>441.89300000000003</v>
      </c>
      <c r="C16" s="1">
        <f>Input!D39</f>
        <v>2</v>
      </c>
      <c r="D16" s="1">
        <f>Input!E39</f>
        <v>5</v>
      </c>
    </row>
    <row r="17" spans="1:30" x14ac:dyDescent="0.2">
      <c r="A17" s="1" t="s">
        <v>56</v>
      </c>
      <c r="B17" s="1">
        <v>18.015339999999998</v>
      </c>
      <c r="C17" s="1">
        <v>2</v>
      </c>
      <c r="D17" s="1">
        <v>0</v>
      </c>
    </row>
    <row r="18" spans="1:30" x14ac:dyDescent="0.2">
      <c r="A18" s="1" t="s">
        <v>57</v>
      </c>
      <c r="B18" s="1">
        <v>18.9984</v>
      </c>
      <c r="C18" s="1">
        <v>1</v>
      </c>
      <c r="D18" s="1">
        <v>0</v>
      </c>
    </row>
    <row r="19" spans="1:30" x14ac:dyDescent="0.2">
      <c r="A19" s="1" t="s">
        <v>58</v>
      </c>
      <c r="B19" s="1">
        <v>35.453000000000003</v>
      </c>
      <c r="C19" s="1">
        <v>1</v>
      </c>
      <c r="D19" s="1">
        <v>0</v>
      </c>
    </row>
    <row r="21" spans="1:30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 spans="1:30" s="4" customFormat="1" ht="13" x14ac:dyDescent="0.15">
      <c r="A22" s="3" t="s">
        <v>55</v>
      </c>
      <c r="B22" s="3" t="str">
        <f>Input!B1</f>
        <v xml:space="preserve">2 / 1 . </v>
      </c>
      <c r="C22" s="3" t="str">
        <f>Input!C1</f>
        <v xml:space="preserve">3 / 1 . </v>
      </c>
      <c r="D22" s="3" t="str">
        <f>Input!D1</f>
        <v xml:space="preserve">9 / 1 . </v>
      </c>
      <c r="E22" s="3" t="str">
        <f>Input!E1</f>
        <v xml:space="preserve">10 / 1 . </v>
      </c>
      <c r="F22" s="3" t="str">
        <f>Input!F1</f>
        <v xml:space="preserve">11 / 1 . </v>
      </c>
      <c r="G22" s="3" t="str">
        <f>Input!G1</f>
        <v xml:space="preserve">12 / 1 . </v>
      </c>
      <c r="H22" s="3" t="str">
        <f>Input!H1</f>
        <v xml:space="preserve">13 / 1 . </v>
      </c>
      <c r="I22" s="3" t="str">
        <f>Input!I1</f>
        <v xml:space="preserve">14 / 1 . </v>
      </c>
      <c r="J22" s="3" t="str">
        <f>Input!J1</f>
        <v xml:space="preserve">21 / 1 . </v>
      </c>
      <c r="K22" s="3" t="str">
        <f>Input!K1</f>
        <v xml:space="preserve">22 / 1 . </v>
      </c>
      <c r="L22" s="3" t="str">
        <f>Input!L1</f>
        <v xml:space="preserve">23 / 1 . </v>
      </c>
      <c r="M22" s="3" t="str">
        <f>Input!M1</f>
        <v xml:space="preserve">24 / 1 . </v>
      </c>
      <c r="N22" s="3" t="str">
        <f>Input!N1</f>
        <v xml:space="preserve">25 / 1 . </v>
      </c>
      <c r="O22" s="3" t="str">
        <f>Input!O1</f>
        <v xml:space="preserve">21 / 1 . </v>
      </c>
      <c r="P22" s="3" t="str">
        <f>Input!P1</f>
        <v xml:space="preserve">22 / 1 . </v>
      </c>
      <c r="Q22" s="3" t="str">
        <f>Input!Q1</f>
        <v xml:space="preserve">23 / 1 . </v>
      </c>
      <c r="R22" s="3" t="str">
        <f>Input!R1</f>
        <v xml:space="preserve">24 / 1 . </v>
      </c>
      <c r="S22" s="3" t="str">
        <f>Input!S1</f>
        <v xml:space="preserve">25 / 1 . </v>
      </c>
      <c r="T22" s="3" t="str">
        <f>Input!T1</f>
        <v xml:space="preserve">36 / 1 . </v>
      </c>
      <c r="U22" s="3" t="str">
        <f>Input!U1</f>
        <v xml:space="preserve">37 / 1 . </v>
      </c>
      <c r="V22" s="3" t="str">
        <f>Input!V1</f>
        <v xml:space="preserve">38 / 1 . </v>
      </c>
      <c r="W22" s="3" t="str">
        <f>Input!W1</f>
        <v xml:space="preserve">39 / 1 . </v>
      </c>
      <c r="X22" s="3">
        <f>Input!X1</f>
        <v>0</v>
      </c>
      <c r="Y22" s="3">
        <f>Input!Y1</f>
        <v>0</v>
      </c>
      <c r="Z22" s="3">
        <f>Input!Z1</f>
        <v>0</v>
      </c>
      <c r="AA22" s="3">
        <f>Input!AA1</f>
        <v>0</v>
      </c>
      <c r="AB22" s="3">
        <f>Input!AB1</f>
        <v>0</v>
      </c>
      <c r="AC22" s="3">
        <f>Input!AC1</f>
        <v>0</v>
      </c>
      <c r="AD22" s="3">
        <f>Input!AD1</f>
        <v>0</v>
      </c>
    </row>
    <row r="23" spans="1:30" s="4" customFormat="1" ht="13" x14ac:dyDescent="0.15">
      <c r="A23" s="3"/>
      <c r="B23" s="3" t="str">
        <f>Input!B2</f>
        <v>YG182_1_Gt</v>
      </c>
      <c r="C23" s="3" t="str">
        <f>Input!C2</f>
        <v>YG182_1_Gt</v>
      </c>
      <c r="D23" s="3" t="str">
        <f>Input!D2</f>
        <v>YG182_1_GtC</v>
      </c>
      <c r="E23" s="3" t="str">
        <f>Input!E2</f>
        <v>YG182_1_GtB</v>
      </c>
      <c r="F23" s="3" t="str">
        <f>Input!F2</f>
        <v>YG182_1_GtC</v>
      </c>
      <c r="G23" s="3" t="str">
        <f>Input!G2</f>
        <v>YG182_1_GtB</v>
      </c>
      <c r="H23" s="3" t="str">
        <f>Input!H2</f>
        <v>YG182_2_GtC</v>
      </c>
      <c r="I23" s="3" t="str">
        <f>Input!I2</f>
        <v>YG182_2_GtB</v>
      </c>
      <c r="J23" s="3" t="str">
        <f>Input!J2</f>
        <v>YG182_2_GrtC</v>
      </c>
      <c r="K23" s="3" t="str">
        <f>Input!K2</f>
        <v>YG182_2_GrtB</v>
      </c>
      <c r="L23" s="3" t="str">
        <f>Input!L2</f>
        <v>YG182_2_GrtC</v>
      </c>
      <c r="M23" s="3" t="str">
        <f>Input!M2</f>
        <v>YG182_2_GrtB</v>
      </c>
      <c r="N23" s="3" t="str">
        <f>Input!N2</f>
        <v>YG182_2_GrtB</v>
      </c>
      <c r="O23" s="3" t="str">
        <f>Input!O2</f>
        <v>YG182_2_GrtC</v>
      </c>
      <c r="P23" s="3" t="str">
        <f>Input!P2</f>
        <v>YG182_2_GrtB</v>
      </c>
      <c r="Q23" s="3" t="str">
        <f>Input!Q2</f>
        <v>YG182_2_GrtC</v>
      </c>
      <c r="R23" s="3" t="str">
        <f>Input!R2</f>
        <v>YG182_2_GrtB</v>
      </c>
      <c r="S23" s="3" t="str">
        <f>Input!S2</f>
        <v>YG182_2_GrtB</v>
      </c>
      <c r="T23" s="3" t="str">
        <f>Input!T2</f>
        <v>YG182_1_GtC</v>
      </c>
      <c r="U23" s="3" t="str">
        <f>Input!U2</f>
        <v>YG182_1_GtB</v>
      </c>
      <c r="V23" s="3" t="str">
        <f>Input!V2</f>
        <v>YG182_1_GtC</v>
      </c>
      <c r="W23" s="3" t="str">
        <f>Input!W2</f>
        <v>YG182_1_GtB</v>
      </c>
      <c r="X23" s="3">
        <f>Input!X2</f>
        <v>0</v>
      </c>
      <c r="Y23" s="3">
        <f>Input!Y2</f>
        <v>0</v>
      </c>
      <c r="Z23" s="3">
        <f>Input!Z2</f>
        <v>0</v>
      </c>
      <c r="AA23" s="3">
        <f>Input!AA2</f>
        <v>0</v>
      </c>
      <c r="AB23" s="3">
        <f>Input!AB2</f>
        <v>0</v>
      </c>
      <c r="AC23" s="3">
        <f>Input!AC2</f>
        <v>0</v>
      </c>
      <c r="AD23" s="3">
        <f>Input!AD2</f>
        <v>0</v>
      </c>
    </row>
    <row r="24" spans="1:30" s="4" customFormat="1" ht="13" x14ac:dyDescent="0.15">
      <c r="A24" s="3" t="s">
        <v>4</v>
      </c>
      <c r="B24" s="3">
        <f>Input!B3</f>
        <v>36.86</v>
      </c>
      <c r="C24" s="3">
        <f>Input!C3</f>
        <v>37.56</v>
      </c>
      <c r="D24" s="3">
        <f>Input!D3</f>
        <v>37.229999999999997</v>
      </c>
      <c r="E24" s="3">
        <f>Input!E3</f>
        <v>37.65</v>
      </c>
      <c r="F24" s="3">
        <f>Input!F3</f>
        <v>36.76</v>
      </c>
      <c r="G24" s="3">
        <f>Input!G3</f>
        <v>37.67</v>
      </c>
      <c r="H24" s="3">
        <f>Input!H3</f>
        <v>36.83</v>
      </c>
      <c r="I24" s="3">
        <f>Input!I3</f>
        <v>37.11</v>
      </c>
      <c r="J24" s="3">
        <f>Input!J3</f>
        <v>37.19</v>
      </c>
      <c r="K24" s="3">
        <f>Input!K3</f>
        <v>37.46</v>
      </c>
      <c r="L24" s="3">
        <f>Input!L3</f>
        <v>37.200000000000003</v>
      </c>
      <c r="M24" s="3">
        <f>Input!M3</f>
        <v>37.35</v>
      </c>
      <c r="N24" s="3">
        <f>Input!N3</f>
        <v>36.840000000000003</v>
      </c>
      <c r="O24" s="3">
        <f>Input!O3</f>
        <v>37.19</v>
      </c>
      <c r="P24" s="3">
        <f>Input!P3</f>
        <v>37.46</v>
      </c>
      <c r="Q24" s="3">
        <f>Input!Q3</f>
        <v>37.200000000000003</v>
      </c>
      <c r="R24" s="3">
        <f>Input!R3</f>
        <v>37.35</v>
      </c>
      <c r="S24" s="3">
        <f>Input!S3</f>
        <v>36.840000000000003</v>
      </c>
      <c r="T24" s="3">
        <f>Input!T3</f>
        <v>37.090000000000003</v>
      </c>
      <c r="U24" s="3">
        <f>Input!U3</f>
        <v>36.909999999999997</v>
      </c>
      <c r="V24" s="3">
        <f>Input!V3</f>
        <v>37.229999999999997</v>
      </c>
      <c r="W24" s="3">
        <f>Input!W3</f>
        <v>37.630000000000003</v>
      </c>
      <c r="X24" s="3">
        <f>Input!X3</f>
        <v>0</v>
      </c>
      <c r="Y24" s="3">
        <f>Input!Y3</f>
        <v>0</v>
      </c>
      <c r="Z24" s="3">
        <f>Input!Z3</f>
        <v>0</v>
      </c>
      <c r="AA24" s="3">
        <f>Input!AA3</f>
        <v>0</v>
      </c>
      <c r="AB24" s="3">
        <f>Input!AB3</f>
        <v>0</v>
      </c>
      <c r="AC24" s="3">
        <f>Input!AC3</f>
        <v>0</v>
      </c>
      <c r="AD24" s="3">
        <f>Input!AD3</f>
        <v>0</v>
      </c>
    </row>
    <row r="25" spans="1:30" s="4" customFormat="1" ht="13" x14ac:dyDescent="0.15">
      <c r="A25" s="3" t="s">
        <v>11</v>
      </c>
      <c r="B25" s="3">
        <f>Input!B4</f>
        <v>0.28000000000000003</v>
      </c>
      <c r="C25" s="3">
        <f>Input!C4</f>
        <v>0.06</v>
      </c>
      <c r="D25" s="3">
        <f>Input!D4</f>
        <v>0.22</v>
      </c>
      <c r="E25" s="3">
        <f>Input!E4</f>
        <v>7.0000000000000007E-2</v>
      </c>
      <c r="F25" s="3">
        <f>Input!F4</f>
        <v>0.31</v>
      </c>
      <c r="G25" s="3">
        <f>Input!G4</f>
        <v>0.13</v>
      </c>
      <c r="H25" s="3">
        <f>Input!H4</f>
        <v>0.11</v>
      </c>
      <c r="I25" s="3">
        <f>Input!I4</f>
        <v>0.06</v>
      </c>
      <c r="J25" s="3">
        <f>Input!J4</f>
        <v>0.08</v>
      </c>
      <c r="K25" s="3">
        <f>Input!K4</f>
        <v>0.11</v>
      </c>
      <c r="L25" s="3">
        <f>Input!L4</f>
        <v>0.06</v>
      </c>
      <c r="M25" s="3">
        <f>Input!M4</f>
        <v>0.06</v>
      </c>
      <c r="N25" s="3">
        <f>Input!N4</f>
        <v>0.55000000000000004</v>
      </c>
      <c r="O25" s="3">
        <f>Input!O4</f>
        <v>0.08</v>
      </c>
      <c r="P25" s="3">
        <f>Input!P4</f>
        <v>0.11</v>
      </c>
      <c r="Q25" s="3">
        <f>Input!Q4</f>
        <v>0.06</v>
      </c>
      <c r="R25" s="3">
        <f>Input!R4</f>
        <v>0.06</v>
      </c>
      <c r="S25" s="3">
        <f>Input!S4</f>
        <v>0.55000000000000004</v>
      </c>
      <c r="T25" s="3">
        <f>Input!T4</f>
        <v>0.2</v>
      </c>
      <c r="U25" s="3">
        <f>Input!U4</f>
        <v>0.09</v>
      </c>
      <c r="V25" s="3">
        <f>Input!V4</f>
        <v>0.55000000000000004</v>
      </c>
      <c r="W25" s="3">
        <f>Input!W4</f>
        <v>0.05</v>
      </c>
      <c r="X25" s="3">
        <f>Input!X4</f>
        <v>0</v>
      </c>
      <c r="Y25" s="3">
        <f>Input!Y4</f>
        <v>0</v>
      </c>
      <c r="Z25" s="3">
        <f>Input!Z4</f>
        <v>0</v>
      </c>
      <c r="AA25" s="3">
        <f>Input!AA4</f>
        <v>0</v>
      </c>
      <c r="AB25" s="3">
        <f>Input!AB4</f>
        <v>0</v>
      </c>
      <c r="AC25" s="3">
        <f>Input!AC4</f>
        <v>0</v>
      </c>
      <c r="AD25" s="3">
        <f>Input!AD4</f>
        <v>0</v>
      </c>
    </row>
    <row r="26" spans="1:30" s="4" customFormat="1" ht="13" x14ac:dyDescent="0.15">
      <c r="A26" s="3" t="s">
        <v>15</v>
      </c>
      <c r="B26" s="3">
        <f>Input!B5</f>
        <v>0</v>
      </c>
      <c r="C26" s="3">
        <f>Input!C5</f>
        <v>0.01</v>
      </c>
      <c r="D26" s="3">
        <f>Input!D5</f>
        <v>0.01</v>
      </c>
      <c r="E26" s="3">
        <f>Input!E5</f>
        <v>0</v>
      </c>
      <c r="F26" s="3">
        <f>Input!F5</f>
        <v>0</v>
      </c>
      <c r="G26" s="3">
        <f>Input!G5</f>
        <v>0.01</v>
      </c>
      <c r="H26" s="3">
        <f>Input!H5</f>
        <v>0</v>
      </c>
      <c r="I26" s="3">
        <f>Input!I5</f>
        <v>0</v>
      </c>
      <c r="J26" s="3">
        <f>Input!J5</f>
        <v>0.02</v>
      </c>
      <c r="K26" s="3">
        <f>Input!K5</f>
        <v>0.02</v>
      </c>
      <c r="L26" s="3">
        <f>Input!L5</f>
        <v>0</v>
      </c>
      <c r="M26" s="3">
        <f>Input!M5</f>
        <v>0</v>
      </c>
      <c r="N26" s="3">
        <f>Input!N5</f>
        <v>0.01</v>
      </c>
      <c r="O26" s="3">
        <f>Input!O5</f>
        <v>0.02</v>
      </c>
      <c r="P26" s="3">
        <f>Input!P5</f>
        <v>0.02</v>
      </c>
      <c r="Q26" s="3">
        <f>Input!Q5</f>
        <v>0</v>
      </c>
      <c r="R26" s="3">
        <f>Input!R5</f>
        <v>0</v>
      </c>
      <c r="S26" s="3">
        <f>Input!S5</f>
        <v>0.01</v>
      </c>
      <c r="T26" s="3">
        <f>Input!T5</f>
        <v>0</v>
      </c>
      <c r="U26" s="3">
        <f>Input!U5</f>
        <v>0.03</v>
      </c>
      <c r="V26" s="3">
        <f>Input!V5</f>
        <v>0</v>
      </c>
      <c r="W26" s="3">
        <f>Input!W5</f>
        <v>0.03</v>
      </c>
      <c r="X26" s="3">
        <f>Input!X5</f>
        <v>0</v>
      </c>
      <c r="Y26" s="3">
        <f>Input!Y5</f>
        <v>0</v>
      </c>
      <c r="Z26" s="3">
        <f>Input!Z5</f>
        <v>0</v>
      </c>
      <c r="AA26" s="3">
        <f>Input!AA5</f>
        <v>0</v>
      </c>
      <c r="AB26" s="3">
        <f>Input!AB5</f>
        <v>0</v>
      </c>
      <c r="AC26" s="3">
        <f>Input!AC5</f>
        <v>0</v>
      </c>
      <c r="AD26" s="3">
        <f>Input!AD5</f>
        <v>0</v>
      </c>
    </row>
    <row r="27" spans="1:30" s="4" customFormat="1" ht="13" x14ac:dyDescent="0.15">
      <c r="A27" s="3" t="s">
        <v>7</v>
      </c>
      <c r="B27" s="3">
        <f>Input!B6</f>
        <v>20.190000000000001</v>
      </c>
      <c r="C27" s="3">
        <f>Input!C6</f>
        <v>21.12</v>
      </c>
      <c r="D27" s="3">
        <f>Input!D6</f>
        <v>20.18</v>
      </c>
      <c r="E27" s="3">
        <f>Input!E6</f>
        <v>20.98</v>
      </c>
      <c r="F27" s="3">
        <f>Input!F6</f>
        <v>20</v>
      </c>
      <c r="G27" s="3">
        <f>Input!G6</f>
        <v>21.1</v>
      </c>
      <c r="H27" s="3">
        <f>Input!H6</f>
        <v>20.52</v>
      </c>
      <c r="I27" s="3">
        <f>Input!I6</f>
        <v>20.420000000000002</v>
      </c>
      <c r="J27" s="3">
        <f>Input!J6</f>
        <v>20.8</v>
      </c>
      <c r="K27" s="3">
        <f>Input!K6</f>
        <v>20.82</v>
      </c>
      <c r="L27" s="3">
        <f>Input!L6</f>
        <v>20.51</v>
      </c>
      <c r="M27" s="3">
        <f>Input!M6</f>
        <v>20.83</v>
      </c>
      <c r="N27" s="3">
        <f>Input!N6</f>
        <v>19.45</v>
      </c>
      <c r="O27" s="3">
        <f>Input!O6</f>
        <v>20.8</v>
      </c>
      <c r="P27" s="3">
        <f>Input!P6</f>
        <v>20.82</v>
      </c>
      <c r="Q27" s="3">
        <f>Input!Q6</f>
        <v>20.51</v>
      </c>
      <c r="R27" s="3">
        <f>Input!R6</f>
        <v>20.83</v>
      </c>
      <c r="S27" s="3">
        <f>Input!S6</f>
        <v>19.45</v>
      </c>
      <c r="T27" s="3">
        <f>Input!T6</f>
        <v>20.02</v>
      </c>
      <c r="U27" s="3">
        <f>Input!U6</f>
        <v>20.2</v>
      </c>
      <c r="V27" s="3">
        <f>Input!V6</f>
        <v>20.02</v>
      </c>
      <c r="W27" s="3">
        <f>Input!W6</f>
        <v>20.64</v>
      </c>
      <c r="X27" s="3">
        <f>Input!X6</f>
        <v>0</v>
      </c>
      <c r="Y27" s="3">
        <f>Input!Y6</f>
        <v>0</v>
      </c>
      <c r="Z27" s="3">
        <f>Input!Z6</f>
        <v>0</v>
      </c>
      <c r="AA27" s="3">
        <f>Input!AA6</f>
        <v>0</v>
      </c>
      <c r="AB27" s="3">
        <f>Input!AB6</f>
        <v>0</v>
      </c>
      <c r="AC27" s="3">
        <f>Input!AC6</f>
        <v>0</v>
      </c>
      <c r="AD27" s="3">
        <f>Input!AD6</f>
        <v>0</v>
      </c>
    </row>
    <row r="28" spans="1:30" s="4" customFormat="1" ht="13" x14ac:dyDescent="0.15">
      <c r="A28" s="3" t="s">
        <v>6</v>
      </c>
      <c r="B28" s="3">
        <f>Input!B7</f>
        <v>20.36</v>
      </c>
      <c r="C28" s="3">
        <f>Input!C7</f>
        <v>23.26</v>
      </c>
      <c r="D28" s="3">
        <f>Input!D7</f>
        <v>19.66</v>
      </c>
      <c r="E28" s="3">
        <f>Input!E7</f>
        <v>20.36</v>
      </c>
      <c r="F28" s="3">
        <f>Input!F7</f>
        <v>8.8800000000000008</v>
      </c>
      <c r="G28" s="3">
        <f>Input!G7</f>
        <v>20.46</v>
      </c>
      <c r="H28" s="3">
        <f>Input!H7</f>
        <v>19.649999999999999</v>
      </c>
      <c r="I28" s="3">
        <f>Input!I7</f>
        <v>18.239999999999998</v>
      </c>
      <c r="J28" s="3">
        <f>Input!J7</f>
        <v>18.39</v>
      </c>
      <c r="K28" s="3">
        <f>Input!K7</f>
        <v>21.68</v>
      </c>
      <c r="L28" s="3">
        <f>Input!L7</f>
        <v>17.55</v>
      </c>
      <c r="M28" s="3">
        <f>Input!M7</f>
        <v>21.47</v>
      </c>
      <c r="N28" s="3">
        <f>Input!N7</f>
        <v>19.16</v>
      </c>
      <c r="O28" s="3">
        <f>Input!O7</f>
        <v>18.39</v>
      </c>
      <c r="P28" s="3">
        <f>Input!P7</f>
        <v>21.68</v>
      </c>
      <c r="Q28" s="3">
        <f>Input!Q7</f>
        <v>17.55</v>
      </c>
      <c r="R28" s="3">
        <f>Input!R7</f>
        <v>21.47</v>
      </c>
      <c r="S28" s="3">
        <f>Input!S7</f>
        <v>19.16</v>
      </c>
      <c r="T28" s="3">
        <f>Input!T7</f>
        <v>20.97</v>
      </c>
      <c r="U28" s="3">
        <f>Input!U7</f>
        <v>17.66</v>
      </c>
      <c r="V28" s="3">
        <f>Input!V7</f>
        <v>21.75</v>
      </c>
      <c r="W28" s="3">
        <f>Input!W7</f>
        <v>21.38</v>
      </c>
      <c r="X28" s="3">
        <f>Input!X7</f>
        <v>0</v>
      </c>
      <c r="Y28" s="3">
        <f>Input!Y7</f>
        <v>0</v>
      </c>
      <c r="Z28" s="3">
        <f>Input!Z7</f>
        <v>0</v>
      </c>
      <c r="AA28" s="3">
        <f>Input!AA7</f>
        <v>0</v>
      </c>
      <c r="AB28" s="3">
        <f>Input!AB7</f>
        <v>0</v>
      </c>
      <c r="AC28" s="3">
        <f>Input!AC7</f>
        <v>0</v>
      </c>
      <c r="AD28" s="3">
        <f>Input!AD7</f>
        <v>0</v>
      </c>
    </row>
    <row r="29" spans="1:30" s="4" customFormat="1" ht="13" x14ac:dyDescent="0.15">
      <c r="A29" s="3" t="s">
        <v>9</v>
      </c>
      <c r="B29" s="3">
        <f>Input!B8</f>
        <v>16.95</v>
      </c>
      <c r="C29" s="3">
        <f>Input!C8</f>
        <v>12.57</v>
      </c>
      <c r="D29" s="3">
        <f>Input!D8</f>
        <v>18.559999999999999</v>
      </c>
      <c r="E29" s="3">
        <f>Input!E8</f>
        <v>16.64</v>
      </c>
      <c r="F29" s="3">
        <f>Input!F8</f>
        <v>30.15</v>
      </c>
      <c r="G29" s="3">
        <f>Input!G8</f>
        <v>15.01</v>
      </c>
      <c r="H29" s="3">
        <f>Input!H8</f>
        <v>19.07</v>
      </c>
      <c r="I29" s="3">
        <f>Input!I8</f>
        <v>20.02</v>
      </c>
      <c r="J29" s="3">
        <f>Input!J8</f>
        <v>20.079999999999998</v>
      </c>
      <c r="K29" s="3">
        <f>Input!K8</f>
        <v>13.58</v>
      </c>
      <c r="L29" s="3">
        <f>Input!L8</f>
        <v>21.19</v>
      </c>
      <c r="M29" s="3">
        <f>Input!M8</f>
        <v>13.71</v>
      </c>
      <c r="N29" s="3">
        <f>Input!N8</f>
        <v>20.34</v>
      </c>
      <c r="O29" s="3">
        <f>Input!O8</f>
        <v>20.079999999999998</v>
      </c>
      <c r="P29" s="3">
        <f>Input!P8</f>
        <v>13.58</v>
      </c>
      <c r="Q29" s="3">
        <f>Input!Q8</f>
        <v>21.19</v>
      </c>
      <c r="R29" s="3">
        <f>Input!R8</f>
        <v>13.71</v>
      </c>
      <c r="S29" s="3">
        <f>Input!S8</f>
        <v>20.34</v>
      </c>
      <c r="T29" s="3">
        <f>Input!T8</f>
        <v>16.420000000000002</v>
      </c>
      <c r="U29" s="3">
        <f>Input!U8</f>
        <v>19.97</v>
      </c>
      <c r="V29" s="3">
        <f>Input!V8</f>
        <v>15.13</v>
      </c>
      <c r="W29" s="3">
        <f>Input!W8</f>
        <v>14.99</v>
      </c>
      <c r="X29" s="3">
        <f>Input!X8</f>
        <v>0</v>
      </c>
      <c r="Y29" s="3">
        <f>Input!Y8</f>
        <v>0</v>
      </c>
      <c r="Z29" s="3">
        <f>Input!Z8</f>
        <v>0</v>
      </c>
      <c r="AA29" s="3">
        <f>Input!AA8</f>
        <v>0</v>
      </c>
      <c r="AB29" s="3">
        <f>Input!AB8</f>
        <v>0</v>
      </c>
      <c r="AC29" s="3">
        <f>Input!AC8</f>
        <v>0</v>
      </c>
      <c r="AD29" s="3">
        <f>Input!AD8</f>
        <v>0</v>
      </c>
    </row>
    <row r="30" spans="1:30" s="4" customFormat="1" ht="13" x14ac:dyDescent="0.15">
      <c r="A30" s="3" t="s">
        <v>16</v>
      </c>
      <c r="B30" s="3">
        <f>Input!B9</f>
        <v>0</v>
      </c>
      <c r="C30" s="3">
        <f>Input!C9</f>
        <v>0</v>
      </c>
      <c r="D30" s="3">
        <f>Input!D9</f>
        <v>0</v>
      </c>
      <c r="E30" s="3">
        <f>Input!E9</f>
        <v>0</v>
      </c>
      <c r="F30" s="3">
        <f>Input!F9</f>
        <v>0</v>
      </c>
      <c r="G30" s="3">
        <f>Input!G9</f>
        <v>0</v>
      </c>
      <c r="H30" s="3">
        <f>Input!H9</f>
        <v>0</v>
      </c>
      <c r="I30" s="3">
        <f>Input!I9</f>
        <v>0</v>
      </c>
      <c r="J30" s="3">
        <f>Input!J9</f>
        <v>0</v>
      </c>
      <c r="K30" s="3">
        <f>Input!K9</f>
        <v>0</v>
      </c>
      <c r="L30" s="3">
        <f>Input!L9</f>
        <v>0</v>
      </c>
      <c r="M30" s="3">
        <f>Input!M9</f>
        <v>0</v>
      </c>
      <c r="N30" s="3">
        <f>Input!N9</f>
        <v>0</v>
      </c>
      <c r="O30" s="3">
        <f>Input!O9</f>
        <v>0</v>
      </c>
      <c r="P30" s="3">
        <f>Input!P9</f>
        <v>0</v>
      </c>
      <c r="Q30" s="3">
        <f>Input!Q9</f>
        <v>0</v>
      </c>
      <c r="R30" s="3">
        <f>Input!R9</f>
        <v>0</v>
      </c>
      <c r="S30" s="3">
        <f>Input!S9</f>
        <v>0</v>
      </c>
      <c r="T30" s="3">
        <f>Input!T9</f>
        <v>0</v>
      </c>
      <c r="U30" s="3">
        <f>Input!U9</f>
        <v>0</v>
      </c>
      <c r="V30" s="3">
        <f>Input!V9</f>
        <v>0</v>
      </c>
      <c r="W30" s="3">
        <f>Input!W9</f>
        <v>0</v>
      </c>
      <c r="X30" s="3">
        <f>Input!X9</f>
        <v>0</v>
      </c>
      <c r="Y30" s="3">
        <f>Input!Y9</f>
        <v>0</v>
      </c>
      <c r="Z30" s="3">
        <f>Input!Z9</f>
        <v>0</v>
      </c>
      <c r="AA30" s="3">
        <f>Input!AA9</f>
        <v>0</v>
      </c>
      <c r="AB30" s="3">
        <f>Input!AB9</f>
        <v>0</v>
      </c>
      <c r="AC30" s="3">
        <f>Input!AC9</f>
        <v>0</v>
      </c>
      <c r="AD30" s="3">
        <f>Input!AD9</f>
        <v>0</v>
      </c>
    </row>
    <row r="31" spans="1:30" s="4" customFormat="1" ht="13" x14ac:dyDescent="0.15">
      <c r="A31" s="3" t="s">
        <v>8</v>
      </c>
      <c r="B31" s="3">
        <f>Input!B10</f>
        <v>3.72</v>
      </c>
      <c r="C31" s="3">
        <f>Input!C10</f>
        <v>4.49</v>
      </c>
      <c r="D31" s="3">
        <f>Input!D10</f>
        <v>3.36</v>
      </c>
      <c r="E31" s="3">
        <f>Input!E10</f>
        <v>3.99</v>
      </c>
      <c r="F31" s="3">
        <f>Input!F10</f>
        <v>2.73</v>
      </c>
      <c r="G31" s="3">
        <f>Input!G10</f>
        <v>4.03</v>
      </c>
      <c r="H31" s="3">
        <f>Input!H10</f>
        <v>3.15</v>
      </c>
      <c r="I31" s="3">
        <f>Input!I10</f>
        <v>3.33</v>
      </c>
      <c r="J31" s="3">
        <f>Input!J10</f>
        <v>3.19</v>
      </c>
      <c r="K31" s="3">
        <f>Input!K10</f>
        <v>4.2300000000000004</v>
      </c>
      <c r="L31" s="3">
        <f>Input!L10</f>
        <v>3.08</v>
      </c>
      <c r="M31" s="3">
        <f>Input!M10</f>
        <v>4.26</v>
      </c>
      <c r="N31" s="3">
        <f>Input!N10</f>
        <v>3.19</v>
      </c>
      <c r="O31" s="3">
        <f>Input!O10</f>
        <v>3.19</v>
      </c>
      <c r="P31" s="3">
        <f>Input!P10</f>
        <v>4.2300000000000004</v>
      </c>
      <c r="Q31" s="3">
        <f>Input!Q10</f>
        <v>3.08</v>
      </c>
      <c r="R31" s="3">
        <f>Input!R10</f>
        <v>4.26</v>
      </c>
      <c r="S31" s="3">
        <f>Input!S10</f>
        <v>3.19</v>
      </c>
      <c r="T31" s="3">
        <f>Input!T10</f>
        <v>3.99</v>
      </c>
      <c r="U31" s="3">
        <f>Input!U10</f>
        <v>3.57</v>
      </c>
      <c r="V31" s="3">
        <f>Input!V10</f>
        <v>4.0199999999999996</v>
      </c>
      <c r="W31" s="3">
        <f>Input!W10</f>
        <v>4.29</v>
      </c>
      <c r="X31" s="3">
        <f>Input!X10</f>
        <v>0</v>
      </c>
      <c r="Y31" s="3">
        <f>Input!Y10</f>
        <v>0</v>
      </c>
      <c r="Z31" s="3">
        <f>Input!Z10</f>
        <v>0</v>
      </c>
      <c r="AA31" s="3">
        <f>Input!AA10</f>
        <v>0</v>
      </c>
      <c r="AB31" s="3">
        <f>Input!AB10</f>
        <v>0</v>
      </c>
      <c r="AC31" s="3">
        <f>Input!AC10</f>
        <v>0</v>
      </c>
      <c r="AD31" s="3">
        <f>Input!AD10</f>
        <v>0</v>
      </c>
    </row>
    <row r="32" spans="1:30" s="4" customFormat="1" ht="13" x14ac:dyDescent="0.15">
      <c r="A32" s="3" t="s">
        <v>10</v>
      </c>
      <c r="B32" s="3">
        <f>Input!B11</f>
        <v>1.37</v>
      </c>
      <c r="C32" s="3">
        <f>Input!C11</f>
        <v>1.83</v>
      </c>
      <c r="D32" s="3">
        <f>Input!D11</f>
        <v>1.21</v>
      </c>
      <c r="E32" s="3">
        <f>Input!E11</f>
        <v>1.1200000000000001</v>
      </c>
      <c r="F32" s="3">
        <f>Input!F11</f>
        <v>1.17</v>
      </c>
      <c r="G32" s="3">
        <f>Input!G11</f>
        <v>2.27</v>
      </c>
      <c r="H32" s="3">
        <f>Input!H11</f>
        <v>1.3</v>
      </c>
      <c r="I32" s="3">
        <f>Input!I11</f>
        <v>1.02</v>
      </c>
      <c r="J32" s="3">
        <f>Input!J11</f>
        <v>1.1399999999999999</v>
      </c>
      <c r="K32" s="3">
        <f>Input!K11</f>
        <v>2.27</v>
      </c>
      <c r="L32" s="3">
        <f>Input!L11</f>
        <v>1.1299999999999999</v>
      </c>
      <c r="M32" s="3">
        <f>Input!M11</f>
        <v>1.88</v>
      </c>
      <c r="N32" s="3">
        <f>Input!N11</f>
        <v>1.01</v>
      </c>
      <c r="O32" s="3">
        <f>Input!O11</f>
        <v>1.1399999999999999</v>
      </c>
      <c r="P32" s="3">
        <f>Input!P11</f>
        <v>2.27</v>
      </c>
      <c r="Q32" s="3">
        <f>Input!Q11</f>
        <v>1.1299999999999999</v>
      </c>
      <c r="R32" s="3">
        <f>Input!R11</f>
        <v>1.88</v>
      </c>
      <c r="S32" s="3">
        <f>Input!S11</f>
        <v>1.01</v>
      </c>
      <c r="T32" s="3">
        <f>Input!T11</f>
        <v>1.27</v>
      </c>
      <c r="U32" s="3">
        <f>Input!U11</f>
        <v>1.25</v>
      </c>
      <c r="V32" s="3">
        <f>Input!V11</f>
        <v>1.54</v>
      </c>
      <c r="W32" s="3">
        <f>Input!W11</f>
        <v>1.25</v>
      </c>
      <c r="X32" s="3">
        <f>Input!X11</f>
        <v>0</v>
      </c>
      <c r="Y32" s="3">
        <f>Input!Y11</f>
        <v>0</v>
      </c>
      <c r="Z32" s="3">
        <f>Input!Z11</f>
        <v>0</v>
      </c>
      <c r="AA32" s="3">
        <f>Input!AA11</f>
        <v>0</v>
      </c>
      <c r="AB32" s="3">
        <f>Input!AB11</f>
        <v>0</v>
      </c>
      <c r="AC32" s="3">
        <f>Input!AC11</f>
        <v>0</v>
      </c>
      <c r="AD32" s="3">
        <f>Input!AD11</f>
        <v>0</v>
      </c>
    </row>
    <row r="33" spans="1:32" s="4" customFormat="1" ht="13" x14ac:dyDescent="0.15">
      <c r="A33" s="3" t="s">
        <v>5</v>
      </c>
      <c r="B33" s="3">
        <f>Input!B12</f>
        <v>0.04</v>
      </c>
      <c r="C33" s="3">
        <f>Input!C12</f>
        <v>0</v>
      </c>
      <c r="D33" s="3">
        <f>Input!D12</f>
        <v>0.04</v>
      </c>
      <c r="E33" s="3">
        <f>Input!E12</f>
        <v>0.04</v>
      </c>
      <c r="F33" s="3">
        <f>Input!F12</f>
        <v>0</v>
      </c>
      <c r="G33" s="3">
        <f>Input!G12</f>
        <v>0.03</v>
      </c>
      <c r="H33" s="3">
        <f>Input!H12</f>
        <v>0</v>
      </c>
      <c r="I33" s="3">
        <f>Input!I12</f>
        <v>0.05</v>
      </c>
      <c r="J33" s="3">
        <f>Input!J12</f>
        <v>0.03</v>
      </c>
      <c r="K33" s="3">
        <f>Input!K12</f>
        <v>0.04</v>
      </c>
      <c r="L33" s="3">
        <f>Input!L12</f>
        <v>0.03</v>
      </c>
      <c r="M33" s="3">
        <f>Input!M12</f>
        <v>0.02</v>
      </c>
      <c r="N33" s="3">
        <f>Input!N12</f>
        <v>0.03</v>
      </c>
      <c r="O33" s="3">
        <f>Input!O12</f>
        <v>0.03</v>
      </c>
      <c r="P33" s="3">
        <f>Input!P12</f>
        <v>0.04</v>
      </c>
      <c r="Q33" s="3">
        <f>Input!Q12</f>
        <v>0.03</v>
      </c>
      <c r="R33" s="3">
        <f>Input!R12</f>
        <v>0.02</v>
      </c>
      <c r="S33" s="3">
        <f>Input!S12</f>
        <v>0.03</v>
      </c>
      <c r="T33" s="3">
        <f>Input!T12</f>
        <v>0.02</v>
      </c>
      <c r="U33" s="3">
        <f>Input!U12</f>
        <v>0.05</v>
      </c>
      <c r="V33" s="3">
        <f>Input!V12</f>
        <v>0</v>
      </c>
      <c r="W33" s="3">
        <f>Input!W12</f>
        <v>0.05</v>
      </c>
      <c r="X33" s="3">
        <f>Input!X12</f>
        <v>0</v>
      </c>
      <c r="Y33" s="3">
        <f>Input!Y12</f>
        <v>0</v>
      </c>
      <c r="Z33" s="3">
        <f>Input!Z12</f>
        <v>0</v>
      </c>
      <c r="AA33" s="3">
        <f>Input!AA12</f>
        <v>0</v>
      </c>
      <c r="AB33" s="3">
        <f>Input!AB12</f>
        <v>0</v>
      </c>
      <c r="AC33" s="3">
        <f>Input!AC12</f>
        <v>0</v>
      </c>
      <c r="AD33" s="3">
        <f>Input!AD12</f>
        <v>0</v>
      </c>
    </row>
    <row r="34" spans="1:32" s="4" customFormat="1" ht="13" x14ac:dyDescent="0.15">
      <c r="A34" s="3" t="s">
        <v>3</v>
      </c>
      <c r="B34" s="3">
        <f>Input!B13</f>
        <v>0.03</v>
      </c>
      <c r="C34" s="3">
        <f>Input!C13</f>
        <v>0</v>
      </c>
      <c r="D34" s="3">
        <f>Input!D13</f>
        <v>0</v>
      </c>
      <c r="E34" s="3">
        <f>Input!E13</f>
        <v>0</v>
      </c>
      <c r="F34" s="3">
        <f>Input!F13</f>
        <v>0</v>
      </c>
      <c r="G34" s="3">
        <f>Input!G13</f>
        <v>0</v>
      </c>
      <c r="H34" s="3">
        <f>Input!H13</f>
        <v>0.01</v>
      </c>
      <c r="I34" s="3">
        <f>Input!I13</f>
        <v>0.01</v>
      </c>
      <c r="J34" s="3">
        <f>Input!J13</f>
        <v>0</v>
      </c>
      <c r="K34" s="3">
        <f>Input!K13</f>
        <v>0</v>
      </c>
      <c r="L34" s="3">
        <f>Input!L13</f>
        <v>0.01</v>
      </c>
      <c r="M34" s="3">
        <f>Input!M13</f>
        <v>0</v>
      </c>
      <c r="N34" s="3">
        <f>Input!N13</f>
        <v>0</v>
      </c>
      <c r="O34" s="3">
        <f>Input!O13</f>
        <v>0</v>
      </c>
      <c r="P34" s="3">
        <f>Input!P13</f>
        <v>0</v>
      </c>
      <c r="Q34" s="3">
        <f>Input!Q13</f>
        <v>0.01</v>
      </c>
      <c r="R34" s="3">
        <f>Input!R13</f>
        <v>0</v>
      </c>
      <c r="S34" s="3">
        <f>Input!S13</f>
        <v>0</v>
      </c>
      <c r="T34" s="3">
        <f>Input!T13</f>
        <v>0</v>
      </c>
      <c r="U34" s="3">
        <f>Input!U13</f>
        <v>0</v>
      </c>
      <c r="V34" s="3">
        <f>Input!V13</f>
        <v>0.01</v>
      </c>
      <c r="W34" s="3">
        <f>Input!W13</f>
        <v>0</v>
      </c>
      <c r="X34" s="3">
        <f>Input!X13</f>
        <v>0</v>
      </c>
      <c r="Y34" s="3">
        <f>Input!Y13</f>
        <v>0</v>
      </c>
      <c r="Z34" s="3">
        <f>Input!Z13</f>
        <v>0</v>
      </c>
      <c r="AA34" s="3">
        <f>Input!AA13</f>
        <v>0</v>
      </c>
      <c r="AB34" s="3">
        <f>Input!AB13</f>
        <v>0</v>
      </c>
      <c r="AC34" s="3">
        <f>Input!AC13</f>
        <v>0</v>
      </c>
      <c r="AD34" s="3">
        <f>Input!AD13</f>
        <v>0</v>
      </c>
    </row>
    <row r="35" spans="1:32" s="4" customFormat="1" ht="13" x14ac:dyDescent="0.15">
      <c r="A35" s="3" t="str">
        <f>A16</f>
        <v>Add ox</v>
      </c>
      <c r="B35" s="3">
        <f>Input!B14</f>
        <v>0</v>
      </c>
      <c r="C35" s="3">
        <f>Input!C14</f>
        <v>0</v>
      </c>
      <c r="D35" s="3">
        <f>Input!D14</f>
        <v>0</v>
      </c>
      <c r="E35" s="3">
        <f>Input!E14</f>
        <v>0</v>
      </c>
      <c r="F35" s="3">
        <f>Input!F14</f>
        <v>0</v>
      </c>
      <c r="G35" s="3">
        <f>Input!G14</f>
        <v>0</v>
      </c>
      <c r="H35" s="3">
        <f>Input!H14</f>
        <v>0</v>
      </c>
      <c r="I35" s="3">
        <f>Input!I14</f>
        <v>0</v>
      </c>
      <c r="J35" s="3">
        <f>Input!J14</f>
        <v>0</v>
      </c>
      <c r="K35" s="3">
        <f>Input!K14</f>
        <v>0</v>
      </c>
      <c r="L35" s="3">
        <f>Input!L14</f>
        <v>0</v>
      </c>
      <c r="M35" s="3">
        <f>Input!M14</f>
        <v>0</v>
      </c>
      <c r="N35" s="3">
        <f>Input!N14</f>
        <v>0</v>
      </c>
      <c r="O35" s="3">
        <f>Input!O14</f>
        <v>0</v>
      </c>
      <c r="P35" s="3">
        <f>Input!P14</f>
        <v>0</v>
      </c>
      <c r="Q35" s="3">
        <f>Input!Q14</f>
        <v>0</v>
      </c>
      <c r="R35" s="3">
        <f>Input!R14</f>
        <v>0</v>
      </c>
      <c r="S35" s="3">
        <f>Input!S14</f>
        <v>0</v>
      </c>
      <c r="T35" s="3">
        <f>Input!T14</f>
        <v>0</v>
      </c>
      <c r="U35" s="3">
        <f>Input!U14</f>
        <v>0</v>
      </c>
      <c r="V35" s="3">
        <f>Input!V14</f>
        <v>0</v>
      </c>
      <c r="W35" s="3">
        <f>Input!W14</f>
        <v>0</v>
      </c>
      <c r="X35" s="3">
        <f>Input!X14</f>
        <v>0</v>
      </c>
      <c r="Y35" s="3">
        <f>Input!Y14</f>
        <v>0</v>
      </c>
      <c r="Z35" s="3">
        <f>Input!Z14</f>
        <v>0</v>
      </c>
      <c r="AA35" s="3">
        <f>Input!AA14</f>
        <v>0</v>
      </c>
      <c r="AB35" s="3">
        <f>Input!AB14</f>
        <v>0</v>
      </c>
      <c r="AC35" s="3">
        <f>Input!AC14</f>
        <v>0</v>
      </c>
      <c r="AD35" s="3">
        <f>Input!AD14</f>
        <v>0</v>
      </c>
    </row>
    <row r="36" spans="1:32" s="4" customFormat="1" ht="13" x14ac:dyDescent="0.15">
      <c r="A36" s="3" t="s">
        <v>56</v>
      </c>
      <c r="B36" s="3">
        <f>Input!B15</f>
        <v>0</v>
      </c>
      <c r="C36" s="3">
        <f>Input!C15</f>
        <v>0</v>
      </c>
      <c r="D36" s="3">
        <f>Input!D15</f>
        <v>0</v>
      </c>
      <c r="E36" s="3">
        <f>Input!E15</f>
        <v>0</v>
      </c>
      <c r="F36" s="3">
        <f>Input!F15</f>
        <v>0</v>
      </c>
      <c r="G36" s="3">
        <f>Input!G15</f>
        <v>0</v>
      </c>
      <c r="H36" s="3">
        <f>Input!H15</f>
        <v>0</v>
      </c>
      <c r="I36" s="3">
        <f>Input!I15</f>
        <v>0</v>
      </c>
      <c r="J36" s="3">
        <f>Input!J15</f>
        <v>0</v>
      </c>
      <c r="K36" s="3">
        <f>Input!K15</f>
        <v>0</v>
      </c>
      <c r="L36" s="3">
        <f>Input!L15</f>
        <v>0</v>
      </c>
      <c r="M36" s="3">
        <f>Input!M15</f>
        <v>0</v>
      </c>
      <c r="N36" s="3">
        <f>Input!N15</f>
        <v>0</v>
      </c>
      <c r="O36" s="3">
        <f>Input!O15</f>
        <v>0</v>
      </c>
      <c r="P36" s="3">
        <f>Input!P15</f>
        <v>0</v>
      </c>
      <c r="Q36" s="3">
        <f>Input!Q15</f>
        <v>0</v>
      </c>
      <c r="R36" s="3">
        <f>Input!R15</f>
        <v>0</v>
      </c>
      <c r="S36" s="3">
        <f>Input!S15</f>
        <v>0</v>
      </c>
      <c r="T36" s="3">
        <f>Input!T15</f>
        <v>0</v>
      </c>
      <c r="U36" s="3">
        <f>Input!U15</f>
        <v>0</v>
      </c>
      <c r="V36" s="3">
        <f>Input!V15</f>
        <v>0</v>
      </c>
      <c r="W36" s="3">
        <f>Input!W15</f>
        <v>0</v>
      </c>
      <c r="X36" s="3">
        <f>Input!X15</f>
        <v>0</v>
      </c>
      <c r="Y36" s="3">
        <f>Input!Y15</f>
        <v>0</v>
      </c>
      <c r="Z36" s="3">
        <f>Input!Z15</f>
        <v>0</v>
      </c>
      <c r="AA36" s="3">
        <f>Input!AA15</f>
        <v>0</v>
      </c>
      <c r="AB36" s="3">
        <f>Input!AB15</f>
        <v>0</v>
      </c>
      <c r="AC36" s="3">
        <f>Input!AC15</f>
        <v>0</v>
      </c>
      <c r="AD36" s="3">
        <f>Input!AD15</f>
        <v>0</v>
      </c>
    </row>
    <row r="37" spans="1:32" s="4" customFormat="1" ht="13" x14ac:dyDescent="0.15">
      <c r="A37" s="3" t="s">
        <v>57</v>
      </c>
      <c r="B37" s="3">
        <f>Input!B16</f>
        <v>0</v>
      </c>
      <c r="C37" s="3">
        <f>Input!C16</f>
        <v>0</v>
      </c>
      <c r="D37" s="3">
        <f>Input!D16</f>
        <v>0</v>
      </c>
      <c r="E37" s="3">
        <f>Input!E16</f>
        <v>0</v>
      </c>
      <c r="F37" s="3">
        <f>Input!F16</f>
        <v>0</v>
      </c>
      <c r="G37" s="3">
        <f>Input!G16</f>
        <v>0</v>
      </c>
      <c r="H37" s="3">
        <f>Input!H16</f>
        <v>0</v>
      </c>
      <c r="I37" s="3">
        <f>Input!I16</f>
        <v>0</v>
      </c>
      <c r="J37" s="3">
        <f>Input!J16</f>
        <v>0</v>
      </c>
      <c r="K37" s="3">
        <f>Input!K16</f>
        <v>0</v>
      </c>
      <c r="L37" s="3">
        <f>Input!L16</f>
        <v>0</v>
      </c>
      <c r="M37" s="3">
        <f>Input!M16</f>
        <v>0</v>
      </c>
      <c r="N37" s="3">
        <f>Input!N16</f>
        <v>0</v>
      </c>
      <c r="O37" s="3">
        <f>Input!O16</f>
        <v>0</v>
      </c>
      <c r="P37" s="3">
        <f>Input!P16</f>
        <v>0</v>
      </c>
      <c r="Q37" s="3">
        <f>Input!Q16</f>
        <v>0</v>
      </c>
      <c r="R37" s="3">
        <f>Input!R16</f>
        <v>0</v>
      </c>
      <c r="S37" s="3">
        <f>Input!S16</f>
        <v>0</v>
      </c>
      <c r="T37" s="3">
        <f>Input!T16</f>
        <v>0</v>
      </c>
      <c r="U37" s="3">
        <f>Input!U16</f>
        <v>0</v>
      </c>
      <c r="V37" s="3">
        <f>Input!V16</f>
        <v>0</v>
      </c>
      <c r="W37" s="3">
        <f>Input!W16</f>
        <v>0</v>
      </c>
      <c r="X37" s="3">
        <f>Input!X16</f>
        <v>0</v>
      </c>
      <c r="Y37" s="3">
        <f>Input!Y16</f>
        <v>0</v>
      </c>
      <c r="Z37" s="3">
        <f>Input!Z16</f>
        <v>0</v>
      </c>
      <c r="AA37" s="3">
        <f>Input!AA16</f>
        <v>0</v>
      </c>
      <c r="AB37" s="3">
        <f>Input!AB16</f>
        <v>0</v>
      </c>
      <c r="AC37" s="3">
        <f>Input!AC16</f>
        <v>0</v>
      </c>
      <c r="AD37" s="3">
        <f>Input!AD16</f>
        <v>0</v>
      </c>
    </row>
    <row r="38" spans="1:32" s="4" customFormat="1" ht="13" x14ac:dyDescent="0.15">
      <c r="A38" s="3" t="s">
        <v>58</v>
      </c>
      <c r="B38" s="3">
        <f>Input!B17</f>
        <v>0</v>
      </c>
      <c r="C38" s="3">
        <f>Input!C17</f>
        <v>0</v>
      </c>
      <c r="D38" s="3">
        <f>Input!D17</f>
        <v>0</v>
      </c>
      <c r="E38" s="3">
        <f>Input!E17</f>
        <v>0</v>
      </c>
      <c r="F38" s="3">
        <f>Input!F17</f>
        <v>0</v>
      </c>
      <c r="G38" s="3">
        <f>Input!G17</f>
        <v>0</v>
      </c>
      <c r="H38" s="3">
        <f>Input!H17</f>
        <v>0</v>
      </c>
      <c r="I38" s="3">
        <f>Input!I17</f>
        <v>0</v>
      </c>
      <c r="J38" s="3">
        <f>Input!J17</f>
        <v>0</v>
      </c>
      <c r="K38" s="3">
        <f>Input!K17</f>
        <v>0</v>
      </c>
      <c r="L38" s="3">
        <f>Input!L17</f>
        <v>0</v>
      </c>
      <c r="M38" s="3">
        <f>Input!M17</f>
        <v>0</v>
      </c>
      <c r="N38" s="3">
        <f>Input!N17</f>
        <v>0</v>
      </c>
      <c r="O38" s="3">
        <f>Input!O17</f>
        <v>0</v>
      </c>
      <c r="P38" s="3">
        <f>Input!P17</f>
        <v>0</v>
      </c>
      <c r="Q38" s="3">
        <f>Input!Q17</f>
        <v>0</v>
      </c>
      <c r="R38" s="3">
        <f>Input!R17</f>
        <v>0</v>
      </c>
      <c r="S38" s="3">
        <f>Input!S17</f>
        <v>0</v>
      </c>
      <c r="T38" s="3">
        <f>Input!T17</f>
        <v>0</v>
      </c>
      <c r="U38" s="3">
        <f>Input!U17</f>
        <v>0</v>
      </c>
      <c r="V38" s="3">
        <f>Input!V17</f>
        <v>0</v>
      </c>
      <c r="W38" s="3">
        <f>Input!W17</f>
        <v>0</v>
      </c>
      <c r="X38" s="3">
        <f>Input!X17</f>
        <v>0</v>
      </c>
      <c r="Y38" s="3">
        <f>Input!Y17</f>
        <v>0</v>
      </c>
      <c r="Z38" s="3">
        <f>Input!Z17</f>
        <v>0</v>
      </c>
      <c r="AA38" s="3">
        <f>Input!AA17</f>
        <v>0</v>
      </c>
      <c r="AB38" s="3">
        <f>Input!AB17</f>
        <v>0</v>
      </c>
      <c r="AC38" s="3">
        <f>Input!AC17</f>
        <v>0</v>
      </c>
      <c r="AD38" s="3">
        <f>Input!AD17</f>
        <v>0</v>
      </c>
    </row>
    <row r="39" spans="1:32" s="4" customFormat="1" ht="13" x14ac:dyDescent="0.1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2" s="4" customFormat="1" ht="13" x14ac:dyDescent="0.15">
      <c r="A40" s="4" t="s">
        <v>17</v>
      </c>
      <c r="B40" s="2">
        <f>SUM(B24:B35)</f>
        <v>99.800000000000011</v>
      </c>
      <c r="C40" s="2">
        <f t="shared" ref="C40:AD40" si="0">SUM(C24:C35)</f>
        <v>100.9</v>
      </c>
      <c r="D40" s="2">
        <f t="shared" si="0"/>
        <v>100.47</v>
      </c>
      <c r="E40" s="2">
        <f t="shared" si="0"/>
        <v>100.85000000000001</v>
      </c>
      <c r="F40" s="2">
        <f t="shared" si="0"/>
        <v>100</v>
      </c>
      <c r="G40" s="2">
        <f t="shared" si="0"/>
        <v>100.71000000000001</v>
      </c>
      <c r="H40" s="2">
        <f t="shared" si="0"/>
        <v>100.63999999999999</v>
      </c>
      <c r="I40" s="2">
        <f t="shared" si="0"/>
        <v>100.25999999999999</v>
      </c>
      <c r="J40" s="2">
        <f t="shared" si="0"/>
        <v>100.92</v>
      </c>
      <c r="K40" s="2">
        <f t="shared" si="0"/>
        <v>100.21000000000001</v>
      </c>
      <c r="L40" s="2">
        <f t="shared" si="0"/>
        <v>100.76</v>
      </c>
      <c r="M40" s="2">
        <f t="shared" si="0"/>
        <v>99.580000000000013</v>
      </c>
      <c r="N40" s="2">
        <f t="shared" si="0"/>
        <v>100.58</v>
      </c>
      <c r="O40" s="2">
        <f t="shared" si="0"/>
        <v>100.92</v>
      </c>
      <c r="P40" s="2">
        <f t="shared" si="0"/>
        <v>100.21000000000001</v>
      </c>
      <c r="Q40" s="2">
        <f t="shared" si="0"/>
        <v>100.76</v>
      </c>
      <c r="R40" s="2">
        <f t="shared" si="0"/>
        <v>99.580000000000013</v>
      </c>
      <c r="S40" s="2">
        <f t="shared" si="0"/>
        <v>100.58</v>
      </c>
      <c r="T40" s="2">
        <f t="shared" si="0"/>
        <v>99.97999999999999</v>
      </c>
      <c r="U40" s="2">
        <f t="shared" si="0"/>
        <v>99.72999999999999</v>
      </c>
      <c r="V40" s="2">
        <f t="shared" si="0"/>
        <v>100.25</v>
      </c>
      <c r="W40" s="2">
        <f t="shared" si="0"/>
        <v>100.31</v>
      </c>
      <c r="X40" s="2">
        <f t="shared" si="0"/>
        <v>0</v>
      </c>
      <c r="Y40" s="2">
        <f t="shared" si="0"/>
        <v>0</v>
      </c>
      <c r="Z40" s="2">
        <f t="shared" si="0"/>
        <v>0</v>
      </c>
      <c r="AA40" s="2">
        <f t="shared" si="0"/>
        <v>0</v>
      </c>
      <c r="AB40" s="2">
        <f t="shared" si="0"/>
        <v>0</v>
      </c>
      <c r="AC40" s="2">
        <f t="shared" si="0"/>
        <v>0</v>
      </c>
      <c r="AD40" s="2">
        <f t="shared" si="0"/>
        <v>0</v>
      </c>
      <c r="AE40" s="2"/>
      <c r="AF40" s="2"/>
    </row>
    <row r="41" spans="1:32" s="4" customFormat="1" ht="13" x14ac:dyDescent="0.1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s="4" customFormat="1" ht="13" x14ac:dyDescent="0.15"/>
    <row r="43" spans="1:32" s="4" customFormat="1" ht="13" x14ac:dyDescent="0.15">
      <c r="A43" s="4" t="s">
        <v>12</v>
      </c>
    </row>
    <row r="44" spans="1:32" s="4" customFormat="1" ht="13" x14ac:dyDescent="0.15">
      <c r="A44" s="4" t="s">
        <v>18</v>
      </c>
      <c r="B44" s="4">
        <f t="shared" ref="B44:B54" si="1">B24*$C4/$B4</f>
        <v>0.61351531291611183</v>
      </c>
      <c r="C44" s="4">
        <f t="shared" ref="C44:AD44" si="2">C24*$C4/$B4</f>
        <v>0.62516644474034622</v>
      </c>
      <c r="D44" s="4">
        <f t="shared" si="2"/>
        <v>0.6196737683089214</v>
      </c>
      <c r="E44" s="4">
        <f t="shared" si="2"/>
        <v>0.62666444740346205</v>
      </c>
      <c r="F44" s="4">
        <f t="shared" si="2"/>
        <v>0.61185086551264978</v>
      </c>
      <c r="G44" s="4">
        <f t="shared" si="2"/>
        <v>0.62699733688415449</v>
      </c>
      <c r="H44" s="4">
        <f t="shared" si="2"/>
        <v>0.61301597869507318</v>
      </c>
      <c r="I44" s="4">
        <f t="shared" si="2"/>
        <v>0.61767643142476703</v>
      </c>
      <c r="J44" s="4">
        <f t="shared" si="2"/>
        <v>0.61900798934753665</v>
      </c>
      <c r="K44" s="4">
        <f t="shared" si="2"/>
        <v>0.62350199733688416</v>
      </c>
      <c r="L44" s="4">
        <f t="shared" si="2"/>
        <v>0.61917443408788286</v>
      </c>
      <c r="M44" s="4">
        <f t="shared" si="2"/>
        <v>0.62167110519307589</v>
      </c>
      <c r="N44" s="4">
        <f t="shared" si="2"/>
        <v>0.61318242343541951</v>
      </c>
      <c r="O44" s="4">
        <f t="shared" si="2"/>
        <v>0.61900798934753665</v>
      </c>
      <c r="P44" s="4">
        <f t="shared" si="2"/>
        <v>0.62350199733688416</v>
      </c>
      <c r="Q44" s="4">
        <f t="shared" si="2"/>
        <v>0.61917443408788286</v>
      </c>
      <c r="R44" s="4">
        <f t="shared" si="2"/>
        <v>0.62167110519307589</v>
      </c>
      <c r="S44" s="4">
        <f t="shared" si="2"/>
        <v>0.61318242343541951</v>
      </c>
      <c r="T44" s="4">
        <f t="shared" si="2"/>
        <v>0.61734354194407459</v>
      </c>
      <c r="U44" s="4">
        <f t="shared" si="2"/>
        <v>0.6143475366178428</v>
      </c>
      <c r="V44" s="4">
        <f t="shared" si="2"/>
        <v>0.6196737683089214</v>
      </c>
      <c r="W44" s="4">
        <f t="shared" si="2"/>
        <v>0.62633155792276973</v>
      </c>
      <c r="X44" s="4">
        <f t="shared" si="2"/>
        <v>0</v>
      </c>
      <c r="Y44" s="4">
        <f t="shared" si="2"/>
        <v>0</v>
      </c>
      <c r="Z44" s="4">
        <f t="shared" si="2"/>
        <v>0</v>
      </c>
      <c r="AA44" s="4">
        <f t="shared" si="2"/>
        <v>0</v>
      </c>
      <c r="AB44" s="4">
        <f t="shared" si="2"/>
        <v>0</v>
      </c>
      <c r="AC44" s="4">
        <f t="shared" si="2"/>
        <v>0</v>
      </c>
      <c r="AD44" s="4">
        <f t="shared" si="2"/>
        <v>0</v>
      </c>
    </row>
    <row r="45" spans="1:32" s="4" customFormat="1" ht="13" x14ac:dyDescent="0.15">
      <c r="A45" s="4" t="s">
        <v>19</v>
      </c>
      <c r="B45" s="4">
        <f t="shared" si="1"/>
        <v>3.5043804755944931E-3</v>
      </c>
      <c r="C45" s="4">
        <f t="shared" ref="C45:AD45" si="3">C25*$C5/$B5</f>
        <v>7.5093867334167705E-4</v>
      </c>
      <c r="D45" s="4">
        <f t="shared" si="3"/>
        <v>2.753441802252816E-3</v>
      </c>
      <c r="E45" s="4">
        <f t="shared" si="3"/>
        <v>8.7609511889862328E-4</v>
      </c>
      <c r="F45" s="4">
        <f t="shared" si="3"/>
        <v>3.8798498122653313E-3</v>
      </c>
      <c r="G45" s="4">
        <f t="shared" si="3"/>
        <v>1.6270337922403002E-3</v>
      </c>
      <c r="H45" s="4">
        <f t="shared" si="3"/>
        <v>1.376720901126408E-3</v>
      </c>
      <c r="I45" s="4">
        <f t="shared" si="3"/>
        <v>7.5093867334167705E-4</v>
      </c>
      <c r="J45" s="4">
        <f t="shared" si="3"/>
        <v>1.0012515644555694E-3</v>
      </c>
      <c r="K45" s="4">
        <f t="shared" si="3"/>
        <v>1.376720901126408E-3</v>
      </c>
      <c r="L45" s="4">
        <f t="shared" si="3"/>
        <v>7.5093867334167705E-4</v>
      </c>
      <c r="M45" s="4">
        <f t="shared" si="3"/>
        <v>7.5093867334167705E-4</v>
      </c>
      <c r="N45" s="4">
        <f t="shared" si="3"/>
        <v>6.8836045056320403E-3</v>
      </c>
      <c r="O45" s="4">
        <f t="shared" si="3"/>
        <v>1.0012515644555694E-3</v>
      </c>
      <c r="P45" s="4">
        <f t="shared" si="3"/>
        <v>1.376720901126408E-3</v>
      </c>
      <c r="Q45" s="4">
        <f t="shared" si="3"/>
        <v>7.5093867334167705E-4</v>
      </c>
      <c r="R45" s="4">
        <f t="shared" si="3"/>
        <v>7.5093867334167705E-4</v>
      </c>
      <c r="S45" s="4">
        <f t="shared" si="3"/>
        <v>6.8836045056320403E-3</v>
      </c>
      <c r="T45" s="4">
        <f t="shared" si="3"/>
        <v>2.5031289111389237E-3</v>
      </c>
      <c r="U45" s="4">
        <f t="shared" si="3"/>
        <v>1.1264080100125155E-3</v>
      </c>
      <c r="V45" s="4">
        <f t="shared" si="3"/>
        <v>6.8836045056320403E-3</v>
      </c>
      <c r="W45" s="4">
        <f t="shared" si="3"/>
        <v>6.2578222778473093E-4</v>
      </c>
      <c r="X45" s="4">
        <f t="shared" si="3"/>
        <v>0</v>
      </c>
      <c r="Y45" s="4">
        <f t="shared" si="3"/>
        <v>0</v>
      </c>
      <c r="Z45" s="4">
        <f t="shared" si="3"/>
        <v>0</v>
      </c>
      <c r="AA45" s="4">
        <f t="shared" si="3"/>
        <v>0</v>
      </c>
      <c r="AB45" s="4">
        <f t="shared" si="3"/>
        <v>0</v>
      </c>
      <c r="AC45" s="4">
        <f t="shared" si="3"/>
        <v>0</v>
      </c>
      <c r="AD45" s="4">
        <f t="shared" si="3"/>
        <v>0</v>
      </c>
    </row>
    <row r="46" spans="1:32" s="4" customFormat="1" ht="13" x14ac:dyDescent="0.15">
      <c r="A46" s="4" t="s">
        <v>20</v>
      </c>
      <c r="B46" s="4">
        <f t="shared" si="1"/>
        <v>0</v>
      </c>
      <c r="C46" s="4">
        <f t="shared" ref="C46:AD46" si="4">C26*$C6/$B6</f>
        <v>1.315869118394008E-4</v>
      </c>
      <c r="D46" s="4">
        <f t="shared" si="4"/>
        <v>1.315869118394008E-4</v>
      </c>
      <c r="E46" s="4">
        <f t="shared" si="4"/>
        <v>0</v>
      </c>
      <c r="F46" s="4">
        <f t="shared" si="4"/>
        <v>0</v>
      </c>
      <c r="G46" s="4">
        <f t="shared" si="4"/>
        <v>1.315869118394008E-4</v>
      </c>
      <c r="H46" s="4">
        <f t="shared" si="4"/>
        <v>0</v>
      </c>
      <c r="I46" s="4">
        <f t="shared" si="4"/>
        <v>0</v>
      </c>
      <c r="J46" s="4">
        <f t="shared" si="4"/>
        <v>2.6317382367880161E-4</v>
      </c>
      <c r="K46" s="4">
        <f t="shared" si="4"/>
        <v>2.6317382367880161E-4</v>
      </c>
      <c r="L46" s="4">
        <f t="shared" si="4"/>
        <v>0</v>
      </c>
      <c r="M46" s="4">
        <f t="shared" si="4"/>
        <v>0</v>
      </c>
      <c r="N46" s="4">
        <f t="shared" si="4"/>
        <v>1.315869118394008E-4</v>
      </c>
      <c r="O46" s="4">
        <f t="shared" si="4"/>
        <v>2.6317382367880161E-4</v>
      </c>
      <c r="P46" s="4">
        <f t="shared" si="4"/>
        <v>2.6317382367880161E-4</v>
      </c>
      <c r="Q46" s="4">
        <f t="shared" si="4"/>
        <v>0</v>
      </c>
      <c r="R46" s="4">
        <f t="shared" si="4"/>
        <v>0</v>
      </c>
      <c r="S46" s="4">
        <f t="shared" si="4"/>
        <v>1.315869118394008E-4</v>
      </c>
      <c r="T46" s="4">
        <f t="shared" si="4"/>
        <v>0</v>
      </c>
      <c r="U46" s="4">
        <f t="shared" si="4"/>
        <v>3.9476073551820241E-4</v>
      </c>
      <c r="V46" s="4">
        <f t="shared" si="4"/>
        <v>0</v>
      </c>
      <c r="W46" s="4">
        <f t="shared" si="4"/>
        <v>3.9476073551820241E-4</v>
      </c>
      <c r="X46" s="4">
        <f t="shared" si="4"/>
        <v>0</v>
      </c>
      <c r="Y46" s="4">
        <f t="shared" si="4"/>
        <v>0</v>
      </c>
      <c r="Z46" s="4">
        <f t="shared" si="4"/>
        <v>0</v>
      </c>
      <c r="AA46" s="4">
        <f t="shared" si="4"/>
        <v>0</v>
      </c>
      <c r="AB46" s="4">
        <f t="shared" si="4"/>
        <v>0</v>
      </c>
      <c r="AC46" s="4">
        <f t="shared" si="4"/>
        <v>0</v>
      </c>
      <c r="AD46" s="4">
        <f t="shared" si="4"/>
        <v>0</v>
      </c>
    </row>
    <row r="47" spans="1:32" s="4" customFormat="1" ht="13" x14ac:dyDescent="0.15">
      <c r="A47" s="4" t="s">
        <v>21</v>
      </c>
      <c r="B47" s="4">
        <f t="shared" si="1"/>
        <v>0.39611536197763392</v>
      </c>
      <c r="C47" s="4">
        <f t="shared" ref="C47:AD47" si="5">C27*$C7/$B7</f>
        <v>0.41436138905238379</v>
      </c>
      <c r="D47" s="4">
        <f t="shared" si="5"/>
        <v>0.39591916813812045</v>
      </c>
      <c r="E47" s="4">
        <f t="shared" si="5"/>
        <v>0.4116146752991956</v>
      </c>
      <c r="F47" s="4">
        <f t="shared" si="5"/>
        <v>0.39238767902687854</v>
      </c>
      <c r="G47" s="4">
        <f t="shared" si="5"/>
        <v>0.4139690013733569</v>
      </c>
      <c r="H47" s="4">
        <f t="shared" si="5"/>
        <v>0.40258975868157743</v>
      </c>
      <c r="I47" s="4">
        <f t="shared" si="5"/>
        <v>0.40062782028644306</v>
      </c>
      <c r="J47" s="4">
        <f t="shared" si="5"/>
        <v>0.40808318618795369</v>
      </c>
      <c r="K47" s="4">
        <f t="shared" si="5"/>
        <v>0.40847557386698058</v>
      </c>
      <c r="L47" s="4">
        <f t="shared" si="5"/>
        <v>0.40239356484206401</v>
      </c>
      <c r="M47" s="4">
        <f t="shared" si="5"/>
        <v>0.40867176770649399</v>
      </c>
      <c r="N47" s="4">
        <f t="shared" si="5"/>
        <v>0.38159701785363936</v>
      </c>
      <c r="O47" s="4">
        <f t="shared" si="5"/>
        <v>0.40808318618795369</v>
      </c>
      <c r="P47" s="4">
        <f t="shared" si="5"/>
        <v>0.40847557386698058</v>
      </c>
      <c r="Q47" s="4">
        <f t="shared" si="5"/>
        <v>0.40239356484206401</v>
      </c>
      <c r="R47" s="4">
        <f t="shared" si="5"/>
        <v>0.40867176770649399</v>
      </c>
      <c r="S47" s="4">
        <f t="shared" si="5"/>
        <v>0.38159701785363936</v>
      </c>
      <c r="T47" s="4">
        <f t="shared" si="5"/>
        <v>0.39278006670590543</v>
      </c>
      <c r="U47" s="4">
        <f t="shared" si="5"/>
        <v>0.39631155581714733</v>
      </c>
      <c r="V47" s="4">
        <f t="shared" si="5"/>
        <v>0.39278006670590543</v>
      </c>
      <c r="W47" s="4">
        <f t="shared" si="5"/>
        <v>0.40494408475573868</v>
      </c>
      <c r="X47" s="4">
        <f t="shared" si="5"/>
        <v>0</v>
      </c>
      <c r="Y47" s="4">
        <f t="shared" si="5"/>
        <v>0</v>
      </c>
      <c r="Z47" s="4">
        <f t="shared" si="5"/>
        <v>0</v>
      </c>
      <c r="AA47" s="4">
        <f t="shared" si="5"/>
        <v>0</v>
      </c>
      <c r="AB47" s="4">
        <f t="shared" si="5"/>
        <v>0</v>
      </c>
      <c r="AC47" s="4">
        <f t="shared" si="5"/>
        <v>0</v>
      </c>
      <c r="AD47" s="4">
        <f t="shared" si="5"/>
        <v>0</v>
      </c>
    </row>
    <row r="48" spans="1:32" s="4" customFormat="1" ht="13" x14ac:dyDescent="0.15">
      <c r="A48" s="4" t="s">
        <v>22</v>
      </c>
      <c r="B48" s="4">
        <f t="shared" si="1"/>
        <v>0.28336812804453726</v>
      </c>
      <c r="C48" s="4">
        <f t="shared" ref="C48:AD48" si="6">C28*$C8/$B8</f>
        <v>0.32372999304105782</v>
      </c>
      <c r="D48" s="4">
        <f t="shared" si="6"/>
        <v>0.27362560890744608</v>
      </c>
      <c r="E48" s="4">
        <f t="shared" si="6"/>
        <v>0.28336812804453726</v>
      </c>
      <c r="F48" s="4">
        <f t="shared" si="6"/>
        <v>0.1235908141962422</v>
      </c>
      <c r="G48" s="4">
        <f t="shared" si="6"/>
        <v>0.28475991649269317</v>
      </c>
      <c r="H48" s="4">
        <f t="shared" si="6"/>
        <v>0.27348643006263046</v>
      </c>
      <c r="I48" s="4">
        <f t="shared" si="6"/>
        <v>0.25386221294363259</v>
      </c>
      <c r="J48" s="4">
        <f t="shared" si="6"/>
        <v>0.2559498956158664</v>
      </c>
      <c r="K48" s="4">
        <f t="shared" si="6"/>
        <v>0.30173973556019484</v>
      </c>
      <c r="L48" s="4">
        <f t="shared" si="6"/>
        <v>0.24425887265135701</v>
      </c>
      <c r="M48" s="4">
        <f t="shared" si="6"/>
        <v>0.29881697981906752</v>
      </c>
      <c r="N48" s="4">
        <f t="shared" si="6"/>
        <v>0.26666666666666666</v>
      </c>
      <c r="O48" s="4">
        <f t="shared" si="6"/>
        <v>0.2559498956158664</v>
      </c>
      <c r="P48" s="4">
        <f t="shared" si="6"/>
        <v>0.30173973556019484</v>
      </c>
      <c r="Q48" s="4">
        <f t="shared" si="6"/>
        <v>0.24425887265135701</v>
      </c>
      <c r="R48" s="4">
        <f t="shared" si="6"/>
        <v>0.29881697981906752</v>
      </c>
      <c r="S48" s="4">
        <f t="shared" si="6"/>
        <v>0.26666666666666666</v>
      </c>
      <c r="T48" s="4">
        <f t="shared" si="6"/>
        <v>0.2918580375782881</v>
      </c>
      <c r="U48" s="4">
        <f t="shared" si="6"/>
        <v>0.24578983994432849</v>
      </c>
      <c r="V48" s="4">
        <f t="shared" si="6"/>
        <v>0.30271398747390399</v>
      </c>
      <c r="W48" s="4">
        <f t="shared" si="6"/>
        <v>0.29756437021572724</v>
      </c>
      <c r="X48" s="4">
        <f t="shared" si="6"/>
        <v>0</v>
      </c>
      <c r="Y48" s="4">
        <f t="shared" si="6"/>
        <v>0</v>
      </c>
      <c r="Z48" s="4">
        <f t="shared" si="6"/>
        <v>0</v>
      </c>
      <c r="AA48" s="4">
        <f t="shared" si="6"/>
        <v>0</v>
      </c>
      <c r="AB48" s="4">
        <f t="shared" si="6"/>
        <v>0</v>
      </c>
      <c r="AC48" s="4">
        <f t="shared" si="6"/>
        <v>0</v>
      </c>
      <c r="AD48" s="4">
        <f t="shared" si="6"/>
        <v>0</v>
      </c>
    </row>
    <row r="49" spans="1:32" s="4" customFormat="1" ht="13" x14ac:dyDescent="0.15">
      <c r="A49" s="4" t="s">
        <v>23</v>
      </c>
      <c r="B49" s="4">
        <f t="shared" si="1"/>
        <v>0.23894441546724557</v>
      </c>
      <c r="C49" s="4">
        <f t="shared" ref="C49:AD49" si="7">C29*$C9/$B9</f>
        <v>0.17719948686862991</v>
      </c>
      <c r="D49" s="4">
        <f t="shared" si="7"/>
        <v>0.26164061068271843</v>
      </c>
      <c r="E49" s="4">
        <f t="shared" si="7"/>
        <v>0.23457434061209242</v>
      </c>
      <c r="F49" s="4">
        <f t="shared" si="7"/>
        <v>0.42502502220279964</v>
      </c>
      <c r="G49" s="4">
        <f t="shared" si="7"/>
        <v>0.21159620508338386</v>
      </c>
      <c r="H49" s="4">
        <f t="shared" si="7"/>
        <v>0.26883008867022851</v>
      </c>
      <c r="I49" s="4">
        <f t="shared" si="7"/>
        <v>0.28222225354892372</v>
      </c>
      <c r="J49" s="4">
        <f t="shared" si="7"/>
        <v>0.28306807448863075</v>
      </c>
      <c r="K49" s="4">
        <f t="shared" si="7"/>
        <v>0.19143747268703215</v>
      </c>
      <c r="L49" s="4">
        <f t="shared" si="7"/>
        <v>0.29871576187321147</v>
      </c>
      <c r="M49" s="4">
        <f t="shared" si="7"/>
        <v>0.19327008472306414</v>
      </c>
      <c r="N49" s="4">
        <f t="shared" si="7"/>
        <v>0.28673329856069468</v>
      </c>
      <c r="O49" s="4">
        <f t="shared" si="7"/>
        <v>0.28306807448863075</v>
      </c>
      <c r="P49" s="4">
        <f t="shared" si="7"/>
        <v>0.19143747268703215</v>
      </c>
      <c r="Q49" s="4">
        <f t="shared" si="7"/>
        <v>0.29871576187321147</v>
      </c>
      <c r="R49" s="4">
        <f t="shared" si="7"/>
        <v>0.19327008472306414</v>
      </c>
      <c r="S49" s="4">
        <f t="shared" si="7"/>
        <v>0.28673329856069468</v>
      </c>
      <c r="T49" s="4">
        <f t="shared" si="7"/>
        <v>0.23147299716649988</v>
      </c>
      <c r="U49" s="4">
        <f t="shared" si="7"/>
        <v>0.28151740276583448</v>
      </c>
      <c r="V49" s="4">
        <f t="shared" si="7"/>
        <v>0.21328784696279798</v>
      </c>
      <c r="W49" s="4">
        <f t="shared" si="7"/>
        <v>0.21131426477014817</v>
      </c>
      <c r="X49" s="4">
        <f t="shared" si="7"/>
        <v>0</v>
      </c>
      <c r="Y49" s="4">
        <f t="shared" si="7"/>
        <v>0</v>
      </c>
      <c r="Z49" s="4">
        <f t="shared" si="7"/>
        <v>0</v>
      </c>
      <c r="AA49" s="4">
        <f t="shared" si="7"/>
        <v>0</v>
      </c>
      <c r="AB49" s="4">
        <f t="shared" si="7"/>
        <v>0</v>
      </c>
      <c r="AC49" s="4">
        <f t="shared" si="7"/>
        <v>0</v>
      </c>
      <c r="AD49" s="4">
        <f t="shared" si="7"/>
        <v>0</v>
      </c>
    </row>
    <row r="50" spans="1:32" s="4" customFormat="1" ht="13" x14ac:dyDescent="0.15">
      <c r="A50" s="4" t="s">
        <v>24</v>
      </c>
      <c r="B50" s="4">
        <f t="shared" si="1"/>
        <v>0</v>
      </c>
      <c r="C50" s="4">
        <f t="shared" ref="C50:AD50" si="8">C30*$C10/$B10</f>
        <v>0</v>
      </c>
      <c r="D50" s="4">
        <f t="shared" si="8"/>
        <v>0</v>
      </c>
      <c r="E50" s="4">
        <f t="shared" si="8"/>
        <v>0</v>
      </c>
      <c r="F50" s="4">
        <f t="shared" si="8"/>
        <v>0</v>
      </c>
      <c r="G50" s="4">
        <f t="shared" si="8"/>
        <v>0</v>
      </c>
      <c r="H50" s="4">
        <f t="shared" si="8"/>
        <v>0</v>
      </c>
      <c r="I50" s="4">
        <f t="shared" si="8"/>
        <v>0</v>
      </c>
      <c r="J50" s="4">
        <f t="shared" si="8"/>
        <v>0</v>
      </c>
      <c r="K50" s="4">
        <f t="shared" si="8"/>
        <v>0</v>
      </c>
      <c r="L50" s="4">
        <f t="shared" si="8"/>
        <v>0</v>
      </c>
      <c r="M50" s="4">
        <f t="shared" si="8"/>
        <v>0</v>
      </c>
      <c r="N50" s="4">
        <f t="shared" si="8"/>
        <v>0</v>
      </c>
      <c r="O50" s="4">
        <f t="shared" si="8"/>
        <v>0</v>
      </c>
      <c r="P50" s="4">
        <f t="shared" si="8"/>
        <v>0</v>
      </c>
      <c r="Q50" s="4">
        <f t="shared" si="8"/>
        <v>0</v>
      </c>
      <c r="R50" s="4">
        <f t="shared" si="8"/>
        <v>0</v>
      </c>
      <c r="S50" s="4">
        <f t="shared" si="8"/>
        <v>0</v>
      </c>
      <c r="T50" s="4">
        <f t="shared" si="8"/>
        <v>0</v>
      </c>
      <c r="U50" s="4">
        <f t="shared" si="8"/>
        <v>0</v>
      </c>
      <c r="V50" s="4">
        <f t="shared" si="8"/>
        <v>0</v>
      </c>
      <c r="W50" s="4">
        <f t="shared" si="8"/>
        <v>0</v>
      </c>
      <c r="X50" s="4">
        <f t="shared" si="8"/>
        <v>0</v>
      </c>
      <c r="Y50" s="4">
        <f t="shared" si="8"/>
        <v>0</v>
      </c>
      <c r="Z50" s="4">
        <f t="shared" si="8"/>
        <v>0</v>
      </c>
      <c r="AA50" s="4">
        <f t="shared" si="8"/>
        <v>0</v>
      </c>
      <c r="AB50" s="4">
        <f t="shared" si="8"/>
        <v>0</v>
      </c>
      <c r="AC50" s="4">
        <f t="shared" si="8"/>
        <v>0</v>
      </c>
      <c r="AD50" s="4">
        <f t="shared" si="8"/>
        <v>0</v>
      </c>
    </row>
    <row r="51" spans="1:32" s="4" customFormat="1" ht="13" x14ac:dyDescent="0.15">
      <c r="A51" s="4" t="s">
        <v>25</v>
      </c>
      <c r="B51" s="4">
        <f t="shared" si="1"/>
        <v>9.2284792855370876E-2</v>
      </c>
      <c r="C51" s="4">
        <f t="shared" ref="C51:AD51" si="9">C31*$C11/$B11</f>
        <v>0.11138675266683205</v>
      </c>
      <c r="D51" s="4">
        <f t="shared" si="9"/>
        <v>8.3354006450012397E-2</v>
      </c>
      <c r="E51" s="4">
        <f t="shared" si="9"/>
        <v>9.8982882659389732E-2</v>
      </c>
      <c r="F51" s="4">
        <f t="shared" si="9"/>
        <v>6.7725130240635076E-2</v>
      </c>
      <c r="G51" s="4">
        <f t="shared" si="9"/>
        <v>9.9975192259985121E-2</v>
      </c>
      <c r="H51" s="4">
        <f t="shared" si="9"/>
        <v>7.8144381046886618E-2</v>
      </c>
      <c r="I51" s="4">
        <f t="shared" si="9"/>
        <v>8.2609774249565865E-2</v>
      </c>
      <c r="J51" s="4">
        <f t="shared" si="9"/>
        <v>7.9136690647482008E-2</v>
      </c>
      <c r="K51" s="4">
        <f t="shared" si="9"/>
        <v>0.10493674026296206</v>
      </c>
      <c r="L51" s="4">
        <f t="shared" si="9"/>
        <v>7.6407839245844697E-2</v>
      </c>
      <c r="M51" s="4">
        <f t="shared" si="9"/>
        <v>0.10568097246340857</v>
      </c>
      <c r="N51" s="4">
        <f t="shared" si="9"/>
        <v>7.9136690647482008E-2</v>
      </c>
      <c r="O51" s="4">
        <f t="shared" si="9"/>
        <v>7.9136690647482008E-2</v>
      </c>
      <c r="P51" s="4">
        <f t="shared" si="9"/>
        <v>0.10493674026296206</v>
      </c>
      <c r="Q51" s="4">
        <f t="shared" si="9"/>
        <v>7.6407839245844697E-2</v>
      </c>
      <c r="R51" s="4">
        <f t="shared" si="9"/>
        <v>0.10568097246340857</v>
      </c>
      <c r="S51" s="4">
        <f t="shared" si="9"/>
        <v>7.9136690647482008E-2</v>
      </c>
      <c r="T51" s="4">
        <f t="shared" si="9"/>
        <v>9.8982882659389732E-2</v>
      </c>
      <c r="U51" s="4">
        <f t="shared" si="9"/>
        <v>8.8563631853138175E-2</v>
      </c>
      <c r="V51" s="4">
        <f t="shared" si="9"/>
        <v>9.9727114859836249E-2</v>
      </c>
      <c r="W51" s="4">
        <f t="shared" si="9"/>
        <v>0.10642520466385512</v>
      </c>
      <c r="X51" s="4">
        <f t="shared" si="9"/>
        <v>0</v>
      </c>
      <c r="Y51" s="4">
        <f t="shared" si="9"/>
        <v>0</v>
      </c>
      <c r="Z51" s="4">
        <f t="shared" si="9"/>
        <v>0</v>
      </c>
      <c r="AA51" s="4">
        <f t="shared" si="9"/>
        <v>0</v>
      </c>
      <c r="AB51" s="4">
        <f t="shared" si="9"/>
        <v>0</v>
      </c>
      <c r="AC51" s="4">
        <f t="shared" si="9"/>
        <v>0</v>
      </c>
      <c r="AD51" s="4">
        <f t="shared" si="9"/>
        <v>0</v>
      </c>
    </row>
    <row r="52" spans="1:32" s="4" customFormat="1" ht="13" x14ac:dyDescent="0.15">
      <c r="A52" s="4" t="s">
        <v>26</v>
      </c>
      <c r="B52" s="4">
        <f t="shared" si="1"/>
        <v>2.442938659058488E-2</v>
      </c>
      <c r="C52" s="4">
        <f t="shared" ref="C52:AD52" si="10">C32*$C12/$B12</f>
        <v>3.263195435092725E-2</v>
      </c>
      <c r="D52" s="4">
        <f t="shared" si="10"/>
        <v>2.1576319543509272E-2</v>
      </c>
      <c r="E52" s="4">
        <f t="shared" si="10"/>
        <v>1.9971469329529246E-2</v>
      </c>
      <c r="F52" s="4">
        <f t="shared" si="10"/>
        <v>2.086305278174037E-2</v>
      </c>
      <c r="G52" s="4">
        <f t="shared" si="10"/>
        <v>4.0477888730385166E-2</v>
      </c>
      <c r="H52" s="4">
        <f t="shared" si="10"/>
        <v>2.3181169757489302E-2</v>
      </c>
      <c r="I52" s="4">
        <f t="shared" si="10"/>
        <v>1.8188302425106991E-2</v>
      </c>
      <c r="J52" s="4">
        <f t="shared" si="10"/>
        <v>2.0328102710413694E-2</v>
      </c>
      <c r="K52" s="4">
        <f t="shared" si="10"/>
        <v>4.0477888730385166E-2</v>
      </c>
      <c r="L52" s="4">
        <f t="shared" si="10"/>
        <v>2.0149786019971468E-2</v>
      </c>
      <c r="M52" s="4">
        <f t="shared" si="10"/>
        <v>3.3523537803138374E-2</v>
      </c>
      <c r="N52" s="4">
        <f t="shared" si="10"/>
        <v>1.8009985734664766E-2</v>
      </c>
      <c r="O52" s="4">
        <f t="shared" si="10"/>
        <v>2.0328102710413694E-2</v>
      </c>
      <c r="P52" s="4">
        <f t="shared" si="10"/>
        <v>4.0477888730385166E-2</v>
      </c>
      <c r="Q52" s="4">
        <f t="shared" si="10"/>
        <v>2.0149786019971468E-2</v>
      </c>
      <c r="R52" s="4">
        <f t="shared" si="10"/>
        <v>3.3523537803138374E-2</v>
      </c>
      <c r="S52" s="4">
        <f t="shared" si="10"/>
        <v>1.8009985734664766E-2</v>
      </c>
      <c r="T52" s="4">
        <f t="shared" si="10"/>
        <v>2.2646219686162625E-2</v>
      </c>
      <c r="U52" s="4">
        <f t="shared" si="10"/>
        <v>2.2289586305278174E-2</v>
      </c>
      <c r="V52" s="4">
        <f t="shared" si="10"/>
        <v>2.7460770328102711E-2</v>
      </c>
      <c r="W52" s="4">
        <f t="shared" si="10"/>
        <v>2.2289586305278174E-2</v>
      </c>
      <c r="X52" s="4">
        <f t="shared" si="10"/>
        <v>0</v>
      </c>
      <c r="Y52" s="4">
        <f t="shared" si="10"/>
        <v>0</v>
      </c>
      <c r="Z52" s="4">
        <f t="shared" si="10"/>
        <v>0</v>
      </c>
      <c r="AA52" s="4">
        <f t="shared" si="10"/>
        <v>0</v>
      </c>
      <c r="AB52" s="4">
        <f t="shared" si="10"/>
        <v>0</v>
      </c>
      <c r="AC52" s="4">
        <f t="shared" si="10"/>
        <v>0</v>
      </c>
      <c r="AD52" s="4">
        <f t="shared" si="10"/>
        <v>0</v>
      </c>
    </row>
    <row r="53" spans="1:32" s="4" customFormat="1" ht="13" x14ac:dyDescent="0.15">
      <c r="A53" s="4" t="s">
        <v>27</v>
      </c>
      <c r="B53" s="4">
        <f t="shared" si="1"/>
        <v>1.2906972992159013E-3</v>
      </c>
      <c r="C53" s="4">
        <f t="shared" ref="C53:AD53" si="11">C33*$C13/$B13</f>
        <v>0</v>
      </c>
      <c r="D53" s="4">
        <f t="shared" si="11"/>
        <v>1.2906972992159013E-3</v>
      </c>
      <c r="E53" s="4">
        <f t="shared" si="11"/>
        <v>1.2906972992159013E-3</v>
      </c>
      <c r="F53" s="4">
        <f t="shared" si="11"/>
        <v>0</v>
      </c>
      <c r="G53" s="4">
        <f t="shared" si="11"/>
        <v>9.6802297441192606E-4</v>
      </c>
      <c r="H53" s="4">
        <f t="shared" si="11"/>
        <v>0</v>
      </c>
      <c r="I53" s="4">
        <f t="shared" si="11"/>
        <v>1.6133716240198769E-3</v>
      </c>
      <c r="J53" s="4">
        <f t="shared" si="11"/>
        <v>9.6802297441192606E-4</v>
      </c>
      <c r="K53" s="4">
        <f t="shared" si="11"/>
        <v>1.2906972992159013E-3</v>
      </c>
      <c r="L53" s="4">
        <f t="shared" si="11"/>
        <v>9.6802297441192606E-4</v>
      </c>
      <c r="M53" s="4">
        <f t="shared" si="11"/>
        <v>6.4534864960795067E-4</v>
      </c>
      <c r="N53" s="4">
        <f t="shared" si="11"/>
        <v>9.6802297441192606E-4</v>
      </c>
      <c r="O53" s="4">
        <f t="shared" si="11"/>
        <v>9.6802297441192606E-4</v>
      </c>
      <c r="P53" s="4">
        <f t="shared" si="11"/>
        <v>1.2906972992159013E-3</v>
      </c>
      <c r="Q53" s="4">
        <f t="shared" si="11"/>
        <v>9.6802297441192606E-4</v>
      </c>
      <c r="R53" s="4">
        <f t="shared" si="11"/>
        <v>6.4534864960795067E-4</v>
      </c>
      <c r="S53" s="4">
        <f t="shared" si="11"/>
        <v>9.6802297441192606E-4</v>
      </c>
      <c r="T53" s="4">
        <f t="shared" si="11"/>
        <v>6.4534864960795067E-4</v>
      </c>
      <c r="U53" s="4">
        <f t="shared" si="11"/>
        <v>1.6133716240198769E-3</v>
      </c>
      <c r="V53" s="4">
        <f t="shared" si="11"/>
        <v>0</v>
      </c>
      <c r="W53" s="4">
        <f t="shared" si="11"/>
        <v>1.6133716240198769E-3</v>
      </c>
      <c r="X53" s="4">
        <f t="shared" si="11"/>
        <v>0</v>
      </c>
      <c r="Y53" s="4">
        <f t="shared" si="11"/>
        <v>0</v>
      </c>
      <c r="Z53" s="4">
        <f t="shared" si="11"/>
        <v>0</v>
      </c>
      <c r="AA53" s="4">
        <f t="shared" si="11"/>
        <v>0</v>
      </c>
      <c r="AB53" s="4">
        <f t="shared" si="11"/>
        <v>0</v>
      </c>
      <c r="AC53" s="4">
        <f t="shared" si="11"/>
        <v>0</v>
      </c>
      <c r="AD53" s="4">
        <f t="shared" si="11"/>
        <v>0</v>
      </c>
    </row>
    <row r="54" spans="1:32" s="4" customFormat="1" ht="13" x14ac:dyDescent="0.15">
      <c r="A54" s="4" t="s">
        <v>28</v>
      </c>
      <c r="B54" s="4">
        <f t="shared" si="1"/>
        <v>6.3694267515923564E-4</v>
      </c>
      <c r="C54" s="4">
        <f t="shared" ref="C54:AD54" si="12">C34*$C14/$B14</f>
        <v>0</v>
      </c>
      <c r="D54" s="4">
        <f t="shared" si="12"/>
        <v>0</v>
      </c>
      <c r="E54" s="4">
        <f t="shared" si="12"/>
        <v>0</v>
      </c>
      <c r="F54" s="4">
        <f t="shared" si="12"/>
        <v>0</v>
      </c>
      <c r="G54" s="4">
        <f t="shared" si="12"/>
        <v>0</v>
      </c>
      <c r="H54" s="4">
        <f t="shared" si="12"/>
        <v>2.1231422505307856E-4</v>
      </c>
      <c r="I54" s="4">
        <f t="shared" si="12"/>
        <v>2.1231422505307856E-4</v>
      </c>
      <c r="J54" s="4">
        <f t="shared" si="12"/>
        <v>0</v>
      </c>
      <c r="K54" s="4">
        <f t="shared" si="12"/>
        <v>0</v>
      </c>
      <c r="L54" s="4">
        <f t="shared" si="12"/>
        <v>2.1231422505307856E-4</v>
      </c>
      <c r="M54" s="4">
        <f t="shared" si="12"/>
        <v>0</v>
      </c>
      <c r="N54" s="4">
        <f t="shared" si="12"/>
        <v>0</v>
      </c>
      <c r="O54" s="4">
        <f t="shared" si="12"/>
        <v>0</v>
      </c>
      <c r="P54" s="4">
        <f t="shared" si="12"/>
        <v>0</v>
      </c>
      <c r="Q54" s="4">
        <f t="shared" si="12"/>
        <v>2.1231422505307856E-4</v>
      </c>
      <c r="R54" s="4">
        <f t="shared" si="12"/>
        <v>0</v>
      </c>
      <c r="S54" s="4">
        <f t="shared" si="12"/>
        <v>0</v>
      </c>
      <c r="T54" s="4">
        <f t="shared" si="12"/>
        <v>0</v>
      </c>
      <c r="U54" s="4">
        <f t="shared" si="12"/>
        <v>0</v>
      </c>
      <c r="V54" s="4">
        <f t="shared" si="12"/>
        <v>2.1231422505307856E-4</v>
      </c>
      <c r="W54" s="4">
        <f t="shared" si="12"/>
        <v>0</v>
      </c>
      <c r="X54" s="4">
        <f t="shared" si="12"/>
        <v>0</v>
      </c>
      <c r="Y54" s="4">
        <f t="shared" si="12"/>
        <v>0</v>
      </c>
      <c r="Z54" s="4">
        <f t="shared" si="12"/>
        <v>0</v>
      </c>
      <c r="AA54" s="4">
        <f t="shared" si="12"/>
        <v>0</v>
      </c>
      <c r="AB54" s="4">
        <f t="shared" si="12"/>
        <v>0</v>
      </c>
      <c r="AC54" s="4">
        <f t="shared" si="12"/>
        <v>0</v>
      </c>
      <c r="AD54" s="4">
        <f t="shared" si="12"/>
        <v>0</v>
      </c>
    </row>
    <row r="55" spans="1:32" s="4" customFormat="1" ht="13" x14ac:dyDescent="0.15">
      <c r="A55" s="4" t="str">
        <f>Input!A39</f>
        <v>Add El</v>
      </c>
      <c r="B55" s="4">
        <f>B35*$C16/$B16</f>
        <v>0</v>
      </c>
      <c r="C55" s="4">
        <f t="shared" ref="C55:AD55" si="13">C35*$C16/$B16</f>
        <v>0</v>
      </c>
      <c r="D55" s="4">
        <f t="shared" si="13"/>
        <v>0</v>
      </c>
      <c r="E55" s="4">
        <f t="shared" si="13"/>
        <v>0</v>
      </c>
      <c r="F55" s="4">
        <f t="shared" si="13"/>
        <v>0</v>
      </c>
      <c r="G55" s="4">
        <f t="shared" si="13"/>
        <v>0</v>
      </c>
      <c r="H55" s="4">
        <f t="shared" si="13"/>
        <v>0</v>
      </c>
      <c r="I55" s="4">
        <f t="shared" si="13"/>
        <v>0</v>
      </c>
      <c r="J55" s="4">
        <f t="shared" si="13"/>
        <v>0</v>
      </c>
      <c r="K55" s="4">
        <f t="shared" si="13"/>
        <v>0</v>
      </c>
      <c r="L55" s="4">
        <f t="shared" si="13"/>
        <v>0</v>
      </c>
      <c r="M55" s="4">
        <f t="shared" si="13"/>
        <v>0</v>
      </c>
      <c r="N55" s="4">
        <f t="shared" si="13"/>
        <v>0</v>
      </c>
      <c r="O55" s="4">
        <f t="shared" si="13"/>
        <v>0</v>
      </c>
      <c r="P55" s="4">
        <f t="shared" si="13"/>
        <v>0</v>
      </c>
      <c r="Q55" s="4">
        <f t="shared" si="13"/>
        <v>0</v>
      </c>
      <c r="R55" s="4">
        <f t="shared" si="13"/>
        <v>0</v>
      </c>
      <c r="S55" s="4">
        <f t="shared" si="13"/>
        <v>0</v>
      </c>
      <c r="T55" s="4">
        <f t="shared" si="13"/>
        <v>0</v>
      </c>
      <c r="U55" s="4">
        <f t="shared" si="13"/>
        <v>0</v>
      </c>
      <c r="V55" s="4">
        <f t="shared" si="13"/>
        <v>0</v>
      </c>
      <c r="W55" s="4">
        <f t="shared" si="13"/>
        <v>0</v>
      </c>
      <c r="X55" s="4">
        <f t="shared" si="13"/>
        <v>0</v>
      </c>
      <c r="Y55" s="4">
        <f t="shared" si="13"/>
        <v>0</v>
      </c>
      <c r="Z55" s="4">
        <f t="shared" si="13"/>
        <v>0</v>
      </c>
      <c r="AA55" s="4">
        <f t="shared" si="13"/>
        <v>0</v>
      </c>
      <c r="AB55" s="4">
        <f t="shared" si="13"/>
        <v>0</v>
      </c>
      <c r="AC55" s="4">
        <f t="shared" si="13"/>
        <v>0</v>
      </c>
      <c r="AD55" s="4">
        <f t="shared" si="13"/>
        <v>0</v>
      </c>
    </row>
    <row r="56" spans="1:32" s="4" customFormat="1" ht="13" x14ac:dyDescent="0.15">
      <c r="A56" s="4" t="s">
        <v>59</v>
      </c>
      <c r="B56" s="4">
        <f>B36*$C17/$B17</f>
        <v>0</v>
      </c>
      <c r="C56" s="4">
        <f t="shared" ref="C56:AD56" si="14">C36*$C17/$B17</f>
        <v>0</v>
      </c>
      <c r="D56" s="4">
        <f t="shared" si="14"/>
        <v>0</v>
      </c>
      <c r="E56" s="4">
        <f t="shared" si="14"/>
        <v>0</v>
      </c>
      <c r="F56" s="4">
        <f t="shared" si="14"/>
        <v>0</v>
      </c>
      <c r="G56" s="4">
        <f t="shared" si="14"/>
        <v>0</v>
      </c>
      <c r="H56" s="4">
        <f t="shared" si="14"/>
        <v>0</v>
      </c>
      <c r="I56" s="4">
        <f t="shared" si="14"/>
        <v>0</v>
      </c>
      <c r="J56" s="4">
        <f t="shared" si="14"/>
        <v>0</v>
      </c>
      <c r="K56" s="4">
        <f t="shared" si="14"/>
        <v>0</v>
      </c>
      <c r="L56" s="4">
        <f t="shared" si="14"/>
        <v>0</v>
      </c>
      <c r="M56" s="4">
        <f t="shared" si="14"/>
        <v>0</v>
      </c>
      <c r="N56" s="4">
        <f t="shared" si="14"/>
        <v>0</v>
      </c>
      <c r="O56" s="4">
        <f t="shared" si="14"/>
        <v>0</v>
      </c>
      <c r="P56" s="4">
        <f t="shared" si="14"/>
        <v>0</v>
      </c>
      <c r="Q56" s="4">
        <f t="shared" si="14"/>
        <v>0</v>
      </c>
      <c r="R56" s="4">
        <f t="shared" si="14"/>
        <v>0</v>
      </c>
      <c r="S56" s="4">
        <f t="shared" si="14"/>
        <v>0</v>
      </c>
      <c r="T56" s="4">
        <f t="shared" si="14"/>
        <v>0</v>
      </c>
      <c r="U56" s="4">
        <f t="shared" si="14"/>
        <v>0</v>
      </c>
      <c r="V56" s="4">
        <f t="shared" si="14"/>
        <v>0</v>
      </c>
      <c r="W56" s="4">
        <f t="shared" si="14"/>
        <v>0</v>
      </c>
      <c r="X56" s="4">
        <f t="shared" si="14"/>
        <v>0</v>
      </c>
      <c r="Y56" s="4">
        <f t="shared" si="14"/>
        <v>0</v>
      </c>
      <c r="Z56" s="4">
        <f t="shared" si="14"/>
        <v>0</v>
      </c>
      <c r="AA56" s="4">
        <f t="shared" si="14"/>
        <v>0</v>
      </c>
      <c r="AB56" s="4">
        <f t="shared" si="14"/>
        <v>0</v>
      </c>
      <c r="AC56" s="4">
        <f t="shared" si="14"/>
        <v>0</v>
      </c>
      <c r="AD56" s="4">
        <f t="shared" si="14"/>
        <v>0</v>
      </c>
    </row>
    <row r="57" spans="1:32" s="4" customFormat="1" ht="13" x14ac:dyDescent="0.15">
      <c r="A57" s="4" t="s">
        <v>57</v>
      </c>
      <c r="B57" s="4">
        <f>B37*$C18/$B18</f>
        <v>0</v>
      </c>
      <c r="C57" s="4">
        <f t="shared" ref="C57:AD57" si="15">C37*$C18/$B18</f>
        <v>0</v>
      </c>
      <c r="D57" s="4">
        <f t="shared" si="15"/>
        <v>0</v>
      </c>
      <c r="E57" s="4">
        <f t="shared" si="15"/>
        <v>0</v>
      </c>
      <c r="F57" s="4">
        <f t="shared" si="15"/>
        <v>0</v>
      </c>
      <c r="G57" s="4">
        <f t="shared" si="15"/>
        <v>0</v>
      </c>
      <c r="H57" s="4">
        <f t="shared" si="15"/>
        <v>0</v>
      </c>
      <c r="I57" s="4">
        <f t="shared" si="15"/>
        <v>0</v>
      </c>
      <c r="J57" s="4">
        <f t="shared" si="15"/>
        <v>0</v>
      </c>
      <c r="K57" s="4">
        <f t="shared" si="15"/>
        <v>0</v>
      </c>
      <c r="L57" s="4">
        <f t="shared" si="15"/>
        <v>0</v>
      </c>
      <c r="M57" s="4">
        <f t="shared" si="15"/>
        <v>0</v>
      </c>
      <c r="N57" s="4">
        <f t="shared" si="15"/>
        <v>0</v>
      </c>
      <c r="O57" s="4">
        <f t="shared" si="15"/>
        <v>0</v>
      </c>
      <c r="P57" s="4">
        <f t="shared" si="15"/>
        <v>0</v>
      </c>
      <c r="Q57" s="4">
        <f t="shared" si="15"/>
        <v>0</v>
      </c>
      <c r="R57" s="4">
        <f t="shared" si="15"/>
        <v>0</v>
      </c>
      <c r="S57" s="4">
        <f t="shared" si="15"/>
        <v>0</v>
      </c>
      <c r="T57" s="4">
        <f t="shared" si="15"/>
        <v>0</v>
      </c>
      <c r="U57" s="4">
        <f t="shared" si="15"/>
        <v>0</v>
      </c>
      <c r="V57" s="4">
        <f t="shared" si="15"/>
        <v>0</v>
      </c>
      <c r="W57" s="4">
        <f t="shared" si="15"/>
        <v>0</v>
      </c>
      <c r="X57" s="4">
        <f t="shared" si="15"/>
        <v>0</v>
      </c>
      <c r="Y57" s="4">
        <f t="shared" si="15"/>
        <v>0</v>
      </c>
      <c r="Z57" s="4">
        <f t="shared" si="15"/>
        <v>0</v>
      </c>
      <c r="AA57" s="4">
        <f t="shared" si="15"/>
        <v>0</v>
      </c>
      <c r="AB57" s="4">
        <f t="shared" si="15"/>
        <v>0</v>
      </c>
      <c r="AC57" s="4">
        <f t="shared" si="15"/>
        <v>0</v>
      </c>
      <c r="AD57" s="4">
        <f t="shared" si="15"/>
        <v>0</v>
      </c>
    </row>
    <row r="58" spans="1:32" s="4" customFormat="1" ht="13" x14ac:dyDescent="0.15">
      <c r="A58" s="4" t="s">
        <v>58</v>
      </c>
      <c r="B58" s="4">
        <f>B38*$C19/$B19</f>
        <v>0</v>
      </c>
      <c r="C58" s="4">
        <f t="shared" ref="C58:AD58" si="16">C38*$C19/$B19</f>
        <v>0</v>
      </c>
      <c r="D58" s="4">
        <f t="shared" si="16"/>
        <v>0</v>
      </c>
      <c r="E58" s="4">
        <f t="shared" si="16"/>
        <v>0</v>
      </c>
      <c r="F58" s="4">
        <f t="shared" si="16"/>
        <v>0</v>
      </c>
      <c r="G58" s="4">
        <f t="shared" si="16"/>
        <v>0</v>
      </c>
      <c r="H58" s="4">
        <f t="shared" si="16"/>
        <v>0</v>
      </c>
      <c r="I58" s="4">
        <f t="shared" si="16"/>
        <v>0</v>
      </c>
      <c r="J58" s="4">
        <f t="shared" si="16"/>
        <v>0</v>
      </c>
      <c r="K58" s="4">
        <f t="shared" si="16"/>
        <v>0</v>
      </c>
      <c r="L58" s="4">
        <f t="shared" si="16"/>
        <v>0</v>
      </c>
      <c r="M58" s="4">
        <f t="shared" si="16"/>
        <v>0</v>
      </c>
      <c r="N58" s="4">
        <f t="shared" si="16"/>
        <v>0</v>
      </c>
      <c r="O58" s="4">
        <f t="shared" si="16"/>
        <v>0</v>
      </c>
      <c r="P58" s="4">
        <f t="shared" si="16"/>
        <v>0</v>
      </c>
      <c r="Q58" s="4">
        <f t="shared" si="16"/>
        <v>0</v>
      </c>
      <c r="R58" s="4">
        <f t="shared" si="16"/>
        <v>0</v>
      </c>
      <c r="S58" s="4">
        <f t="shared" si="16"/>
        <v>0</v>
      </c>
      <c r="T58" s="4">
        <f t="shared" si="16"/>
        <v>0</v>
      </c>
      <c r="U58" s="4">
        <f t="shared" si="16"/>
        <v>0</v>
      </c>
      <c r="V58" s="4">
        <f t="shared" si="16"/>
        <v>0</v>
      </c>
      <c r="W58" s="4">
        <f t="shared" si="16"/>
        <v>0</v>
      </c>
      <c r="X58" s="4">
        <f t="shared" si="16"/>
        <v>0</v>
      </c>
      <c r="Y58" s="4">
        <f t="shared" si="16"/>
        <v>0</v>
      </c>
      <c r="Z58" s="4">
        <f t="shared" si="16"/>
        <v>0</v>
      </c>
      <c r="AA58" s="4">
        <f t="shared" si="16"/>
        <v>0</v>
      </c>
      <c r="AB58" s="4">
        <f t="shared" si="16"/>
        <v>0</v>
      </c>
      <c r="AC58" s="4">
        <f t="shared" si="16"/>
        <v>0</v>
      </c>
      <c r="AD58" s="4">
        <f t="shared" si="16"/>
        <v>0</v>
      </c>
    </row>
    <row r="59" spans="1:32" s="4" customFormat="1" ht="13" x14ac:dyDescent="0.15">
      <c r="A59" s="4" t="s">
        <v>17</v>
      </c>
      <c r="B59" s="4">
        <f>SUM(B44:B55)</f>
        <v>1.6540894183014543</v>
      </c>
      <c r="C59" s="4">
        <f t="shared" ref="C59:AD59" si="17">SUM(C44:C55)</f>
        <v>1.685358546305358</v>
      </c>
      <c r="D59" s="4">
        <f t="shared" si="17"/>
        <v>1.6599652080440361</v>
      </c>
      <c r="E59" s="4">
        <f t="shared" si="17"/>
        <v>1.6773427357663209</v>
      </c>
      <c r="F59" s="4">
        <f t="shared" si="17"/>
        <v>1.6453224137732108</v>
      </c>
      <c r="G59" s="4">
        <f t="shared" si="17"/>
        <v>1.6805021845024506</v>
      </c>
      <c r="H59" s="4">
        <f t="shared" si="17"/>
        <v>1.660836842040065</v>
      </c>
      <c r="I59" s="4">
        <f t="shared" si="17"/>
        <v>1.6577634194008537</v>
      </c>
      <c r="J59" s="4">
        <f t="shared" si="17"/>
        <v>1.6678063873604292</v>
      </c>
      <c r="K59" s="4">
        <f t="shared" si="17"/>
        <v>1.6735000004684601</v>
      </c>
      <c r="L59" s="4">
        <f t="shared" si="17"/>
        <v>1.6630315345931383</v>
      </c>
      <c r="M59" s="4">
        <f t="shared" si="17"/>
        <v>1.6630307350311979</v>
      </c>
      <c r="N59" s="4">
        <f t="shared" si="17"/>
        <v>1.6533092972904504</v>
      </c>
      <c r="O59" s="4">
        <f t="shared" si="17"/>
        <v>1.6678063873604292</v>
      </c>
      <c r="P59" s="4">
        <f t="shared" si="17"/>
        <v>1.6735000004684601</v>
      </c>
      <c r="Q59" s="4">
        <f t="shared" si="17"/>
        <v>1.6630315345931383</v>
      </c>
      <c r="R59" s="4">
        <f t="shared" si="17"/>
        <v>1.6630307350311979</v>
      </c>
      <c r="S59" s="4">
        <f t="shared" si="17"/>
        <v>1.6533092972904504</v>
      </c>
      <c r="T59" s="4">
        <f t="shared" si="17"/>
        <v>1.6582322233010669</v>
      </c>
      <c r="U59" s="4">
        <f t="shared" si="17"/>
        <v>1.6519540936731201</v>
      </c>
      <c r="V59" s="4">
        <f t="shared" si="17"/>
        <v>1.6627394733701526</v>
      </c>
      <c r="W59" s="4">
        <f t="shared" si="17"/>
        <v>1.6715029832208401</v>
      </c>
      <c r="X59" s="4">
        <f t="shared" si="17"/>
        <v>0</v>
      </c>
      <c r="Y59" s="4">
        <f t="shared" si="17"/>
        <v>0</v>
      </c>
      <c r="Z59" s="4">
        <f t="shared" si="17"/>
        <v>0</v>
      </c>
      <c r="AA59" s="4">
        <f t="shared" si="17"/>
        <v>0</v>
      </c>
      <c r="AB59" s="4">
        <f t="shared" si="17"/>
        <v>0</v>
      </c>
      <c r="AC59" s="4">
        <f t="shared" si="17"/>
        <v>0</v>
      </c>
      <c r="AD59" s="4">
        <f t="shared" si="17"/>
        <v>0</v>
      </c>
    </row>
    <row r="60" spans="1:32" x14ac:dyDescent="0.2">
      <c r="AC60" s="1"/>
      <c r="AD60" s="1"/>
      <c r="AE60" s="1"/>
      <c r="AF60" s="1"/>
    </row>
    <row r="61" spans="1:32" x14ac:dyDescent="0.2">
      <c r="A61" s="1" t="s">
        <v>92</v>
      </c>
      <c r="AC61" s="1"/>
      <c r="AD61" s="1"/>
      <c r="AE61" s="1"/>
      <c r="AF61" s="1"/>
    </row>
    <row r="62" spans="1:32" x14ac:dyDescent="0.2">
      <c r="A62" s="1" t="s">
        <v>18</v>
      </c>
      <c r="B62" s="1">
        <f>B44</f>
        <v>0.61351531291611183</v>
      </c>
      <c r="C62" s="1">
        <f t="shared" ref="C62:AD62" si="18">C44</f>
        <v>0.62516644474034622</v>
      </c>
      <c r="D62" s="1">
        <f t="shared" si="18"/>
        <v>0.6196737683089214</v>
      </c>
      <c r="E62" s="1">
        <f t="shared" si="18"/>
        <v>0.62666444740346205</v>
      </c>
      <c r="F62" s="1">
        <f t="shared" si="18"/>
        <v>0.61185086551264978</v>
      </c>
      <c r="G62" s="1">
        <f t="shared" si="18"/>
        <v>0.62699733688415449</v>
      </c>
      <c r="H62" s="1">
        <f t="shared" si="18"/>
        <v>0.61301597869507318</v>
      </c>
      <c r="I62" s="1">
        <f t="shared" si="18"/>
        <v>0.61767643142476703</v>
      </c>
      <c r="J62" s="1">
        <f t="shared" si="18"/>
        <v>0.61900798934753665</v>
      </c>
      <c r="K62" s="1">
        <f t="shared" si="18"/>
        <v>0.62350199733688416</v>
      </c>
      <c r="L62" s="1">
        <f t="shared" si="18"/>
        <v>0.61917443408788286</v>
      </c>
      <c r="M62" s="1">
        <f t="shared" si="18"/>
        <v>0.62167110519307589</v>
      </c>
      <c r="N62" s="1">
        <f t="shared" si="18"/>
        <v>0.61318242343541951</v>
      </c>
      <c r="O62" s="1">
        <f t="shared" si="18"/>
        <v>0.61900798934753665</v>
      </c>
      <c r="P62" s="1">
        <f t="shared" si="18"/>
        <v>0.62350199733688416</v>
      </c>
      <c r="Q62" s="1">
        <f t="shared" si="18"/>
        <v>0.61917443408788286</v>
      </c>
      <c r="R62" s="1">
        <f t="shared" si="18"/>
        <v>0.62167110519307589</v>
      </c>
      <c r="S62" s="1">
        <f t="shared" si="18"/>
        <v>0.61318242343541951</v>
      </c>
      <c r="T62" s="1">
        <f t="shared" si="18"/>
        <v>0.61734354194407459</v>
      </c>
      <c r="U62" s="1">
        <f t="shared" si="18"/>
        <v>0.6143475366178428</v>
      </c>
      <c r="V62" s="1">
        <f t="shared" si="18"/>
        <v>0.6196737683089214</v>
      </c>
      <c r="W62" s="1">
        <f t="shared" si="18"/>
        <v>0.62633155792276973</v>
      </c>
      <c r="X62" s="1">
        <f t="shared" si="18"/>
        <v>0</v>
      </c>
      <c r="Y62" s="1">
        <f t="shared" si="18"/>
        <v>0</v>
      </c>
      <c r="Z62" s="1">
        <f t="shared" si="18"/>
        <v>0</v>
      </c>
      <c r="AA62" s="1">
        <f t="shared" si="18"/>
        <v>0</v>
      </c>
      <c r="AB62" s="1">
        <f t="shared" si="18"/>
        <v>0</v>
      </c>
      <c r="AC62" s="1">
        <f t="shared" si="18"/>
        <v>0</v>
      </c>
      <c r="AD62" s="1">
        <f t="shared" si="18"/>
        <v>0</v>
      </c>
      <c r="AE62" s="1"/>
      <c r="AF62" s="1"/>
    </row>
    <row r="63" spans="1:32" x14ac:dyDescent="0.2">
      <c r="A63" s="1" t="s">
        <v>19</v>
      </c>
      <c r="B63" s="1">
        <f>B45</f>
        <v>3.5043804755944931E-3</v>
      </c>
      <c r="C63" s="1">
        <f t="shared" ref="C63:AD63" si="19">C45</f>
        <v>7.5093867334167705E-4</v>
      </c>
      <c r="D63" s="1">
        <f t="shared" si="19"/>
        <v>2.753441802252816E-3</v>
      </c>
      <c r="E63" s="1">
        <f t="shared" si="19"/>
        <v>8.7609511889862328E-4</v>
      </c>
      <c r="F63" s="1">
        <f t="shared" si="19"/>
        <v>3.8798498122653313E-3</v>
      </c>
      <c r="G63" s="1">
        <f t="shared" si="19"/>
        <v>1.6270337922403002E-3</v>
      </c>
      <c r="H63" s="1">
        <f t="shared" si="19"/>
        <v>1.376720901126408E-3</v>
      </c>
      <c r="I63" s="1">
        <f t="shared" si="19"/>
        <v>7.5093867334167705E-4</v>
      </c>
      <c r="J63" s="1">
        <f t="shared" si="19"/>
        <v>1.0012515644555694E-3</v>
      </c>
      <c r="K63" s="1">
        <f t="shared" si="19"/>
        <v>1.376720901126408E-3</v>
      </c>
      <c r="L63" s="1">
        <f t="shared" si="19"/>
        <v>7.5093867334167705E-4</v>
      </c>
      <c r="M63" s="1">
        <f t="shared" si="19"/>
        <v>7.5093867334167705E-4</v>
      </c>
      <c r="N63" s="1">
        <f t="shared" si="19"/>
        <v>6.8836045056320403E-3</v>
      </c>
      <c r="O63" s="1">
        <f t="shared" si="19"/>
        <v>1.0012515644555694E-3</v>
      </c>
      <c r="P63" s="1">
        <f t="shared" si="19"/>
        <v>1.376720901126408E-3</v>
      </c>
      <c r="Q63" s="1">
        <f t="shared" si="19"/>
        <v>7.5093867334167705E-4</v>
      </c>
      <c r="R63" s="1">
        <f t="shared" si="19"/>
        <v>7.5093867334167705E-4</v>
      </c>
      <c r="S63" s="1">
        <f t="shared" si="19"/>
        <v>6.8836045056320403E-3</v>
      </c>
      <c r="T63" s="1">
        <f t="shared" si="19"/>
        <v>2.5031289111389237E-3</v>
      </c>
      <c r="U63" s="1">
        <f t="shared" si="19"/>
        <v>1.1264080100125155E-3</v>
      </c>
      <c r="V63" s="1">
        <f t="shared" si="19"/>
        <v>6.8836045056320403E-3</v>
      </c>
      <c r="W63" s="1">
        <f t="shared" si="19"/>
        <v>6.2578222778473093E-4</v>
      </c>
      <c r="X63" s="1">
        <f t="shared" si="19"/>
        <v>0</v>
      </c>
      <c r="Y63" s="1">
        <f t="shared" si="19"/>
        <v>0</v>
      </c>
      <c r="Z63" s="1">
        <f t="shared" si="19"/>
        <v>0</v>
      </c>
      <c r="AA63" s="1">
        <f t="shared" si="19"/>
        <v>0</v>
      </c>
      <c r="AB63" s="1">
        <f t="shared" si="19"/>
        <v>0</v>
      </c>
      <c r="AC63" s="1">
        <f t="shared" si="19"/>
        <v>0</v>
      </c>
      <c r="AD63" s="1">
        <f t="shared" si="19"/>
        <v>0</v>
      </c>
      <c r="AE63" s="1"/>
      <c r="AF63" s="1"/>
    </row>
    <row r="64" spans="1:32" x14ac:dyDescent="0.2">
      <c r="A64" s="1" t="s">
        <v>20</v>
      </c>
      <c r="B64" s="1">
        <f>B46</f>
        <v>0</v>
      </c>
      <c r="C64" s="1">
        <f t="shared" ref="C64:AD64" si="20">C46</f>
        <v>1.315869118394008E-4</v>
      </c>
      <c r="D64" s="1">
        <f t="shared" si="20"/>
        <v>1.315869118394008E-4</v>
      </c>
      <c r="E64" s="1">
        <f t="shared" si="20"/>
        <v>0</v>
      </c>
      <c r="F64" s="1">
        <f t="shared" si="20"/>
        <v>0</v>
      </c>
      <c r="G64" s="1">
        <f t="shared" si="20"/>
        <v>1.315869118394008E-4</v>
      </c>
      <c r="H64" s="1">
        <f t="shared" si="20"/>
        <v>0</v>
      </c>
      <c r="I64" s="1">
        <f t="shared" si="20"/>
        <v>0</v>
      </c>
      <c r="J64" s="1">
        <f t="shared" si="20"/>
        <v>2.6317382367880161E-4</v>
      </c>
      <c r="K64" s="1">
        <f t="shared" si="20"/>
        <v>2.6317382367880161E-4</v>
      </c>
      <c r="L64" s="1">
        <f t="shared" si="20"/>
        <v>0</v>
      </c>
      <c r="M64" s="1">
        <f t="shared" si="20"/>
        <v>0</v>
      </c>
      <c r="N64" s="1">
        <f t="shared" si="20"/>
        <v>1.315869118394008E-4</v>
      </c>
      <c r="O64" s="1">
        <f t="shared" si="20"/>
        <v>2.6317382367880161E-4</v>
      </c>
      <c r="P64" s="1">
        <f t="shared" si="20"/>
        <v>2.6317382367880161E-4</v>
      </c>
      <c r="Q64" s="1">
        <f t="shared" si="20"/>
        <v>0</v>
      </c>
      <c r="R64" s="1">
        <f t="shared" si="20"/>
        <v>0</v>
      </c>
      <c r="S64" s="1">
        <f t="shared" si="20"/>
        <v>1.315869118394008E-4</v>
      </c>
      <c r="T64" s="1">
        <f t="shared" si="20"/>
        <v>0</v>
      </c>
      <c r="U64" s="1">
        <f t="shared" si="20"/>
        <v>3.9476073551820241E-4</v>
      </c>
      <c r="V64" s="1">
        <f t="shared" si="20"/>
        <v>0</v>
      </c>
      <c r="W64" s="1">
        <f t="shared" si="20"/>
        <v>3.9476073551820241E-4</v>
      </c>
      <c r="X64" s="1">
        <f t="shared" si="20"/>
        <v>0</v>
      </c>
      <c r="Y64" s="1">
        <f t="shared" si="20"/>
        <v>0</v>
      </c>
      <c r="Z64" s="1">
        <f t="shared" si="20"/>
        <v>0</v>
      </c>
      <c r="AA64" s="1">
        <f t="shared" si="20"/>
        <v>0</v>
      </c>
      <c r="AB64" s="1">
        <f t="shared" si="20"/>
        <v>0</v>
      </c>
      <c r="AC64" s="1">
        <f t="shared" si="20"/>
        <v>0</v>
      </c>
      <c r="AD64" s="1">
        <f t="shared" si="20"/>
        <v>0</v>
      </c>
      <c r="AE64" s="1"/>
      <c r="AF64" s="1"/>
    </row>
    <row r="65" spans="1:32" x14ac:dyDescent="0.2">
      <c r="A65" s="1" t="s">
        <v>21</v>
      </c>
      <c r="B65" s="1">
        <f>B47</f>
        <v>0.39611536197763392</v>
      </c>
      <c r="C65" s="1">
        <f t="shared" ref="C65:AD65" si="21">C47</f>
        <v>0.41436138905238379</v>
      </c>
      <c r="D65" s="1">
        <f t="shared" si="21"/>
        <v>0.39591916813812045</v>
      </c>
      <c r="E65" s="1">
        <f t="shared" si="21"/>
        <v>0.4116146752991956</v>
      </c>
      <c r="F65" s="1">
        <f t="shared" si="21"/>
        <v>0.39238767902687854</v>
      </c>
      <c r="G65" s="1">
        <f t="shared" si="21"/>
        <v>0.4139690013733569</v>
      </c>
      <c r="H65" s="1">
        <f t="shared" si="21"/>
        <v>0.40258975868157743</v>
      </c>
      <c r="I65" s="1">
        <f t="shared" si="21"/>
        <v>0.40062782028644306</v>
      </c>
      <c r="J65" s="1">
        <f t="shared" si="21"/>
        <v>0.40808318618795369</v>
      </c>
      <c r="K65" s="1">
        <f t="shared" si="21"/>
        <v>0.40847557386698058</v>
      </c>
      <c r="L65" s="1">
        <f t="shared" si="21"/>
        <v>0.40239356484206401</v>
      </c>
      <c r="M65" s="1">
        <f t="shared" si="21"/>
        <v>0.40867176770649399</v>
      </c>
      <c r="N65" s="1">
        <f t="shared" si="21"/>
        <v>0.38159701785363936</v>
      </c>
      <c r="O65" s="1">
        <f t="shared" si="21"/>
        <v>0.40808318618795369</v>
      </c>
      <c r="P65" s="1">
        <f t="shared" si="21"/>
        <v>0.40847557386698058</v>
      </c>
      <c r="Q65" s="1">
        <f t="shared" si="21"/>
        <v>0.40239356484206401</v>
      </c>
      <c r="R65" s="1">
        <f t="shared" si="21"/>
        <v>0.40867176770649399</v>
      </c>
      <c r="S65" s="1">
        <f t="shared" si="21"/>
        <v>0.38159701785363936</v>
      </c>
      <c r="T65" s="1">
        <f t="shared" si="21"/>
        <v>0.39278006670590543</v>
      </c>
      <c r="U65" s="1">
        <f t="shared" si="21"/>
        <v>0.39631155581714733</v>
      </c>
      <c r="V65" s="1">
        <f t="shared" si="21"/>
        <v>0.39278006670590543</v>
      </c>
      <c r="W65" s="1">
        <f t="shared" si="21"/>
        <v>0.40494408475573868</v>
      </c>
      <c r="X65" s="1">
        <f t="shared" si="21"/>
        <v>0</v>
      </c>
      <c r="Y65" s="1">
        <f t="shared" si="21"/>
        <v>0</v>
      </c>
      <c r="Z65" s="1">
        <f t="shared" si="21"/>
        <v>0</v>
      </c>
      <c r="AA65" s="1">
        <f t="shared" si="21"/>
        <v>0</v>
      </c>
      <c r="AB65" s="1">
        <f t="shared" si="21"/>
        <v>0</v>
      </c>
      <c r="AC65" s="1">
        <f t="shared" si="21"/>
        <v>0</v>
      </c>
      <c r="AD65" s="1">
        <f t="shared" si="21"/>
        <v>0</v>
      </c>
      <c r="AE65" s="1"/>
      <c r="AF65" s="1"/>
    </row>
    <row r="66" spans="1:32" x14ac:dyDescent="0.2">
      <c r="A66" s="1" t="s">
        <v>31</v>
      </c>
      <c r="B66" s="1">
        <f>B48*$G4</f>
        <v>0</v>
      </c>
      <c r="C66" s="1">
        <f t="shared" ref="C66:AD66" si="22">C48*$G4</f>
        <v>0</v>
      </c>
      <c r="D66" s="1">
        <f t="shared" si="22"/>
        <v>0</v>
      </c>
      <c r="E66" s="1">
        <f t="shared" si="22"/>
        <v>0</v>
      </c>
      <c r="F66" s="1">
        <f t="shared" si="22"/>
        <v>0</v>
      </c>
      <c r="G66" s="1">
        <f t="shared" si="22"/>
        <v>0</v>
      </c>
      <c r="H66" s="1">
        <f t="shared" si="22"/>
        <v>0</v>
      </c>
      <c r="I66" s="1">
        <f t="shared" si="22"/>
        <v>0</v>
      </c>
      <c r="J66" s="1">
        <f t="shared" si="22"/>
        <v>0</v>
      </c>
      <c r="K66" s="1">
        <f t="shared" si="22"/>
        <v>0</v>
      </c>
      <c r="L66" s="1">
        <f t="shared" si="22"/>
        <v>0</v>
      </c>
      <c r="M66" s="1">
        <f t="shared" si="22"/>
        <v>0</v>
      </c>
      <c r="N66" s="1">
        <f t="shared" si="22"/>
        <v>0</v>
      </c>
      <c r="O66" s="1">
        <f t="shared" si="22"/>
        <v>0</v>
      </c>
      <c r="P66" s="1">
        <f t="shared" si="22"/>
        <v>0</v>
      </c>
      <c r="Q66" s="1">
        <f t="shared" si="22"/>
        <v>0</v>
      </c>
      <c r="R66" s="1">
        <f t="shared" si="22"/>
        <v>0</v>
      </c>
      <c r="S66" s="1">
        <f t="shared" si="22"/>
        <v>0</v>
      </c>
      <c r="T66" s="1">
        <f t="shared" si="22"/>
        <v>0</v>
      </c>
      <c r="U66" s="1">
        <f t="shared" si="22"/>
        <v>0</v>
      </c>
      <c r="V66" s="1">
        <f t="shared" si="22"/>
        <v>0</v>
      </c>
      <c r="W66" s="1">
        <f t="shared" si="22"/>
        <v>0</v>
      </c>
      <c r="X66" s="1">
        <f t="shared" si="22"/>
        <v>0</v>
      </c>
      <c r="Y66" s="1">
        <f t="shared" si="22"/>
        <v>0</v>
      </c>
      <c r="Z66" s="1">
        <f t="shared" si="22"/>
        <v>0</v>
      </c>
      <c r="AA66" s="1">
        <f t="shared" si="22"/>
        <v>0</v>
      </c>
      <c r="AB66" s="1">
        <f t="shared" si="22"/>
        <v>0</v>
      </c>
      <c r="AC66" s="1">
        <f t="shared" si="22"/>
        <v>0</v>
      </c>
      <c r="AD66" s="1">
        <f t="shared" si="22"/>
        <v>0</v>
      </c>
      <c r="AE66" s="1"/>
      <c r="AF66" s="1"/>
    </row>
    <row r="67" spans="1:32" x14ac:dyDescent="0.2">
      <c r="A67" s="1" t="s">
        <v>30</v>
      </c>
      <c r="B67" s="1">
        <f>B48*(1-$G4)</f>
        <v>0.28336812804453726</v>
      </c>
      <c r="C67" s="1">
        <f t="shared" ref="C67:AD67" si="23">C48*(1-$G4)</f>
        <v>0.32372999304105782</v>
      </c>
      <c r="D67" s="1">
        <f t="shared" si="23"/>
        <v>0.27362560890744608</v>
      </c>
      <c r="E67" s="1">
        <f t="shared" si="23"/>
        <v>0.28336812804453726</v>
      </c>
      <c r="F67" s="1">
        <f t="shared" si="23"/>
        <v>0.1235908141962422</v>
      </c>
      <c r="G67" s="1">
        <f t="shared" si="23"/>
        <v>0.28475991649269317</v>
      </c>
      <c r="H67" s="1">
        <f t="shared" si="23"/>
        <v>0.27348643006263046</v>
      </c>
      <c r="I67" s="1">
        <f t="shared" si="23"/>
        <v>0.25386221294363259</v>
      </c>
      <c r="J67" s="1">
        <f t="shared" si="23"/>
        <v>0.2559498956158664</v>
      </c>
      <c r="K67" s="1">
        <f t="shared" si="23"/>
        <v>0.30173973556019484</v>
      </c>
      <c r="L67" s="1">
        <f t="shared" si="23"/>
        <v>0.24425887265135701</v>
      </c>
      <c r="M67" s="1">
        <f t="shared" si="23"/>
        <v>0.29881697981906752</v>
      </c>
      <c r="N67" s="1">
        <f t="shared" si="23"/>
        <v>0.26666666666666666</v>
      </c>
      <c r="O67" s="1">
        <f t="shared" si="23"/>
        <v>0.2559498956158664</v>
      </c>
      <c r="P67" s="1">
        <f t="shared" si="23"/>
        <v>0.30173973556019484</v>
      </c>
      <c r="Q67" s="1">
        <f t="shared" si="23"/>
        <v>0.24425887265135701</v>
      </c>
      <c r="R67" s="1">
        <f t="shared" si="23"/>
        <v>0.29881697981906752</v>
      </c>
      <c r="S67" s="1">
        <f t="shared" si="23"/>
        <v>0.26666666666666666</v>
      </c>
      <c r="T67" s="1">
        <f t="shared" si="23"/>
        <v>0.2918580375782881</v>
      </c>
      <c r="U67" s="1">
        <f t="shared" si="23"/>
        <v>0.24578983994432849</v>
      </c>
      <c r="V67" s="1">
        <f t="shared" si="23"/>
        <v>0.30271398747390399</v>
      </c>
      <c r="W67" s="1">
        <f t="shared" si="23"/>
        <v>0.29756437021572724</v>
      </c>
      <c r="X67" s="1">
        <f t="shared" si="23"/>
        <v>0</v>
      </c>
      <c r="Y67" s="1">
        <f t="shared" si="23"/>
        <v>0</v>
      </c>
      <c r="Z67" s="1">
        <f t="shared" si="23"/>
        <v>0</v>
      </c>
      <c r="AA67" s="1">
        <f t="shared" si="23"/>
        <v>0</v>
      </c>
      <c r="AB67" s="1">
        <f t="shared" si="23"/>
        <v>0</v>
      </c>
      <c r="AC67" s="1">
        <f t="shared" si="23"/>
        <v>0</v>
      </c>
      <c r="AD67" s="1">
        <f t="shared" si="23"/>
        <v>0</v>
      </c>
      <c r="AE67" s="1"/>
      <c r="AF67" s="1"/>
    </row>
    <row r="68" spans="1:32" x14ac:dyDescent="0.2">
      <c r="A68" s="1" t="s">
        <v>23</v>
      </c>
      <c r="B68" s="1">
        <f t="shared" ref="B68:B74" si="24">B49</f>
        <v>0.23894441546724557</v>
      </c>
      <c r="C68" s="1">
        <f t="shared" ref="C68:AD68" si="25">C49</f>
        <v>0.17719948686862991</v>
      </c>
      <c r="D68" s="1">
        <f t="shared" si="25"/>
        <v>0.26164061068271843</v>
      </c>
      <c r="E68" s="1">
        <f t="shared" si="25"/>
        <v>0.23457434061209242</v>
      </c>
      <c r="F68" s="1">
        <f t="shared" si="25"/>
        <v>0.42502502220279964</v>
      </c>
      <c r="G68" s="1">
        <f t="shared" si="25"/>
        <v>0.21159620508338386</v>
      </c>
      <c r="H68" s="1">
        <f t="shared" si="25"/>
        <v>0.26883008867022851</v>
      </c>
      <c r="I68" s="1">
        <f t="shared" si="25"/>
        <v>0.28222225354892372</v>
      </c>
      <c r="J68" s="1">
        <f t="shared" si="25"/>
        <v>0.28306807448863075</v>
      </c>
      <c r="K68" s="1">
        <f t="shared" si="25"/>
        <v>0.19143747268703215</v>
      </c>
      <c r="L68" s="1">
        <f t="shared" si="25"/>
        <v>0.29871576187321147</v>
      </c>
      <c r="M68" s="1">
        <f t="shared" si="25"/>
        <v>0.19327008472306414</v>
      </c>
      <c r="N68" s="1">
        <f t="shared" si="25"/>
        <v>0.28673329856069468</v>
      </c>
      <c r="O68" s="1">
        <f t="shared" si="25"/>
        <v>0.28306807448863075</v>
      </c>
      <c r="P68" s="1">
        <f t="shared" si="25"/>
        <v>0.19143747268703215</v>
      </c>
      <c r="Q68" s="1">
        <f t="shared" si="25"/>
        <v>0.29871576187321147</v>
      </c>
      <c r="R68" s="1">
        <f t="shared" si="25"/>
        <v>0.19327008472306414</v>
      </c>
      <c r="S68" s="1">
        <f t="shared" si="25"/>
        <v>0.28673329856069468</v>
      </c>
      <c r="T68" s="1">
        <f t="shared" si="25"/>
        <v>0.23147299716649988</v>
      </c>
      <c r="U68" s="1">
        <f t="shared" si="25"/>
        <v>0.28151740276583448</v>
      </c>
      <c r="V68" s="1">
        <f t="shared" si="25"/>
        <v>0.21328784696279798</v>
      </c>
      <c r="W68" s="1">
        <f t="shared" si="25"/>
        <v>0.21131426477014817</v>
      </c>
      <c r="X68" s="1">
        <f t="shared" si="25"/>
        <v>0</v>
      </c>
      <c r="Y68" s="1">
        <f t="shared" si="25"/>
        <v>0</v>
      </c>
      <c r="Z68" s="1">
        <f t="shared" si="25"/>
        <v>0</v>
      </c>
      <c r="AA68" s="1">
        <f t="shared" si="25"/>
        <v>0</v>
      </c>
      <c r="AB68" s="1">
        <f t="shared" si="25"/>
        <v>0</v>
      </c>
      <c r="AC68" s="1">
        <f t="shared" si="25"/>
        <v>0</v>
      </c>
      <c r="AD68" s="1">
        <f t="shared" si="25"/>
        <v>0</v>
      </c>
      <c r="AE68" s="1"/>
      <c r="AF68" s="1"/>
    </row>
    <row r="69" spans="1:32" x14ac:dyDescent="0.2">
      <c r="A69" s="1" t="s">
        <v>24</v>
      </c>
      <c r="B69" s="1">
        <f t="shared" si="24"/>
        <v>0</v>
      </c>
      <c r="C69" s="1">
        <f t="shared" ref="C69:AD69" si="26">C50</f>
        <v>0</v>
      </c>
      <c r="D69" s="1">
        <f t="shared" si="26"/>
        <v>0</v>
      </c>
      <c r="E69" s="1">
        <f t="shared" si="26"/>
        <v>0</v>
      </c>
      <c r="F69" s="1">
        <f t="shared" si="26"/>
        <v>0</v>
      </c>
      <c r="G69" s="1">
        <f t="shared" si="26"/>
        <v>0</v>
      </c>
      <c r="H69" s="1">
        <f t="shared" si="26"/>
        <v>0</v>
      </c>
      <c r="I69" s="1">
        <f t="shared" si="26"/>
        <v>0</v>
      </c>
      <c r="J69" s="1">
        <f t="shared" si="26"/>
        <v>0</v>
      </c>
      <c r="K69" s="1">
        <f t="shared" si="26"/>
        <v>0</v>
      </c>
      <c r="L69" s="1">
        <f t="shared" si="26"/>
        <v>0</v>
      </c>
      <c r="M69" s="1">
        <f t="shared" si="26"/>
        <v>0</v>
      </c>
      <c r="N69" s="1">
        <f t="shared" si="26"/>
        <v>0</v>
      </c>
      <c r="O69" s="1">
        <f t="shared" si="26"/>
        <v>0</v>
      </c>
      <c r="P69" s="1">
        <f t="shared" si="26"/>
        <v>0</v>
      </c>
      <c r="Q69" s="1">
        <f t="shared" si="26"/>
        <v>0</v>
      </c>
      <c r="R69" s="1">
        <f t="shared" si="26"/>
        <v>0</v>
      </c>
      <c r="S69" s="1">
        <f t="shared" si="26"/>
        <v>0</v>
      </c>
      <c r="T69" s="1">
        <f t="shared" si="26"/>
        <v>0</v>
      </c>
      <c r="U69" s="1">
        <f t="shared" si="26"/>
        <v>0</v>
      </c>
      <c r="V69" s="1">
        <f t="shared" si="26"/>
        <v>0</v>
      </c>
      <c r="W69" s="1">
        <f t="shared" si="26"/>
        <v>0</v>
      </c>
      <c r="X69" s="1">
        <f t="shared" si="26"/>
        <v>0</v>
      </c>
      <c r="Y69" s="1">
        <f t="shared" si="26"/>
        <v>0</v>
      </c>
      <c r="Z69" s="1">
        <f t="shared" si="26"/>
        <v>0</v>
      </c>
      <c r="AA69" s="1">
        <f t="shared" si="26"/>
        <v>0</v>
      </c>
      <c r="AB69" s="1">
        <f t="shared" si="26"/>
        <v>0</v>
      </c>
      <c r="AC69" s="1">
        <f t="shared" si="26"/>
        <v>0</v>
      </c>
      <c r="AD69" s="1">
        <f t="shared" si="26"/>
        <v>0</v>
      </c>
      <c r="AE69" s="1"/>
      <c r="AF69" s="1"/>
    </row>
    <row r="70" spans="1:32" x14ac:dyDescent="0.2">
      <c r="A70" s="1" t="s">
        <v>25</v>
      </c>
      <c r="B70" s="1">
        <f t="shared" si="24"/>
        <v>9.2284792855370876E-2</v>
      </c>
      <c r="C70" s="1">
        <f t="shared" ref="C70:AD70" si="27">C51</f>
        <v>0.11138675266683205</v>
      </c>
      <c r="D70" s="1">
        <f t="shared" si="27"/>
        <v>8.3354006450012397E-2</v>
      </c>
      <c r="E70" s="1">
        <f t="shared" si="27"/>
        <v>9.8982882659389732E-2</v>
      </c>
      <c r="F70" s="1">
        <f t="shared" si="27"/>
        <v>6.7725130240635076E-2</v>
      </c>
      <c r="G70" s="1">
        <f t="shared" si="27"/>
        <v>9.9975192259985121E-2</v>
      </c>
      <c r="H70" s="1">
        <f t="shared" si="27"/>
        <v>7.8144381046886618E-2</v>
      </c>
      <c r="I70" s="1">
        <f t="shared" si="27"/>
        <v>8.2609774249565865E-2</v>
      </c>
      <c r="J70" s="1">
        <f t="shared" si="27"/>
        <v>7.9136690647482008E-2</v>
      </c>
      <c r="K70" s="1">
        <f t="shared" si="27"/>
        <v>0.10493674026296206</v>
      </c>
      <c r="L70" s="1">
        <f t="shared" si="27"/>
        <v>7.6407839245844697E-2</v>
      </c>
      <c r="M70" s="1">
        <f t="shared" si="27"/>
        <v>0.10568097246340857</v>
      </c>
      <c r="N70" s="1">
        <f t="shared" si="27"/>
        <v>7.9136690647482008E-2</v>
      </c>
      <c r="O70" s="1">
        <f t="shared" si="27"/>
        <v>7.9136690647482008E-2</v>
      </c>
      <c r="P70" s="1">
        <f t="shared" si="27"/>
        <v>0.10493674026296206</v>
      </c>
      <c r="Q70" s="1">
        <f t="shared" si="27"/>
        <v>7.6407839245844697E-2</v>
      </c>
      <c r="R70" s="1">
        <f t="shared" si="27"/>
        <v>0.10568097246340857</v>
      </c>
      <c r="S70" s="1">
        <f t="shared" si="27"/>
        <v>7.9136690647482008E-2</v>
      </c>
      <c r="T70" s="1">
        <f t="shared" si="27"/>
        <v>9.8982882659389732E-2</v>
      </c>
      <c r="U70" s="1">
        <f t="shared" si="27"/>
        <v>8.8563631853138175E-2</v>
      </c>
      <c r="V70" s="1">
        <f t="shared" si="27"/>
        <v>9.9727114859836249E-2</v>
      </c>
      <c r="W70" s="1">
        <f t="shared" si="27"/>
        <v>0.10642520466385512</v>
      </c>
      <c r="X70" s="1">
        <f t="shared" si="27"/>
        <v>0</v>
      </c>
      <c r="Y70" s="1">
        <f t="shared" si="27"/>
        <v>0</v>
      </c>
      <c r="Z70" s="1">
        <f t="shared" si="27"/>
        <v>0</v>
      </c>
      <c r="AA70" s="1">
        <f t="shared" si="27"/>
        <v>0</v>
      </c>
      <c r="AB70" s="1">
        <f t="shared" si="27"/>
        <v>0</v>
      </c>
      <c r="AC70" s="1">
        <f t="shared" si="27"/>
        <v>0</v>
      </c>
      <c r="AD70" s="1">
        <f t="shared" si="27"/>
        <v>0</v>
      </c>
      <c r="AE70" s="1"/>
      <c r="AF70" s="1"/>
    </row>
    <row r="71" spans="1:32" x14ac:dyDescent="0.2">
      <c r="A71" s="1" t="s">
        <v>26</v>
      </c>
      <c r="B71" s="1">
        <f t="shared" si="24"/>
        <v>2.442938659058488E-2</v>
      </c>
      <c r="C71" s="1">
        <f t="shared" ref="C71:AD71" si="28">C52</f>
        <v>3.263195435092725E-2</v>
      </c>
      <c r="D71" s="1">
        <f t="shared" si="28"/>
        <v>2.1576319543509272E-2</v>
      </c>
      <c r="E71" s="1">
        <f t="shared" si="28"/>
        <v>1.9971469329529246E-2</v>
      </c>
      <c r="F71" s="1">
        <f t="shared" si="28"/>
        <v>2.086305278174037E-2</v>
      </c>
      <c r="G71" s="1">
        <f t="shared" si="28"/>
        <v>4.0477888730385166E-2</v>
      </c>
      <c r="H71" s="1">
        <f t="shared" si="28"/>
        <v>2.3181169757489302E-2</v>
      </c>
      <c r="I71" s="1">
        <f t="shared" si="28"/>
        <v>1.8188302425106991E-2</v>
      </c>
      <c r="J71" s="1">
        <f t="shared" si="28"/>
        <v>2.0328102710413694E-2</v>
      </c>
      <c r="K71" s="1">
        <f t="shared" si="28"/>
        <v>4.0477888730385166E-2</v>
      </c>
      <c r="L71" s="1">
        <f t="shared" si="28"/>
        <v>2.0149786019971468E-2</v>
      </c>
      <c r="M71" s="1">
        <f t="shared" si="28"/>
        <v>3.3523537803138374E-2</v>
      </c>
      <c r="N71" s="1">
        <f t="shared" si="28"/>
        <v>1.8009985734664766E-2</v>
      </c>
      <c r="O71" s="1">
        <f t="shared" si="28"/>
        <v>2.0328102710413694E-2</v>
      </c>
      <c r="P71" s="1">
        <f t="shared" si="28"/>
        <v>4.0477888730385166E-2</v>
      </c>
      <c r="Q71" s="1">
        <f t="shared" si="28"/>
        <v>2.0149786019971468E-2</v>
      </c>
      <c r="R71" s="1">
        <f t="shared" si="28"/>
        <v>3.3523537803138374E-2</v>
      </c>
      <c r="S71" s="1">
        <f t="shared" si="28"/>
        <v>1.8009985734664766E-2</v>
      </c>
      <c r="T71" s="1">
        <f t="shared" si="28"/>
        <v>2.2646219686162625E-2</v>
      </c>
      <c r="U71" s="1">
        <f t="shared" si="28"/>
        <v>2.2289586305278174E-2</v>
      </c>
      <c r="V71" s="1">
        <f t="shared" si="28"/>
        <v>2.7460770328102711E-2</v>
      </c>
      <c r="W71" s="1">
        <f t="shared" si="28"/>
        <v>2.2289586305278174E-2</v>
      </c>
      <c r="X71" s="1">
        <f t="shared" si="28"/>
        <v>0</v>
      </c>
      <c r="Y71" s="1">
        <f t="shared" si="28"/>
        <v>0</v>
      </c>
      <c r="Z71" s="1">
        <f t="shared" si="28"/>
        <v>0</v>
      </c>
      <c r="AA71" s="1">
        <f t="shared" si="28"/>
        <v>0</v>
      </c>
      <c r="AB71" s="1">
        <f t="shared" si="28"/>
        <v>0</v>
      </c>
      <c r="AC71" s="1">
        <f t="shared" si="28"/>
        <v>0</v>
      </c>
      <c r="AD71" s="1">
        <f t="shared" si="28"/>
        <v>0</v>
      </c>
      <c r="AE71" s="1"/>
      <c r="AF71" s="1"/>
    </row>
    <row r="72" spans="1:32" x14ac:dyDescent="0.2">
      <c r="A72" s="1" t="s">
        <v>27</v>
      </c>
      <c r="B72" s="1">
        <f t="shared" si="24"/>
        <v>1.2906972992159013E-3</v>
      </c>
      <c r="C72" s="1">
        <f t="shared" ref="C72:AD72" si="29">C53</f>
        <v>0</v>
      </c>
      <c r="D72" s="1">
        <f t="shared" si="29"/>
        <v>1.2906972992159013E-3</v>
      </c>
      <c r="E72" s="1">
        <f t="shared" si="29"/>
        <v>1.2906972992159013E-3</v>
      </c>
      <c r="F72" s="1">
        <f t="shared" si="29"/>
        <v>0</v>
      </c>
      <c r="G72" s="1">
        <f t="shared" si="29"/>
        <v>9.6802297441192606E-4</v>
      </c>
      <c r="H72" s="1">
        <f t="shared" si="29"/>
        <v>0</v>
      </c>
      <c r="I72" s="1">
        <f t="shared" si="29"/>
        <v>1.6133716240198769E-3</v>
      </c>
      <c r="J72" s="1">
        <f t="shared" si="29"/>
        <v>9.6802297441192606E-4</v>
      </c>
      <c r="K72" s="1">
        <f t="shared" si="29"/>
        <v>1.2906972992159013E-3</v>
      </c>
      <c r="L72" s="1">
        <f t="shared" si="29"/>
        <v>9.6802297441192606E-4</v>
      </c>
      <c r="M72" s="1">
        <f t="shared" si="29"/>
        <v>6.4534864960795067E-4</v>
      </c>
      <c r="N72" s="1">
        <f t="shared" si="29"/>
        <v>9.6802297441192606E-4</v>
      </c>
      <c r="O72" s="1">
        <f t="shared" si="29"/>
        <v>9.6802297441192606E-4</v>
      </c>
      <c r="P72" s="1">
        <f t="shared" si="29"/>
        <v>1.2906972992159013E-3</v>
      </c>
      <c r="Q72" s="1">
        <f t="shared" si="29"/>
        <v>9.6802297441192606E-4</v>
      </c>
      <c r="R72" s="1">
        <f t="shared" si="29"/>
        <v>6.4534864960795067E-4</v>
      </c>
      <c r="S72" s="1">
        <f t="shared" si="29"/>
        <v>9.6802297441192606E-4</v>
      </c>
      <c r="T72" s="1">
        <f t="shared" si="29"/>
        <v>6.4534864960795067E-4</v>
      </c>
      <c r="U72" s="1">
        <f t="shared" si="29"/>
        <v>1.6133716240198769E-3</v>
      </c>
      <c r="V72" s="1">
        <f t="shared" si="29"/>
        <v>0</v>
      </c>
      <c r="W72" s="1">
        <f t="shared" si="29"/>
        <v>1.6133716240198769E-3</v>
      </c>
      <c r="X72" s="1">
        <f t="shared" si="29"/>
        <v>0</v>
      </c>
      <c r="Y72" s="1">
        <f t="shared" si="29"/>
        <v>0</v>
      </c>
      <c r="Z72" s="1">
        <f t="shared" si="29"/>
        <v>0</v>
      </c>
      <c r="AA72" s="1">
        <f t="shared" si="29"/>
        <v>0</v>
      </c>
      <c r="AB72" s="1">
        <f t="shared" si="29"/>
        <v>0</v>
      </c>
      <c r="AC72" s="1">
        <f t="shared" si="29"/>
        <v>0</v>
      </c>
      <c r="AD72" s="1">
        <f t="shared" si="29"/>
        <v>0</v>
      </c>
      <c r="AE72" s="1"/>
      <c r="AF72" s="1"/>
    </row>
    <row r="73" spans="1:32" x14ac:dyDescent="0.2">
      <c r="A73" s="1" t="s">
        <v>28</v>
      </c>
      <c r="B73" s="1">
        <f t="shared" si="24"/>
        <v>6.3694267515923564E-4</v>
      </c>
      <c r="C73" s="1">
        <f t="shared" ref="C73:AD73" si="30">C54</f>
        <v>0</v>
      </c>
      <c r="D73" s="1">
        <f t="shared" si="30"/>
        <v>0</v>
      </c>
      <c r="E73" s="1">
        <f t="shared" si="30"/>
        <v>0</v>
      </c>
      <c r="F73" s="1">
        <f t="shared" si="30"/>
        <v>0</v>
      </c>
      <c r="G73" s="1">
        <f t="shared" si="30"/>
        <v>0</v>
      </c>
      <c r="H73" s="1">
        <f t="shared" si="30"/>
        <v>2.1231422505307856E-4</v>
      </c>
      <c r="I73" s="1">
        <f t="shared" si="30"/>
        <v>2.1231422505307856E-4</v>
      </c>
      <c r="J73" s="1">
        <f t="shared" si="30"/>
        <v>0</v>
      </c>
      <c r="K73" s="1">
        <f t="shared" si="30"/>
        <v>0</v>
      </c>
      <c r="L73" s="1">
        <f t="shared" si="30"/>
        <v>2.1231422505307856E-4</v>
      </c>
      <c r="M73" s="1">
        <f t="shared" si="30"/>
        <v>0</v>
      </c>
      <c r="N73" s="1">
        <f t="shared" si="30"/>
        <v>0</v>
      </c>
      <c r="O73" s="1">
        <f t="shared" si="30"/>
        <v>0</v>
      </c>
      <c r="P73" s="1">
        <f t="shared" si="30"/>
        <v>0</v>
      </c>
      <c r="Q73" s="1">
        <f t="shared" si="30"/>
        <v>2.1231422505307856E-4</v>
      </c>
      <c r="R73" s="1">
        <f t="shared" si="30"/>
        <v>0</v>
      </c>
      <c r="S73" s="1">
        <f t="shared" si="30"/>
        <v>0</v>
      </c>
      <c r="T73" s="1">
        <f t="shared" si="30"/>
        <v>0</v>
      </c>
      <c r="U73" s="1">
        <f t="shared" si="30"/>
        <v>0</v>
      </c>
      <c r="V73" s="1">
        <f t="shared" si="30"/>
        <v>2.1231422505307856E-4</v>
      </c>
      <c r="W73" s="1">
        <f t="shared" si="30"/>
        <v>0</v>
      </c>
      <c r="X73" s="1">
        <f t="shared" si="30"/>
        <v>0</v>
      </c>
      <c r="Y73" s="1">
        <f t="shared" si="30"/>
        <v>0</v>
      </c>
      <c r="Z73" s="1">
        <f t="shared" si="30"/>
        <v>0</v>
      </c>
      <c r="AA73" s="1">
        <f t="shared" si="30"/>
        <v>0</v>
      </c>
      <c r="AB73" s="1">
        <f t="shared" si="30"/>
        <v>0</v>
      </c>
      <c r="AC73" s="1">
        <f t="shared" si="30"/>
        <v>0</v>
      </c>
      <c r="AD73" s="1">
        <f t="shared" si="30"/>
        <v>0</v>
      </c>
      <c r="AE73" s="1"/>
      <c r="AF73" s="1"/>
    </row>
    <row r="74" spans="1:32" x14ac:dyDescent="0.2">
      <c r="A74" s="1" t="str">
        <f>A55</f>
        <v>Add El</v>
      </c>
      <c r="B74" s="1">
        <f t="shared" si="24"/>
        <v>0</v>
      </c>
      <c r="C74" s="1">
        <f t="shared" ref="C74:AD74" si="31">C55</f>
        <v>0</v>
      </c>
      <c r="D74" s="1">
        <f t="shared" si="31"/>
        <v>0</v>
      </c>
      <c r="E74" s="1">
        <f t="shared" si="31"/>
        <v>0</v>
      </c>
      <c r="F74" s="1">
        <f t="shared" si="31"/>
        <v>0</v>
      </c>
      <c r="G74" s="1">
        <f t="shared" si="31"/>
        <v>0</v>
      </c>
      <c r="H74" s="1">
        <f t="shared" si="31"/>
        <v>0</v>
      </c>
      <c r="I74" s="1">
        <f t="shared" si="31"/>
        <v>0</v>
      </c>
      <c r="J74" s="1">
        <f t="shared" si="31"/>
        <v>0</v>
      </c>
      <c r="K74" s="1">
        <f t="shared" si="31"/>
        <v>0</v>
      </c>
      <c r="L74" s="1">
        <f t="shared" si="31"/>
        <v>0</v>
      </c>
      <c r="M74" s="1">
        <f t="shared" si="31"/>
        <v>0</v>
      </c>
      <c r="N74" s="1">
        <f t="shared" si="31"/>
        <v>0</v>
      </c>
      <c r="O74" s="1">
        <f t="shared" si="31"/>
        <v>0</v>
      </c>
      <c r="P74" s="1">
        <f t="shared" si="31"/>
        <v>0</v>
      </c>
      <c r="Q74" s="1">
        <f t="shared" si="31"/>
        <v>0</v>
      </c>
      <c r="R74" s="1">
        <f t="shared" si="31"/>
        <v>0</v>
      </c>
      <c r="S74" s="1">
        <f t="shared" si="31"/>
        <v>0</v>
      </c>
      <c r="T74" s="1">
        <f t="shared" si="31"/>
        <v>0</v>
      </c>
      <c r="U74" s="1">
        <f t="shared" si="31"/>
        <v>0</v>
      </c>
      <c r="V74" s="1">
        <f t="shared" si="31"/>
        <v>0</v>
      </c>
      <c r="W74" s="1">
        <f t="shared" si="31"/>
        <v>0</v>
      </c>
      <c r="X74" s="1">
        <f t="shared" si="31"/>
        <v>0</v>
      </c>
      <c r="Y74" s="1">
        <f t="shared" si="31"/>
        <v>0</v>
      </c>
      <c r="Z74" s="1">
        <f t="shared" si="31"/>
        <v>0</v>
      </c>
      <c r="AA74" s="1">
        <f t="shared" si="31"/>
        <v>0</v>
      </c>
      <c r="AB74" s="1">
        <f t="shared" si="31"/>
        <v>0</v>
      </c>
      <c r="AC74" s="1">
        <f t="shared" si="31"/>
        <v>0</v>
      </c>
      <c r="AD74" s="1">
        <f t="shared" si="31"/>
        <v>0</v>
      </c>
      <c r="AE74" s="1"/>
      <c r="AF74" s="1"/>
    </row>
    <row r="75" spans="1:32" x14ac:dyDescent="0.2">
      <c r="A75" s="4" t="s">
        <v>59</v>
      </c>
      <c r="B75" s="1">
        <f>B56*$G$3/B$59</f>
        <v>0</v>
      </c>
      <c r="C75" s="1">
        <f t="shared" ref="C75:AD75" si="32">C56*$G$3/C$59</f>
        <v>0</v>
      </c>
      <c r="D75" s="1">
        <f t="shared" si="32"/>
        <v>0</v>
      </c>
      <c r="E75" s="1">
        <f t="shared" si="32"/>
        <v>0</v>
      </c>
      <c r="F75" s="1">
        <f t="shared" si="32"/>
        <v>0</v>
      </c>
      <c r="G75" s="1">
        <f t="shared" si="32"/>
        <v>0</v>
      </c>
      <c r="H75" s="1">
        <f t="shared" si="32"/>
        <v>0</v>
      </c>
      <c r="I75" s="1">
        <f t="shared" si="32"/>
        <v>0</v>
      </c>
      <c r="J75" s="1">
        <f t="shared" si="32"/>
        <v>0</v>
      </c>
      <c r="K75" s="1">
        <f t="shared" si="32"/>
        <v>0</v>
      </c>
      <c r="L75" s="1">
        <f t="shared" si="32"/>
        <v>0</v>
      </c>
      <c r="M75" s="1">
        <f t="shared" si="32"/>
        <v>0</v>
      </c>
      <c r="N75" s="1">
        <f t="shared" si="32"/>
        <v>0</v>
      </c>
      <c r="O75" s="1">
        <f t="shared" si="32"/>
        <v>0</v>
      </c>
      <c r="P75" s="1">
        <f t="shared" si="32"/>
        <v>0</v>
      </c>
      <c r="Q75" s="1">
        <f t="shared" si="32"/>
        <v>0</v>
      </c>
      <c r="R75" s="1">
        <f t="shared" si="32"/>
        <v>0</v>
      </c>
      <c r="S75" s="1">
        <f t="shared" si="32"/>
        <v>0</v>
      </c>
      <c r="T75" s="1">
        <f t="shared" si="32"/>
        <v>0</v>
      </c>
      <c r="U75" s="1">
        <f t="shared" si="32"/>
        <v>0</v>
      </c>
      <c r="V75" s="1">
        <f t="shared" si="32"/>
        <v>0</v>
      </c>
      <c r="W75" s="1">
        <f t="shared" si="32"/>
        <v>0</v>
      </c>
      <c r="X75" s="1" t="e">
        <f t="shared" si="32"/>
        <v>#DIV/0!</v>
      </c>
      <c r="Y75" s="1" t="e">
        <f t="shared" si="32"/>
        <v>#DIV/0!</v>
      </c>
      <c r="Z75" s="1" t="e">
        <f t="shared" si="32"/>
        <v>#DIV/0!</v>
      </c>
      <c r="AA75" s="1" t="e">
        <f t="shared" si="32"/>
        <v>#DIV/0!</v>
      </c>
      <c r="AB75" s="1" t="e">
        <f t="shared" si="32"/>
        <v>#DIV/0!</v>
      </c>
      <c r="AC75" s="1" t="e">
        <f t="shared" si="32"/>
        <v>#DIV/0!</v>
      </c>
      <c r="AD75" s="1" t="e">
        <f t="shared" si="32"/>
        <v>#DIV/0!</v>
      </c>
      <c r="AE75" s="1"/>
      <c r="AF75" s="1"/>
    </row>
    <row r="76" spans="1:32" x14ac:dyDescent="0.2">
      <c r="A76" s="4" t="s">
        <v>57</v>
      </c>
      <c r="B76" s="1">
        <f>B57*$G$3/B$59</f>
        <v>0</v>
      </c>
      <c r="C76" s="1">
        <f t="shared" ref="C76:AD76" si="33">C57*$G$3/C$59</f>
        <v>0</v>
      </c>
      <c r="D76" s="1">
        <f t="shared" si="33"/>
        <v>0</v>
      </c>
      <c r="E76" s="1">
        <f t="shared" si="33"/>
        <v>0</v>
      </c>
      <c r="F76" s="1">
        <f t="shared" si="33"/>
        <v>0</v>
      </c>
      <c r="G76" s="1">
        <f t="shared" si="33"/>
        <v>0</v>
      </c>
      <c r="H76" s="1">
        <f t="shared" si="33"/>
        <v>0</v>
      </c>
      <c r="I76" s="1">
        <f t="shared" si="33"/>
        <v>0</v>
      </c>
      <c r="J76" s="1">
        <f t="shared" si="33"/>
        <v>0</v>
      </c>
      <c r="K76" s="1">
        <f t="shared" si="33"/>
        <v>0</v>
      </c>
      <c r="L76" s="1">
        <f t="shared" si="33"/>
        <v>0</v>
      </c>
      <c r="M76" s="1">
        <f t="shared" si="33"/>
        <v>0</v>
      </c>
      <c r="N76" s="1">
        <f t="shared" si="33"/>
        <v>0</v>
      </c>
      <c r="O76" s="1">
        <f t="shared" si="33"/>
        <v>0</v>
      </c>
      <c r="P76" s="1">
        <f t="shared" si="33"/>
        <v>0</v>
      </c>
      <c r="Q76" s="1">
        <f t="shared" si="33"/>
        <v>0</v>
      </c>
      <c r="R76" s="1">
        <f t="shared" si="33"/>
        <v>0</v>
      </c>
      <c r="S76" s="1">
        <f t="shared" si="33"/>
        <v>0</v>
      </c>
      <c r="T76" s="1">
        <f t="shared" si="33"/>
        <v>0</v>
      </c>
      <c r="U76" s="1">
        <f t="shared" si="33"/>
        <v>0</v>
      </c>
      <c r="V76" s="1">
        <f t="shared" si="33"/>
        <v>0</v>
      </c>
      <c r="W76" s="1">
        <f t="shared" si="33"/>
        <v>0</v>
      </c>
      <c r="X76" s="1" t="e">
        <f t="shared" si="33"/>
        <v>#DIV/0!</v>
      </c>
      <c r="Y76" s="1" t="e">
        <f t="shared" si="33"/>
        <v>#DIV/0!</v>
      </c>
      <c r="Z76" s="1" t="e">
        <f t="shared" si="33"/>
        <v>#DIV/0!</v>
      </c>
      <c r="AA76" s="1" t="e">
        <f t="shared" si="33"/>
        <v>#DIV/0!</v>
      </c>
      <c r="AB76" s="1" t="e">
        <f t="shared" si="33"/>
        <v>#DIV/0!</v>
      </c>
      <c r="AC76" s="1" t="e">
        <f t="shared" si="33"/>
        <v>#DIV/0!</v>
      </c>
      <c r="AD76" s="1" t="e">
        <f t="shared" si="33"/>
        <v>#DIV/0!</v>
      </c>
      <c r="AE76" s="1"/>
      <c r="AF76" s="1"/>
    </row>
    <row r="77" spans="1:32" x14ac:dyDescent="0.2">
      <c r="A77" s="4" t="s">
        <v>58</v>
      </c>
      <c r="B77" s="1">
        <f>B58*$G$3/B$59</f>
        <v>0</v>
      </c>
      <c r="C77" s="1">
        <f t="shared" ref="C77:AD77" si="34">C58*$G$3/C$59</f>
        <v>0</v>
      </c>
      <c r="D77" s="1">
        <f t="shared" si="34"/>
        <v>0</v>
      </c>
      <c r="E77" s="1">
        <f t="shared" si="34"/>
        <v>0</v>
      </c>
      <c r="F77" s="1">
        <f t="shared" si="34"/>
        <v>0</v>
      </c>
      <c r="G77" s="1">
        <f t="shared" si="34"/>
        <v>0</v>
      </c>
      <c r="H77" s="1">
        <f t="shared" si="34"/>
        <v>0</v>
      </c>
      <c r="I77" s="1">
        <f t="shared" si="34"/>
        <v>0</v>
      </c>
      <c r="J77" s="1">
        <f t="shared" si="34"/>
        <v>0</v>
      </c>
      <c r="K77" s="1">
        <f t="shared" si="34"/>
        <v>0</v>
      </c>
      <c r="L77" s="1">
        <f t="shared" si="34"/>
        <v>0</v>
      </c>
      <c r="M77" s="1">
        <f t="shared" si="34"/>
        <v>0</v>
      </c>
      <c r="N77" s="1">
        <f t="shared" si="34"/>
        <v>0</v>
      </c>
      <c r="O77" s="1">
        <f t="shared" si="34"/>
        <v>0</v>
      </c>
      <c r="P77" s="1">
        <f t="shared" si="34"/>
        <v>0</v>
      </c>
      <c r="Q77" s="1">
        <f t="shared" si="34"/>
        <v>0</v>
      </c>
      <c r="R77" s="1">
        <f t="shared" si="34"/>
        <v>0</v>
      </c>
      <c r="S77" s="1">
        <f t="shared" si="34"/>
        <v>0</v>
      </c>
      <c r="T77" s="1">
        <f t="shared" si="34"/>
        <v>0</v>
      </c>
      <c r="U77" s="1">
        <f t="shared" si="34"/>
        <v>0</v>
      </c>
      <c r="V77" s="1">
        <f t="shared" si="34"/>
        <v>0</v>
      </c>
      <c r="W77" s="1">
        <f t="shared" si="34"/>
        <v>0</v>
      </c>
      <c r="X77" s="1" t="e">
        <f t="shared" si="34"/>
        <v>#DIV/0!</v>
      </c>
      <c r="Y77" s="1" t="e">
        <f t="shared" si="34"/>
        <v>#DIV/0!</v>
      </c>
      <c r="Z77" s="1" t="e">
        <f t="shared" si="34"/>
        <v>#DIV/0!</v>
      </c>
      <c r="AA77" s="1" t="e">
        <f t="shared" si="34"/>
        <v>#DIV/0!</v>
      </c>
      <c r="AB77" s="1" t="e">
        <f t="shared" si="34"/>
        <v>#DIV/0!</v>
      </c>
      <c r="AC77" s="1" t="e">
        <f t="shared" si="34"/>
        <v>#DIV/0!</v>
      </c>
      <c r="AD77" s="1" t="e">
        <f t="shared" si="34"/>
        <v>#DIV/0!</v>
      </c>
      <c r="AE77" s="1"/>
      <c r="AF77" s="1"/>
    </row>
    <row r="78" spans="1:32" x14ac:dyDescent="0.2">
      <c r="A78" s="1" t="s">
        <v>17</v>
      </c>
      <c r="B78" s="1">
        <f>SUM(B62:B74)</f>
        <v>1.6540894183014543</v>
      </c>
      <c r="C78" s="1">
        <f t="shared" ref="C78:AD78" si="35">SUM(C62:C74)</f>
        <v>1.685358546305358</v>
      </c>
      <c r="D78" s="1">
        <f t="shared" si="35"/>
        <v>1.6599652080440361</v>
      </c>
      <c r="E78" s="1">
        <f t="shared" si="35"/>
        <v>1.6773427357663209</v>
      </c>
      <c r="F78" s="1">
        <f t="shared" si="35"/>
        <v>1.6453224137732108</v>
      </c>
      <c r="G78" s="1">
        <f t="shared" si="35"/>
        <v>1.6805021845024506</v>
      </c>
      <c r="H78" s="1">
        <f t="shared" si="35"/>
        <v>1.660836842040065</v>
      </c>
      <c r="I78" s="1">
        <f t="shared" si="35"/>
        <v>1.6577634194008537</v>
      </c>
      <c r="J78" s="1">
        <f t="shared" si="35"/>
        <v>1.6678063873604292</v>
      </c>
      <c r="K78" s="1">
        <f t="shared" si="35"/>
        <v>1.6735000004684601</v>
      </c>
      <c r="L78" s="1">
        <f t="shared" si="35"/>
        <v>1.6630315345931383</v>
      </c>
      <c r="M78" s="1">
        <f t="shared" si="35"/>
        <v>1.6630307350311979</v>
      </c>
      <c r="N78" s="1">
        <f t="shared" si="35"/>
        <v>1.6533092972904504</v>
      </c>
      <c r="O78" s="1">
        <f t="shared" si="35"/>
        <v>1.6678063873604292</v>
      </c>
      <c r="P78" s="1">
        <f t="shared" si="35"/>
        <v>1.6735000004684601</v>
      </c>
      <c r="Q78" s="1">
        <f t="shared" si="35"/>
        <v>1.6630315345931383</v>
      </c>
      <c r="R78" s="1">
        <f t="shared" si="35"/>
        <v>1.6630307350311979</v>
      </c>
      <c r="S78" s="1">
        <f t="shared" si="35"/>
        <v>1.6533092972904504</v>
      </c>
      <c r="T78" s="1">
        <f t="shared" si="35"/>
        <v>1.6582322233010669</v>
      </c>
      <c r="U78" s="1">
        <f t="shared" si="35"/>
        <v>1.6519540936731201</v>
      </c>
      <c r="V78" s="1">
        <f t="shared" si="35"/>
        <v>1.6627394733701526</v>
      </c>
      <c r="W78" s="1">
        <f t="shared" si="35"/>
        <v>1.6715029832208401</v>
      </c>
      <c r="X78" s="1">
        <f t="shared" si="35"/>
        <v>0</v>
      </c>
      <c r="Y78" s="1">
        <f t="shared" si="35"/>
        <v>0</v>
      </c>
      <c r="Z78" s="1">
        <f t="shared" si="35"/>
        <v>0</v>
      </c>
      <c r="AA78" s="1">
        <f t="shared" si="35"/>
        <v>0</v>
      </c>
      <c r="AB78" s="1">
        <f t="shared" si="35"/>
        <v>0</v>
      </c>
      <c r="AC78" s="1">
        <f t="shared" si="35"/>
        <v>0</v>
      </c>
      <c r="AD78" s="1">
        <f t="shared" si="35"/>
        <v>0</v>
      </c>
      <c r="AE78" s="1"/>
      <c r="AF78" s="1"/>
    </row>
    <row r="79" spans="1:32" x14ac:dyDescent="0.2">
      <c r="AC79" s="1"/>
      <c r="AD79" s="1"/>
      <c r="AE79" s="1"/>
      <c r="AF79" s="1"/>
    </row>
    <row r="80" spans="1:32" x14ac:dyDescent="0.2">
      <c r="A80" s="1" t="s">
        <v>29</v>
      </c>
      <c r="AC80" s="1"/>
      <c r="AD80" s="1"/>
      <c r="AE80" s="1"/>
      <c r="AF80" s="1"/>
    </row>
    <row r="81" spans="1:32" x14ac:dyDescent="0.2">
      <c r="A81" s="1" t="s">
        <v>18</v>
      </c>
      <c r="B81" s="1">
        <f>B62*$D4</f>
        <v>2.4540612516644473</v>
      </c>
      <c r="C81" s="1">
        <f t="shared" ref="C81:AD81" si="36">C62*$D4</f>
        <v>2.5006657789613849</v>
      </c>
      <c r="D81" s="1">
        <f t="shared" si="36"/>
        <v>2.4786950732356856</v>
      </c>
      <c r="E81" s="1">
        <f t="shared" si="36"/>
        <v>2.5066577896138482</v>
      </c>
      <c r="F81" s="1">
        <f t="shared" si="36"/>
        <v>2.4474034620505991</v>
      </c>
      <c r="G81" s="1">
        <f t="shared" si="36"/>
        <v>2.507989347536618</v>
      </c>
      <c r="H81" s="1">
        <f t="shared" si="36"/>
        <v>2.4520639147802927</v>
      </c>
      <c r="I81" s="1">
        <f t="shared" si="36"/>
        <v>2.4707057256990681</v>
      </c>
      <c r="J81" s="1">
        <f t="shared" si="36"/>
        <v>2.4760319573901466</v>
      </c>
      <c r="K81" s="1">
        <f t="shared" si="36"/>
        <v>2.4940079893475366</v>
      </c>
      <c r="L81" s="1">
        <f t="shared" si="36"/>
        <v>2.4766977363515315</v>
      </c>
      <c r="M81" s="1">
        <f t="shared" si="36"/>
        <v>2.4866844207723036</v>
      </c>
      <c r="N81" s="1">
        <f t="shared" si="36"/>
        <v>2.452729693741678</v>
      </c>
      <c r="O81" s="1">
        <f t="shared" si="36"/>
        <v>2.4760319573901466</v>
      </c>
      <c r="P81" s="1">
        <f t="shared" si="36"/>
        <v>2.4940079893475366</v>
      </c>
      <c r="Q81" s="1">
        <f t="shared" si="36"/>
        <v>2.4766977363515315</v>
      </c>
      <c r="R81" s="1">
        <f t="shared" si="36"/>
        <v>2.4866844207723036</v>
      </c>
      <c r="S81" s="1">
        <f t="shared" si="36"/>
        <v>2.452729693741678</v>
      </c>
      <c r="T81" s="1">
        <f t="shared" si="36"/>
        <v>2.4693741677762984</v>
      </c>
      <c r="U81" s="1">
        <f t="shared" si="36"/>
        <v>2.4573901464713712</v>
      </c>
      <c r="V81" s="1">
        <f t="shared" si="36"/>
        <v>2.4786950732356856</v>
      </c>
      <c r="W81" s="1">
        <f t="shared" si="36"/>
        <v>2.5053262316910789</v>
      </c>
      <c r="X81" s="1">
        <f t="shared" si="36"/>
        <v>0</v>
      </c>
      <c r="Y81" s="1">
        <f t="shared" si="36"/>
        <v>0</v>
      </c>
      <c r="Z81" s="1">
        <f t="shared" si="36"/>
        <v>0</v>
      </c>
      <c r="AA81" s="1">
        <f t="shared" si="36"/>
        <v>0</v>
      </c>
      <c r="AB81" s="1">
        <f t="shared" si="36"/>
        <v>0</v>
      </c>
      <c r="AC81" s="1">
        <f t="shared" si="36"/>
        <v>0</v>
      </c>
      <c r="AD81" s="1">
        <f t="shared" si="36"/>
        <v>0</v>
      </c>
      <c r="AE81" s="1"/>
      <c r="AF81" s="1"/>
    </row>
    <row r="82" spans="1:32" x14ac:dyDescent="0.2">
      <c r="A82" s="1" t="s">
        <v>19</v>
      </c>
      <c r="B82" s="1">
        <f>B63*$D5</f>
        <v>1.4017521902377972E-2</v>
      </c>
      <c r="C82" s="1">
        <f t="shared" ref="C82:AD82" si="37">C63*$D5</f>
        <v>3.0037546933667082E-3</v>
      </c>
      <c r="D82" s="1">
        <f t="shared" si="37"/>
        <v>1.1013767209011264E-2</v>
      </c>
      <c r="E82" s="1">
        <f t="shared" si="37"/>
        <v>3.5043804755944931E-3</v>
      </c>
      <c r="F82" s="1">
        <f t="shared" si="37"/>
        <v>1.5519399249061325E-2</v>
      </c>
      <c r="G82" s="1">
        <f t="shared" si="37"/>
        <v>6.5081351689612009E-3</v>
      </c>
      <c r="H82" s="1">
        <f t="shared" si="37"/>
        <v>5.5068836045056319E-3</v>
      </c>
      <c r="I82" s="1">
        <f t="shared" si="37"/>
        <v>3.0037546933667082E-3</v>
      </c>
      <c r="J82" s="1">
        <f t="shared" si="37"/>
        <v>4.0050062578222776E-3</v>
      </c>
      <c r="K82" s="1">
        <f t="shared" si="37"/>
        <v>5.5068836045056319E-3</v>
      </c>
      <c r="L82" s="1">
        <f t="shared" si="37"/>
        <v>3.0037546933667082E-3</v>
      </c>
      <c r="M82" s="1">
        <f t="shared" si="37"/>
        <v>3.0037546933667082E-3</v>
      </c>
      <c r="N82" s="1">
        <f t="shared" si="37"/>
        <v>2.7534418022528161E-2</v>
      </c>
      <c r="O82" s="1">
        <f t="shared" si="37"/>
        <v>4.0050062578222776E-3</v>
      </c>
      <c r="P82" s="1">
        <f t="shared" si="37"/>
        <v>5.5068836045056319E-3</v>
      </c>
      <c r="Q82" s="1">
        <f t="shared" si="37"/>
        <v>3.0037546933667082E-3</v>
      </c>
      <c r="R82" s="1">
        <f t="shared" si="37"/>
        <v>3.0037546933667082E-3</v>
      </c>
      <c r="S82" s="1">
        <f t="shared" si="37"/>
        <v>2.7534418022528161E-2</v>
      </c>
      <c r="T82" s="1">
        <f t="shared" si="37"/>
        <v>1.0012515644555695E-2</v>
      </c>
      <c r="U82" s="1">
        <f t="shared" si="37"/>
        <v>4.5056320400500621E-3</v>
      </c>
      <c r="V82" s="1">
        <f t="shared" si="37"/>
        <v>2.7534418022528161E-2</v>
      </c>
      <c r="W82" s="1">
        <f t="shared" si="37"/>
        <v>2.5031289111389237E-3</v>
      </c>
      <c r="X82" s="1">
        <f t="shared" si="37"/>
        <v>0</v>
      </c>
      <c r="Y82" s="1">
        <f t="shared" si="37"/>
        <v>0</v>
      </c>
      <c r="Z82" s="1">
        <f t="shared" si="37"/>
        <v>0</v>
      </c>
      <c r="AA82" s="1">
        <f t="shared" si="37"/>
        <v>0</v>
      </c>
      <c r="AB82" s="1">
        <f t="shared" si="37"/>
        <v>0</v>
      </c>
      <c r="AC82" s="1">
        <f t="shared" si="37"/>
        <v>0</v>
      </c>
      <c r="AD82" s="1">
        <f t="shared" si="37"/>
        <v>0</v>
      </c>
      <c r="AE82" s="1"/>
      <c r="AF82" s="1"/>
    </row>
    <row r="83" spans="1:32" x14ac:dyDescent="0.2">
      <c r="A83" s="1" t="s">
        <v>20</v>
      </c>
      <c r="B83" s="1">
        <f>B64*$D6</f>
        <v>0</v>
      </c>
      <c r="C83" s="1">
        <f t="shared" ref="C83:AD83" si="38">C64*$D6</f>
        <v>3.9476073551820241E-4</v>
      </c>
      <c r="D83" s="1">
        <f t="shared" si="38"/>
        <v>3.9476073551820241E-4</v>
      </c>
      <c r="E83" s="1">
        <f t="shared" si="38"/>
        <v>0</v>
      </c>
      <c r="F83" s="1">
        <f t="shared" si="38"/>
        <v>0</v>
      </c>
      <c r="G83" s="1">
        <f t="shared" si="38"/>
        <v>3.9476073551820241E-4</v>
      </c>
      <c r="H83" s="1">
        <f t="shared" si="38"/>
        <v>0</v>
      </c>
      <c r="I83" s="1">
        <f t="shared" si="38"/>
        <v>0</v>
      </c>
      <c r="J83" s="1">
        <f t="shared" si="38"/>
        <v>7.8952147103640482E-4</v>
      </c>
      <c r="K83" s="1">
        <f t="shared" si="38"/>
        <v>7.8952147103640482E-4</v>
      </c>
      <c r="L83" s="1">
        <f t="shared" si="38"/>
        <v>0</v>
      </c>
      <c r="M83" s="1">
        <f t="shared" si="38"/>
        <v>0</v>
      </c>
      <c r="N83" s="1">
        <f t="shared" si="38"/>
        <v>3.9476073551820241E-4</v>
      </c>
      <c r="O83" s="1">
        <f t="shared" si="38"/>
        <v>7.8952147103640482E-4</v>
      </c>
      <c r="P83" s="1">
        <f t="shared" si="38"/>
        <v>7.8952147103640482E-4</v>
      </c>
      <c r="Q83" s="1">
        <f t="shared" si="38"/>
        <v>0</v>
      </c>
      <c r="R83" s="1">
        <f t="shared" si="38"/>
        <v>0</v>
      </c>
      <c r="S83" s="1">
        <f t="shared" si="38"/>
        <v>3.9476073551820241E-4</v>
      </c>
      <c r="T83" s="1">
        <f t="shared" si="38"/>
        <v>0</v>
      </c>
      <c r="U83" s="1">
        <f t="shared" si="38"/>
        <v>1.1842822065546072E-3</v>
      </c>
      <c r="V83" s="1">
        <f t="shared" si="38"/>
        <v>0</v>
      </c>
      <c r="W83" s="1">
        <f t="shared" si="38"/>
        <v>1.1842822065546072E-3</v>
      </c>
      <c r="X83" s="1">
        <f t="shared" si="38"/>
        <v>0</v>
      </c>
      <c r="Y83" s="1">
        <f t="shared" si="38"/>
        <v>0</v>
      </c>
      <c r="Z83" s="1">
        <f t="shared" si="38"/>
        <v>0</v>
      </c>
      <c r="AA83" s="1">
        <f t="shared" si="38"/>
        <v>0</v>
      </c>
      <c r="AB83" s="1">
        <f t="shared" si="38"/>
        <v>0</v>
      </c>
      <c r="AC83" s="1">
        <f t="shared" si="38"/>
        <v>0</v>
      </c>
      <c r="AD83" s="1">
        <f t="shared" si="38"/>
        <v>0</v>
      </c>
      <c r="AE83" s="1"/>
      <c r="AF83" s="1"/>
    </row>
    <row r="84" spans="1:32" x14ac:dyDescent="0.2">
      <c r="A84" s="1" t="s">
        <v>21</v>
      </c>
      <c r="B84" s="1">
        <f>B65*$D7</f>
        <v>1.1883460859329018</v>
      </c>
      <c r="C84" s="1">
        <f t="shared" ref="C84:AD84" si="39">C65*$D7</f>
        <v>1.2430841671571513</v>
      </c>
      <c r="D84" s="1">
        <f t="shared" si="39"/>
        <v>1.1877575044143613</v>
      </c>
      <c r="E84" s="1">
        <f t="shared" si="39"/>
        <v>1.2348440258975868</v>
      </c>
      <c r="F84" s="1">
        <f t="shared" si="39"/>
        <v>1.1771630370806356</v>
      </c>
      <c r="G84" s="1">
        <f t="shared" si="39"/>
        <v>1.2419070041200708</v>
      </c>
      <c r="H84" s="1">
        <f t="shared" si="39"/>
        <v>1.2077692760447323</v>
      </c>
      <c r="I84" s="1">
        <f t="shared" si="39"/>
        <v>1.2018834608593292</v>
      </c>
      <c r="J84" s="1">
        <f t="shared" si="39"/>
        <v>1.2242495585638611</v>
      </c>
      <c r="K84" s="1">
        <f t="shared" si="39"/>
        <v>1.2254267216009418</v>
      </c>
      <c r="L84" s="1">
        <f t="shared" si="39"/>
        <v>1.207180694526192</v>
      </c>
      <c r="M84" s="1">
        <f t="shared" si="39"/>
        <v>1.226015303119482</v>
      </c>
      <c r="N84" s="1">
        <f t="shared" si="39"/>
        <v>1.144791053560918</v>
      </c>
      <c r="O84" s="1">
        <f t="shared" si="39"/>
        <v>1.2242495585638611</v>
      </c>
      <c r="P84" s="1">
        <f t="shared" si="39"/>
        <v>1.2254267216009418</v>
      </c>
      <c r="Q84" s="1">
        <f t="shared" si="39"/>
        <v>1.207180694526192</v>
      </c>
      <c r="R84" s="1">
        <f t="shared" si="39"/>
        <v>1.226015303119482</v>
      </c>
      <c r="S84" s="1">
        <f t="shared" si="39"/>
        <v>1.144791053560918</v>
      </c>
      <c r="T84" s="1">
        <f t="shared" si="39"/>
        <v>1.1783402001177163</v>
      </c>
      <c r="U84" s="1">
        <f t="shared" si="39"/>
        <v>1.1889346674514421</v>
      </c>
      <c r="V84" s="1">
        <f t="shared" si="39"/>
        <v>1.1783402001177163</v>
      </c>
      <c r="W84" s="1">
        <f t="shared" si="39"/>
        <v>1.2148322542672161</v>
      </c>
      <c r="X84" s="1">
        <f t="shared" si="39"/>
        <v>0</v>
      </c>
      <c r="Y84" s="1">
        <f t="shared" si="39"/>
        <v>0</v>
      </c>
      <c r="Z84" s="1">
        <f t="shared" si="39"/>
        <v>0</v>
      </c>
      <c r="AA84" s="1">
        <f t="shared" si="39"/>
        <v>0</v>
      </c>
      <c r="AB84" s="1">
        <f t="shared" si="39"/>
        <v>0</v>
      </c>
      <c r="AC84" s="1">
        <f t="shared" si="39"/>
        <v>0</v>
      </c>
      <c r="AD84" s="1">
        <f t="shared" si="39"/>
        <v>0</v>
      </c>
      <c r="AE84" s="1"/>
      <c r="AF84" s="1"/>
    </row>
    <row r="85" spans="1:32" x14ac:dyDescent="0.2">
      <c r="A85" s="1" t="s">
        <v>31</v>
      </c>
      <c r="B85" s="1">
        <f>B66*$D15</f>
        <v>0</v>
      </c>
      <c r="C85" s="1">
        <f t="shared" ref="C85:AD85" si="40">C66*$D15</f>
        <v>0</v>
      </c>
      <c r="D85" s="1">
        <f t="shared" si="40"/>
        <v>0</v>
      </c>
      <c r="E85" s="1">
        <f t="shared" si="40"/>
        <v>0</v>
      </c>
      <c r="F85" s="1">
        <f t="shared" si="40"/>
        <v>0</v>
      </c>
      <c r="G85" s="1">
        <f t="shared" si="40"/>
        <v>0</v>
      </c>
      <c r="H85" s="1">
        <f t="shared" si="40"/>
        <v>0</v>
      </c>
      <c r="I85" s="1">
        <f t="shared" si="40"/>
        <v>0</v>
      </c>
      <c r="J85" s="1">
        <f t="shared" si="40"/>
        <v>0</v>
      </c>
      <c r="K85" s="1">
        <f t="shared" si="40"/>
        <v>0</v>
      </c>
      <c r="L85" s="1">
        <f t="shared" si="40"/>
        <v>0</v>
      </c>
      <c r="M85" s="1">
        <f t="shared" si="40"/>
        <v>0</v>
      </c>
      <c r="N85" s="1">
        <f t="shared" si="40"/>
        <v>0</v>
      </c>
      <c r="O85" s="1">
        <f t="shared" si="40"/>
        <v>0</v>
      </c>
      <c r="P85" s="1">
        <f t="shared" si="40"/>
        <v>0</v>
      </c>
      <c r="Q85" s="1">
        <f t="shared" si="40"/>
        <v>0</v>
      </c>
      <c r="R85" s="1">
        <f t="shared" si="40"/>
        <v>0</v>
      </c>
      <c r="S85" s="1">
        <f t="shared" si="40"/>
        <v>0</v>
      </c>
      <c r="T85" s="1">
        <f t="shared" si="40"/>
        <v>0</v>
      </c>
      <c r="U85" s="1">
        <f t="shared" si="40"/>
        <v>0</v>
      </c>
      <c r="V85" s="1">
        <f t="shared" si="40"/>
        <v>0</v>
      </c>
      <c r="W85" s="1">
        <f t="shared" si="40"/>
        <v>0</v>
      </c>
      <c r="X85" s="1">
        <f t="shared" si="40"/>
        <v>0</v>
      </c>
      <c r="Y85" s="1">
        <f t="shared" si="40"/>
        <v>0</v>
      </c>
      <c r="Z85" s="1">
        <f t="shared" si="40"/>
        <v>0</v>
      </c>
      <c r="AA85" s="1">
        <f t="shared" si="40"/>
        <v>0</v>
      </c>
      <c r="AB85" s="1">
        <f t="shared" si="40"/>
        <v>0</v>
      </c>
      <c r="AC85" s="1">
        <f t="shared" si="40"/>
        <v>0</v>
      </c>
      <c r="AD85" s="1">
        <f t="shared" si="40"/>
        <v>0</v>
      </c>
      <c r="AE85" s="1"/>
      <c r="AF85" s="1"/>
    </row>
    <row r="86" spans="1:32" x14ac:dyDescent="0.2">
      <c r="A86" s="1" t="s">
        <v>30</v>
      </c>
      <c r="B86" s="1">
        <f t="shared" ref="B86:B93" si="41">B67*$D8</f>
        <v>0.56673625608907452</v>
      </c>
      <c r="C86" s="1">
        <f t="shared" ref="C86:AD86" si="42">C67*$D8</f>
        <v>0.64745998608211563</v>
      </c>
      <c r="D86" s="1">
        <f t="shared" si="42"/>
        <v>0.54725121781489217</v>
      </c>
      <c r="E86" s="1">
        <f t="shared" si="42"/>
        <v>0.56673625608907452</v>
      </c>
      <c r="F86" s="1">
        <f t="shared" si="42"/>
        <v>0.24718162839248439</v>
      </c>
      <c r="G86" s="1">
        <f t="shared" si="42"/>
        <v>0.56951983298538633</v>
      </c>
      <c r="H86" s="1">
        <f t="shared" si="42"/>
        <v>0.54697286012526092</v>
      </c>
      <c r="I86" s="1">
        <f t="shared" si="42"/>
        <v>0.50772442588726518</v>
      </c>
      <c r="J86" s="1">
        <f t="shared" si="42"/>
        <v>0.51189979123173279</v>
      </c>
      <c r="K86" s="1">
        <f t="shared" si="42"/>
        <v>0.60347947112038969</v>
      </c>
      <c r="L86" s="1">
        <f t="shared" si="42"/>
        <v>0.48851774530271402</v>
      </c>
      <c r="M86" s="1">
        <f t="shared" si="42"/>
        <v>0.59763395963813504</v>
      </c>
      <c r="N86" s="1">
        <f t="shared" si="42"/>
        <v>0.53333333333333333</v>
      </c>
      <c r="O86" s="1">
        <f t="shared" si="42"/>
        <v>0.51189979123173279</v>
      </c>
      <c r="P86" s="1">
        <f t="shared" si="42"/>
        <v>0.60347947112038969</v>
      </c>
      <c r="Q86" s="1">
        <f t="shared" si="42"/>
        <v>0.48851774530271402</v>
      </c>
      <c r="R86" s="1">
        <f t="shared" si="42"/>
        <v>0.59763395963813504</v>
      </c>
      <c r="S86" s="1">
        <f t="shared" si="42"/>
        <v>0.53333333333333333</v>
      </c>
      <c r="T86" s="1">
        <f t="shared" si="42"/>
        <v>0.5837160751565762</v>
      </c>
      <c r="U86" s="1">
        <f t="shared" si="42"/>
        <v>0.49157967988865697</v>
      </c>
      <c r="V86" s="1">
        <f t="shared" si="42"/>
        <v>0.60542797494780798</v>
      </c>
      <c r="W86" s="1">
        <f t="shared" si="42"/>
        <v>0.59512874043145447</v>
      </c>
      <c r="X86" s="1">
        <f t="shared" si="42"/>
        <v>0</v>
      </c>
      <c r="Y86" s="1">
        <f t="shared" si="42"/>
        <v>0</v>
      </c>
      <c r="Z86" s="1">
        <f t="shared" si="42"/>
        <v>0</v>
      </c>
      <c r="AA86" s="1">
        <f t="shared" si="42"/>
        <v>0</v>
      </c>
      <c r="AB86" s="1">
        <f t="shared" si="42"/>
        <v>0</v>
      </c>
      <c r="AC86" s="1">
        <f t="shared" si="42"/>
        <v>0</v>
      </c>
      <c r="AD86" s="1">
        <f t="shared" si="42"/>
        <v>0</v>
      </c>
      <c r="AE86" s="1"/>
      <c r="AF86" s="1"/>
    </row>
    <row r="87" spans="1:32" x14ac:dyDescent="0.2">
      <c r="A87" s="1" t="s">
        <v>23</v>
      </c>
      <c r="B87" s="1">
        <f t="shared" si="41"/>
        <v>0.47788883093449114</v>
      </c>
      <c r="C87" s="1">
        <f t="shared" ref="C87:AD87" si="43">C68*$D9</f>
        <v>0.35439897373725981</v>
      </c>
      <c r="D87" s="1">
        <f t="shared" si="43"/>
        <v>0.52328122136543687</v>
      </c>
      <c r="E87" s="1">
        <f t="shared" si="43"/>
        <v>0.46914868122418485</v>
      </c>
      <c r="F87" s="1">
        <f t="shared" si="43"/>
        <v>0.85005004440559928</v>
      </c>
      <c r="G87" s="1">
        <f t="shared" si="43"/>
        <v>0.42319241016676773</v>
      </c>
      <c r="H87" s="1">
        <f t="shared" si="43"/>
        <v>0.53766017734045701</v>
      </c>
      <c r="I87" s="1">
        <f t="shared" si="43"/>
        <v>0.56444450709784744</v>
      </c>
      <c r="J87" s="1">
        <f t="shared" si="43"/>
        <v>0.5661361489772615</v>
      </c>
      <c r="K87" s="1">
        <f t="shared" si="43"/>
        <v>0.3828749453740643</v>
      </c>
      <c r="L87" s="1">
        <f t="shared" si="43"/>
        <v>0.59743152374642294</v>
      </c>
      <c r="M87" s="1">
        <f t="shared" si="43"/>
        <v>0.38654016944612829</v>
      </c>
      <c r="N87" s="1">
        <f t="shared" si="43"/>
        <v>0.57346659712138937</v>
      </c>
      <c r="O87" s="1">
        <f t="shared" si="43"/>
        <v>0.5661361489772615</v>
      </c>
      <c r="P87" s="1">
        <f t="shared" si="43"/>
        <v>0.3828749453740643</v>
      </c>
      <c r="Q87" s="1">
        <f t="shared" si="43"/>
        <v>0.59743152374642294</v>
      </c>
      <c r="R87" s="1">
        <f t="shared" si="43"/>
        <v>0.38654016944612829</v>
      </c>
      <c r="S87" s="1">
        <f t="shared" si="43"/>
        <v>0.57346659712138937</v>
      </c>
      <c r="T87" s="1">
        <f t="shared" si="43"/>
        <v>0.46294599433299977</v>
      </c>
      <c r="U87" s="1">
        <f t="shared" si="43"/>
        <v>0.56303480553166896</v>
      </c>
      <c r="V87" s="1">
        <f t="shared" si="43"/>
        <v>0.42657569392559597</v>
      </c>
      <c r="W87" s="1">
        <f t="shared" si="43"/>
        <v>0.42262852954029634</v>
      </c>
      <c r="X87" s="1">
        <f t="shared" si="43"/>
        <v>0</v>
      </c>
      <c r="Y87" s="1">
        <f t="shared" si="43"/>
        <v>0</v>
      </c>
      <c r="Z87" s="1">
        <f t="shared" si="43"/>
        <v>0</v>
      </c>
      <c r="AA87" s="1">
        <f t="shared" si="43"/>
        <v>0</v>
      </c>
      <c r="AB87" s="1">
        <f t="shared" si="43"/>
        <v>0</v>
      </c>
      <c r="AC87" s="1">
        <f t="shared" si="43"/>
        <v>0</v>
      </c>
      <c r="AD87" s="1">
        <f t="shared" si="43"/>
        <v>0</v>
      </c>
      <c r="AE87" s="1"/>
      <c r="AF87" s="1"/>
    </row>
    <row r="88" spans="1:32" x14ac:dyDescent="0.2">
      <c r="A88" s="1" t="s">
        <v>24</v>
      </c>
      <c r="B88" s="1">
        <f t="shared" si="41"/>
        <v>0</v>
      </c>
      <c r="C88" s="1">
        <f t="shared" ref="C88:AD88" si="44">C69*$D10</f>
        <v>0</v>
      </c>
      <c r="D88" s="1">
        <f t="shared" si="44"/>
        <v>0</v>
      </c>
      <c r="E88" s="1">
        <f t="shared" si="44"/>
        <v>0</v>
      </c>
      <c r="F88" s="1">
        <f t="shared" si="44"/>
        <v>0</v>
      </c>
      <c r="G88" s="1">
        <f t="shared" si="44"/>
        <v>0</v>
      </c>
      <c r="H88" s="1">
        <f t="shared" si="44"/>
        <v>0</v>
      </c>
      <c r="I88" s="1">
        <f t="shared" si="44"/>
        <v>0</v>
      </c>
      <c r="J88" s="1">
        <f t="shared" si="44"/>
        <v>0</v>
      </c>
      <c r="K88" s="1">
        <f t="shared" si="44"/>
        <v>0</v>
      </c>
      <c r="L88" s="1">
        <f t="shared" si="44"/>
        <v>0</v>
      </c>
      <c r="M88" s="1">
        <f t="shared" si="44"/>
        <v>0</v>
      </c>
      <c r="N88" s="1">
        <f t="shared" si="44"/>
        <v>0</v>
      </c>
      <c r="O88" s="1">
        <f t="shared" si="44"/>
        <v>0</v>
      </c>
      <c r="P88" s="1">
        <f t="shared" si="44"/>
        <v>0</v>
      </c>
      <c r="Q88" s="1">
        <f t="shared" si="44"/>
        <v>0</v>
      </c>
      <c r="R88" s="1">
        <f t="shared" si="44"/>
        <v>0</v>
      </c>
      <c r="S88" s="1">
        <f t="shared" si="44"/>
        <v>0</v>
      </c>
      <c r="T88" s="1">
        <f t="shared" si="44"/>
        <v>0</v>
      </c>
      <c r="U88" s="1">
        <f t="shared" si="44"/>
        <v>0</v>
      </c>
      <c r="V88" s="1">
        <f t="shared" si="44"/>
        <v>0</v>
      </c>
      <c r="W88" s="1">
        <f t="shared" si="44"/>
        <v>0</v>
      </c>
      <c r="X88" s="1">
        <f t="shared" si="44"/>
        <v>0</v>
      </c>
      <c r="Y88" s="1">
        <f t="shared" si="44"/>
        <v>0</v>
      </c>
      <c r="Z88" s="1">
        <f t="shared" si="44"/>
        <v>0</v>
      </c>
      <c r="AA88" s="1">
        <f t="shared" si="44"/>
        <v>0</v>
      </c>
      <c r="AB88" s="1">
        <f t="shared" si="44"/>
        <v>0</v>
      </c>
      <c r="AC88" s="1">
        <f t="shared" si="44"/>
        <v>0</v>
      </c>
      <c r="AD88" s="1">
        <f t="shared" si="44"/>
        <v>0</v>
      </c>
      <c r="AE88" s="1"/>
      <c r="AF88" s="1"/>
    </row>
    <row r="89" spans="1:32" x14ac:dyDescent="0.2">
      <c r="A89" s="1" t="s">
        <v>25</v>
      </c>
      <c r="B89" s="1">
        <f t="shared" si="41"/>
        <v>0.18456958571074175</v>
      </c>
      <c r="C89" s="1">
        <f t="shared" ref="C89:AD89" si="45">C70*$D11</f>
        <v>0.22277350533366411</v>
      </c>
      <c r="D89" s="1">
        <f t="shared" si="45"/>
        <v>0.16670801290002479</v>
      </c>
      <c r="E89" s="1">
        <f t="shared" si="45"/>
        <v>0.19796576531877946</v>
      </c>
      <c r="F89" s="1">
        <f t="shared" si="45"/>
        <v>0.13545026048127015</v>
      </c>
      <c r="G89" s="1">
        <f t="shared" si="45"/>
        <v>0.19995038451997024</v>
      </c>
      <c r="H89" s="1">
        <f t="shared" si="45"/>
        <v>0.15628876209377324</v>
      </c>
      <c r="I89" s="1">
        <f t="shared" si="45"/>
        <v>0.16521954849913173</v>
      </c>
      <c r="J89" s="1">
        <f t="shared" si="45"/>
        <v>0.15827338129496402</v>
      </c>
      <c r="K89" s="1">
        <f t="shared" si="45"/>
        <v>0.20987348052592411</v>
      </c>
      <c r="L89" s="1">
        <f t="shared" si="45"/>
        <v>0.15281567849168939</v>
      </c>
      <c r="M89" s="1">
        <f t="shared" si="45"/>
        <v>0.21136194492681715</v>
      </c>
      <c r="N89" s="1">
        <f t="shared" si="45"/>
        <v>0.15827338129496402</v>
      </c>
      <c r="O89" s="1">
        <f t="shared" si="45"/>
        <v>0.15827338129496402</v>
      </c>
      <c r="P89" s="1">
        <f t="shared" si="45"/>
        <v>0.20987348052592411</v>
      </c>
      <c r="Q89" s="1">
        <f t="shared" si="45"/>
        <v>0.15281567849168939</v>
      </c>
      <c r="R89" s="1">
        <f t="shared" si="45"/>
        <v>0.21136194492681715</v>
      </c>
      <c r="S89" s="1">
        <f t="shared" si="45"/>
        <v>0.15827338129496402</v>
      </c>
      <c r="T89" s="1">
        <f t="shared" si="45"/>
        <v>0.19796576531877946</v>
      </c>
      <c r="U89" s="1">
        <f t="shared" si="45"/>
        <v>0.17712726370627635</v>
      </c>
      <c r="V89" s="1">
        <f t="shared" si="45"/>
        <v>0.1994542297196725</v>
      </c>
      <c r="W89" s="1">
        <f t="shared" si="45"/>
        <v>0.21285040932771024</v>
      </c>
      <c r="X89" s="1">
        <f t="shared" si="45"/>
        <v>0</v>
      </c>
      <c r="Y89" s="1">
        <f t="shared" si="45"/>
        <v>0</v>
      </c>
      <c r="Z89" s="1">
        <f t="shared" si="45"/>
        <v>0</v>
      </c>
      <c r="AA89" s="1">
        <f t="shared" si="45"/>
        <v>0</v>
      </c>
      <c r="AB89" s="1">
        <f t="shared" si="45"/>
        <v>0</v>
      </c>
      <c r="AC89" s="1">
        <f t="shared" si="45"/>
        <v>0</v>
      </c>
      <c r="AD89" s="1">
        <f t="shared" si="45"/>
        <v>0</v>
      </c>
      <c r="AE89" s="1"/>
      <c r="AF89" s="1"/>
    </row>
    <row r="90" spans="1:32" x14ac:dyDescent="0.2">
      <c r="A90" s="1" t="s">
        <v>26</v>
      </c>
      <c r="B90" s="1">
        <f t="shared" si="41"/>
        <v>4.8858773181169761E-2</v>
      </c>
      <c r="C90" s="1">
        <f t="shared" ref="C90:AD90" si="46">C71*$D12</f>
        <v>6.5263908701854501E-2</v>
      </c>
      <c r="D90" s="1">
        <f t="shared" si="46"/>
        <v>4.3152639087018545E-2</v>
      </c>
      <c r="E90" s="1">
        <f t="shared" si="46"/>
        <v>3.9942938659058493E-2</v>
      </c>
      <c r="F90" s="1">
        <f t="shared" si="46"/>
        <v>4.1726105563480741E-2</v>
      </c>
      <c r="G90" s="1">
        <f t="shared" si="46"/>
        <v>8.0955777460770331E-2</v>
      </c>
      <c r="H90" s="1">
        <f t="shared" si="46"/>
        <v>4.6362339514978604E-2</v>
      </c>
      <c r="I90" s="1">
        <f t="shared" si="46"/>
        <v>3.6376604850213982E-2</v>
      </c>
      <c r="J90" s="1">
        <f t="shared" si="46"/>
        <v>4.0656205420827388E-2</v>
      </c>
      <c r="K90" s="1">
        <f t="shared" si="46"/>
        <v>8.0955777460770331E-2</v>
      </c>
      <c r="L90" s="1">
        <f t="shared" si="46"/>
        <v>4.0299572039942937E-2</v>
      </c>
      <c r="M90" s="1">
        <f t="shared" si="46"/>
        <v>6.7047075606276749E-2</v>
      </c>
      <c r="N90" s="1">
        <f t="shared" si="46"/>
        <v>3.6019971469329531E-2</v>
      </c>
      <c r="O90" s="1">
        <f t="shared" si="46"/>
        <v>4.0656205420827388E-2</v>
      </c>
      <c r="P90" s="1">
        <f t="shared" si="46"/>
        <v>8.0955777460770331E-2</v>
      </c>
      <c r="Q90" s="1">
        <f t="shared" si="46"/>
        <v>4.0299572039942937E-2</v>
      </c>
      <c r="R90" s="1">
        <f t="shared" si="46"/>
        <v>6.7047075606276749E-2</v>
      </c>
      <c r="S90" s="1">
        <f t="shared" si="46"/>
        <v>3.6019971469329531E-2</v>
      </c>
      <c r="T90" s="1">
        <f t="shared" si="46"/>
        <v>4.5292439372325251E-2</v>
      </c>
      <c r="U90" s="1">
        <f t="shared" si="46"/>
        <v>4.4579172610556349E-2</v>
      </c>
      <c r="V90" s="1">
        <f t="shared" si="46"/>
        <v>5.4921540656205421E-2</v>
      </c>
      <c r="W90" s="1">
        <f t="shared" si="46"/>
        <v>4.4579172610556349E-2</v>
      </c>
      <c r="X90" s="1">
        <f t="shared" si="46"/>
        <v>0</v>
      </c>
      <c r="Y90" s="1">
        <f t="shared" si="46"/>
        <v>0</v>
      </c>
      <c r="Z90" s="1">
        <f t="shared" si="46"/>
        <v>0</v>
      </c>
      <c r="AA90" s="1">
        <f t="shared" si="46"/>
        <v>0</v>
      </c>
      <c r="AB90" s="1">
        <f t="shared" si="46"/>
        <v>0</v>
      </c>
      <c r="AC90" s="1">
        <f t="shared" si="46"/>
        <v>0</v>
      </c>
      <c r="AD90" s="1">
        <f t="shared" si="46"/>
        <v>0</v>
      </c>
      <c r="AE90" s="1"/>
      <c r="AF90" s="1"/>
    </row>
    <row r="91" spans="1:32" x14ac:dyDescent="0.2">
      <c r="A91" s="1" t="s">
        <v>27</v>
      </c>
      <c r="B91" s="1">
        <f t="shared" si="41"/>
        <v>1.2906972992159013E-3</v>
      </c>
      <c r="C91" s="1">
        <f t="shared" ref="C91:AD91" si="47">C72*$D13</f>
        <v>0</v>
      </c>
      <c r="D91" s="1">
        <f t="shared" si="47"/>
        <v>1.2906972992159013E-3</v>
      </c>
      <c r="E91" s="1">
        <f t="shared" si="47"/>
        <v>1.2906972992159013E-3</v>
      </c>
      <c r="F91" s="1">
        <f t="shared" si="47"/>
        <v>0</v>
      </c>
      <c r="G91" s="1">
        <f t="shared" si="47"/>
        <v>9.6802297441192606E-4</v>
      </c>
      <c r="H91" s="1">
        <f t="shared" si="47"/>
        <v>0</v>
      </c>
      <c r="I91" s="1">
        <f t="shared" si="47"/>
        <v>1.6133716240198769E-3</v>
      </c>
      <c r="J91" s="1">
        <f t="shared" si="47"/>
        <v>9.6802297441192606E-4</v>
      </c>
      <c r="K91" s="1">
        <f t="shared" si="47"/>
        <v>1.2906972992159013E-3</v>
      </c>
      <c r="L91" s="1">
        <f t="shared" si="47"/>
        <v>9.6802297441192606E-4</v>
      </c>
      <c r="M91" s="1">
        <f t="shared" si="47"/>
        <v>6.4534864960795067E-4</v>
      </c>
      <c r="N91" s="1">
        <f t="shared" si="47"/>
        <v>9.6802297441192606E-4</v>
      </c>
      <c r="O91" s="1">
        <f t="shared" si="47"/>
        <v>9.6802297441192606E-4</v>
      </c>
      <c r="P91" s="1">
        <f t="shared" si="47"/>
        <v>1.2906972992159013E-3</v>
      </c>
      <c r="Q91" s="1">
        <f t="shared" si="47"/>
        <v>9.6802297441192606E-4</v>
      </c>
      <c r="R91" s="1">
        <f t="shared" si="47"/>
        <v>6.4534864960795067E-4</v>
      </c>
      <c r="S91" s="1">
        <f t="shared" si="47"/>
        <v>9.6802297441192606E-4</v>
      </c>
      <c r="T91" s="1">
        <f t="shared" si="47"/>
        <v>6.4534864960795067E-4</v>
      </c>
      <c r="U91" s="1">
        <f t="shared" si="47"/>
        <v>1.6133716240198769E-3</v>
      </c>
      <c r="V91" s="1">
        <f t="shared" si="47"/>
        <v>0</v>
      </c>
      <c r="W91" s="1">
        <f t="shared" si="47"/>
        <v>1.6133716240198769E-3</v>
      </c>
      <c r="X91" s="1">
        <f t="shared" si="47"/>
        <v>0</v>
      </c>
      <c r="Y91" s="1">
        <f t="shared" si="47"/>
        <v>0</v>
      </c>
      <c r="Z91" s="1">
        <f t="shared" si="47"/>
        <v>0</v>
      </c>
      <c r="AA91" s="1">
        <f t="shared" si="47"/>
        <v>0</v>
      </c>
      <c r="AB91" s="1">
        <f t="shared" si="47"/>
        <v>0</v>
      </c>
      <c r="AC91" s="1">
        <f t="shared" si="47"/>
        <v>0</v>
      </c>
      <c r="AD91" s="1">
        <f t="shared" si="47"/>
        <v>0</v>
      </c>
      <c r="AE91" s="1"/>
      <c r="AF91" s="1"/>
    </row>
    <row r="92" spans="1:32" x14ac:dyDescent="0.2">
      <c r="A92" s="1" t="s">
        <v>28</v>
      </c>
      <c r="B92" s="1">
        <f t="shared" si="41"/>
        <v>6.3694267515923564E-4</v>
      </c>
      <c r="C92" s="1">
        <f t="shared" ref="C92:AD92" si="48">C73*$D14</f>
        <v>0</v>
      </c>
      <c r="D92" s="1">
        <f t="shared" si="48"/>
        <v>0</v>
      </c>
      <c r="E92" s="1">
        <f t="shared" si="48"/>
        <v>0</v>
      </c>
      <c r="F92" s="1">
        <f t="shared" si="48"/>
        <v>0</v>
      </c>
      <c r="G92" s="1">
        <f t="shared" si="48"/>
        <v>0</v>
      </c>
      <c r="H92" s="1">
        <f t="shared" si="48"/>
        <v>2.1231422505307856E-4</v>
      </c>
      <c r="I92" s="1">
        <f t="shared" si="48"/>
        <v>2.1231422505307856E-4</v>
      </c>
      <c r="J92" s="1">
        <f t="shared" si="48"/>
        <v>0</v>
      </c>
      <c r="K92" s="1">
        <f t="shared" si="48"/>
        <v>0</v>
      </c>
      <c r="L92" s="1">
        <f t="shared" si="48"/>
        <v>2.1231422505307856E-4</v>
      </c>
      <c r="M92" s="1">
        <f t="shared" si="48"/>
        <v>0</v>
      </c>
      <c r="N92" s="1">
        <f t="shared" si="48"/>
        <v>0</v>
      </c>
      <c r="O92" s="1">
        <f t="shared" si="48"/>
        <v>0</v>
      </c>
      <c r="P92" s="1">
        <f t="shared" si="48"/>
        <v>0</v>
      </c>
      <c r="Q92" s="1">
        <f t="shared" si="48"/>
        <v>2.1231422505307856E-4</v>
      </c>
      <c r="R92" s="1">
        <f t="shared" si="48"/>
        <v>0</v>
      </c>
      <c r="S92" s="1">
        <f t="shared" si="48"/>
        <v>0</v>
      </c>
      <c r="T92" s="1">
        <f t="shared" si="48"/>
        <v>0</v>
      </c>
      <c r="U92" s="1">
        <f t="shared" si="48"/>
        <v>0</v>
      </c>
      <c r="V92" s="1">
        <f t="shared" si="48"/>
        <v>2.1231422505307856E-4</v>
      </c>
      <c r="W92" s="1">
        <f t="shared" si="48"/>
        <v>0</v>
      </c>
      <c r="X92" s="1">
        <f t="shared" si="48"/>
        <v>0</v>
      </c>
      <c r="Y92" s="1">
        <f t="shared" si="48"/>
        <v>0</v>
      </c>
      <c r="Z92" s="1">
        <f t="shared" si="48"/>
        <v>0</v>
      </c>
      <c r="AA92" s="1">
        <f t="shared" si="48"/>
        <v>0</v>
      </c>
      <c r="AB92" s="1">
        <f t="shared" si="48"/>
        <v>0</v>
      </c>
      <c r="AC92" s="1">
        <f t="shared" si="48"/>
        <v>0</v>
      </c>
      <c r="AD92" s="1">
        <f t="shared" si="48"/>
        <v>0</v>
      </c>
      <c r="AE92" s="1"/>
      <c r="AF92" s="1"/>
    </row>
    <row r="93" spans="1:32" x14ac:dyDescent="0.2">
      <c r="A93" s="1" t="str">
        <f>A74</f>
        <v>Add El</v>
      </c>
      <c r="B93" s="1">
        <f t="shared" si="41"/>
        <v>0</v>
      </c>
      <c r="C93" s="1">
        <f t="shared" ref="C93:AD93" si="49">C74*$D15</f>
        <v>0</v>
      </c>
      <c r="D93" s="1">
        <f t="shared" si="49"/>
        <v>0</v>
      </c>
      <c r="E93" s="1">
        <f t="shared" si="49"/>
        <v>0</v>
      </c>
      <c r="F93" s="1">
        <f t="shared" si="49"/>
        <v>0</v>
      </c>
      <c r="G93" s="1">
        <f t="shared" si="49"/>
        <v>0</v>
      </c>
      <c r="H93" s="1">
        <f t="shared" si="49"/>
        <v>0</v>
      </c>
      <c r="I93" s="1">
        <f t="shared" si="49"/>
        <v>0</v>
      </c>
      <c r="J93" s="1">
        <f t="shared" si="49"/>
        <v>0</v>
      </c>
      <c r="K93" s="1">
        <f t="shared" si="49"/>
        <v>0</v>
      </c>
      <c r="L93" s="1">
        <f t="shared" si="49"/>
        <v>0</v>
      </c>
      <c r="M93" s="1">
        <f t="shared" si="49"/>
        <v>0</v>
      </c>
      <c r="N93" s="1">
        <f t="shared" si="49"/>
        <v>0</v>
      </c>
      <c r="O93" s="1">
        <f t="shared" si="49"/>
        <v>0</v>
      </c>
      <c r="P93" s="1">
        <f t="shared" si="49"/>
        <v>0</v>
      </c>
      <c r="Q93" s="1">
        <f t="shared" si="49"/>
        <v>0</v>
      </c>
      <c r="R93" s="1">
        <f t="shared" si="49"/>
        <v>0</v>
      </c>
      <c r="S93" s="1">
        <f t="shared" si="49"/>
        <v>0</v>
      </c>
      <c r="T93" s="1">
        <f t="shared" si="49"/>
        <v>0</v>
      </c>
      <c r="U93" s="1">
        <f t="shared" si="49"/>
        <v>0</v>
      </c>
      <c r="V93" s="1">
        <f t="shared" si="49"/>
        <v>0</v>
      </c>
      <c r="W93" s="1">
        <f t="shared" si="49"/>
        <v>0</v>
      </c>
      <c r="X93" s="1">
        <f t="shared" si="49"/>
        <v>0</v>
      </c>
      <c r="Y93" s="1">
        <f t="shared" si="49"/>
        <v>0</v>
      </c>
      <c r="Z93" s="1">
        <f t="shared" si="49"/>
        <v>0</v>
      </c>
      <c r="AA93" s="1">
        <f t="shared" si="49"/>
        <v>0</v>
      </c>
      <c r="AB93" s="1">
        <f t="shared" si="49"/>
        <v>0</v>
      </c>
      <c r="AC93" s="1">
        <f t="shared" si="49"/>
        <v>0</v>
      </c>
      <c r="AD93" s="1">
        <f t="shared" si="49"/>
        <v>0</v>
      </c>
      <c r="AE93" s="1"/>
      <c r="AF93" s="1"/>
    </row>
    <row r="94" spans="1:32" x14ac:dyDescent="0.2">
      <c r="A94" s="4" t="s">
        <v>59</v>
      </c>
      <c r="B94" s="1">
        <f>B75*$D17</f>
        <v>0</v>
      </c>
      <c r="C94" s="1">
        <f t="shared" ref="C94:AD94" si="50">C75*$D17</f>
        <v>0</v>
      </c>
      <c r="D94" s="1">
        <f t="shared" si="50"/>
        <v>0</v>
      </c>
      <c r="E94" s="1">
        <f t="shared" si="50"/>
        <v>0</v>
      </c>
      <c r="F94" s="1">
        <f t="shared" si="50"/>
        <v>0</v>
      </c>
      <c r="G94" s="1">
        <f t="shared" si="50"/>
        <v>0</v>
      </c>
      <c r="H94" s="1">
        <f t="shared" si="50"/>
        <v>0</v>
      </c>
      <c r="I94" s="1">
        <f t="shared" si="50"/>
        <v>0</v>
      </c>
      <c r="J94" s="1">
        <f t="shared" si="50"/>
        <v>0</v>
      </c>
      <c r="K94" s="1">
        <f t="shared" si="50"/>
        <v>0</v>
      </c>
      <c r="L94" s="1">
        <f t="shared" si="50"/>
        <v>0</v>
      </c>
      <c r="M94" s="1">
        <f t="shared" si="50"/>
        <v>0</v>
      </c>
      <c r="N94" s="1">
        <f t="shared" si="50"/>
        <v>0</v>
      </c>
      <c r="O94" s="1">
        <f t="shared" si="50"/>
        <v>0</v>
      </c>
      <c r="P94" s="1">
        <f t="shared" si="50"/>
        <v>0</v>
      </c>
      <c r="Q94" s="1">
        <f t="shared" si="50"/>
        <v>0</v>
      </c>
      <c r="R94" s="1">
        <f t="shared" si="50"/>
        <v>0</v>
      </c>
      <c r="S94" s="1">
        <f t="shared" si="50"/>
        <v>0</v>
      </c>
      <c r="T94" s="1">
        <f t="shared" si="50"/>
        <v>0</v>
      </c>
      <c r="U94" s="1">
        <f t="shared" si="50"/>
        <v>0</v>
      </c>
      <c r="V94" s="1">
        <f t="shared" si="50"/>
        <v>0</v>
      </c>
      <c r="W94" s="1">
        <f t="shared" si="50"/>
        <v>0</v>
      </c>
      <c r="X94" s="1" t="e">
        <f t="shared" si="50"/>
        <v>#DIV/0!</v>
      </c>
      <c r="Y94" s="1" t="e">
        <f t="shared" si="50"/>
        <v>#DIV/0!</v>
      </c>
      <c r="Z94" s="1" t="e">
        <f t="shared" si="50"/>
        <v>#DIV/0!</v>
      </c>
      <c r="AA94" s="1" t="e">
        <f t="shared" si="50"/>
        <v>#DIV/0!</v>
      </c>
      <c r="AB94" s="1" t="e">
        <f t="shared" si="50"/>
        <v>#DIV/0!</v>
      </c>
      <c r="AC94" s="1" t="e">
        <f t="shared" si="50"/>
        <v>#DIV/0!</v>
      </c>
      <c r="AD94" s="1" t="e">
        <f t="shared" si="50"/>
        <v>#DIV/0!</v>
      </c>
      <c r="AE94" s="1"/>
      <c r="AF94" s="1"/>
    </row>
    <row r="95" spans="1:32" x14ac:dyDescent="0.2">
      <c r="A95" s="4" t="s">
        <v>57</v>
      </c>
      <c r="B95" s="1">
        <f>B76*$D18</f>
        <v>0</v>
      </c>
      <c r="C95" s="1">
        <f t="shared" ref="C95:AD95" si="51">C76*$D18</f>
        <v>0</v>
      </c>
      <c r="D95" s="1">
        <f t="shared" si="51"/>
        <v>0</v>
      </c>
      <c r="E95" s="1">
        <f t="shared" si="51"/>
        <v>0</v>
      </c>
      <c r="F95" s="1">
        <f t="shared" si="51"/>
        <v>0</v>
      </c>
      <c r="G95" s="1">
        <f t="shared" si="51"/>
        <v>0</v>
      </c>
      <c r="H95" s="1">
        <f t="shared" si="51"/>
        <v>0</v>
      </c>
      <c r="I95" s="1">
        <f t="shared" si="51"/>
        <v>0</v>
      </c>
      <c r="J95" s="1">
        <f t="shared" si="51"/>
        <v>0</v>
      </c>
      <c r="K95" s="1">
        <f t="shared" si="51"/>
        <v>0</v>
      </c>
      <c r="L95" s="1">
        <f t="shared" si="51"/>
        <v>0</v>
      </c>
      <c r="M95" s="1">
        <f t="shared" si="51"/>
        <v>0</v>
      </c>
      <c r="N95" s="1">
        <f t="shared" si="51"/>
        <v>0</v>
      </c>
      <c r="O95" s="1">
        <f t="shared" si="51"/>
        <v>0</v>
      </c>
      <c r="P95" s="1">
        <f t="shared" si="51"/>
        <v>0</v>
      </c>
      <c r="Q95" s="1">
        <f t="shared" si="51"/>
        <v>0</v>
      </c>
      <c r="R95" s="1">
        <f t="shared" si="51"/>
        <v>0</v>
      </c>
      <c r="S95" s="1">
        <f t="shared" si="51"/>
        <v>0</v>
      </c>
      <c r="T95" s="1">
        <f t="shared" si="51"/>
        <v>0</v>
      </c>
      <c r="U95" s="1">
        <f t="shared" si="51"/>
        <v>0</v>
      </c>
      <c r="V95" s="1">
        <f t="shared" si="51"/>
        <v>0</v>
      </c>
      <c r="W95" s="1">
        <f t="shared" si="51"/>
        <v>0</v>
      </c>
      <c r="X95" s="1" t="e">
        <f t="shared" si="51"/>
        <v>#DIV/0!</v>
      </c>
      <c r="Y95" s="1" t="e">
        <f t="shared" si="51"/>
        <v>#DIV/0!</v>
      </c>
      <c r="Z95" s="1" t="e">
        <f t="shared" si="51"/>
        <v>#DIV/0!</v>
      </c>
      <c r="AA95" s="1" t="e">
        <f t="shared" si="51"/>
        <v>#DIV/0!</v>
      </c>
      <c r="AB95" s="1" t="e">
        <f t="shared" si="51"/>
        <v>#DIV/0!</v>
      </c>
      <c r="AC95" s="1" t="e">
        <f t="shared" si="51"/>
        <v>#DIV/0!</v>
      </c>
      <c r="AD95" s="1" t="e">
        <f t="shared" si="51"/>
        <v>#DIV/0!</v>
      </c>
      <c r="AE95" s="1"/>
      <c r="AF95" s="1"/>
    </row>
    <row r="96" spans="1:32" x14ac:dyDescent="0.2">
      <c r="A96" s="4" t="s">
        <v>58</v>
      </c>
      <c r="B96" s="1">
        <f>B77*$D19</f>
        <v>0</v>
      </c>
      <c r="C96" s="1">
        <f t="shared" ref="C96:AD96" si="52">C77*$D19</f>
        <v>0</v>
      </c>
      <c r="D96" s="1">
        <f t="shared" si="52"/>
        <v>0</v>
      </c>
      <c r="E96" s="1">
        <f t="shared" si="52"/>
        <v>0</v>
      </c>
      <c r="F96" s="1">
        <f t="shared" si="52"/>
        <v>0</v>
      </c>
      <c r="G96" s="1">
        <f t="shared" si="52"/>
        <v>0</v>
      </c>
      <c r="H96" s="1">
        <f t="shared" si="52"/>
        <v>0</v>
      </c>
      <c r="I96" s="1">
        <f t="shared" si="52"/>
        <v>0</v>
      </c>
      <c r="J96" s="1">
        <f t="shared" si="52"/>
        <v>0</v>
      </c>
      <c r="K96" s="1">
        <f t="shared" si="52"/>
        <v>0</v>
      </c>
      <c r="L96" s="1">
        <f t="shared" si="52"/>
        <v>0</v>
      </c>
      <c r="M96" s="1">
        <f t="shared" si="52"/>
        <v>0</v>
      </c>
      <c r="N96" s="1">
        <f t="shared" si="52"/>
        <v>0</v>
      </c>
      <c r="O96" s="1">
        <f t="shared" si="52"/>
        <v>0</v>
      </c>
      <c r="P96" s="1">
        <f t="shared" si="52"/>
        <v>0</v>
      </c>
      <c r="Q96" s="1">
        <f t="shared" si="52"/>
        <v>0</v>
      </c>
      <c r="R96" s="1">
        <f t="shared" si="52"/>
        <v>0</v>
      </c>
      <c r="S96" s="1">
        <f t="shared" si="52"/>
        <v>0</v>
      </c>
      <c r="T96" s="1">
        <f t="shared" si="52"/>
        <v>0</v>
      </c>
      <c r="U96" s="1">
        <f t="shared" si="52"/>
        <v>0</v>
      </c>
      <c r="V96" s="1">
        <f t="shared" si="52"/>
        <v>0</v>
      </c>
      <c r="W96" s="1">
        <f t="shared" si="52"/>
        <v>0</v>
      </c>
      <c r="X96" s="1" t="e">
        <f t="shared" si="52"/>
        <v>#DIV/0!</v>
      </c>
      <c r="Y96" s="1" t="e">
        <f t="shared" si="52"/>
        <v>#DIV/0!</v>
      </c>
      <c r="Z96" s="1" t="e">
        <f t="shared" si="52"/>
        <v>#DIV/0!</v>
      </c>
      <c r="AA96" s="1" t="e">
        <f t="shared" si="52"/>
        <v>#DIV/0!</v>
      </c>
      <c r="AB96" s="1" t="e">
        <f t="shared" si="52"/>
        <v>#DIV/0!</v>
      </c>
      <c r="AC96" s="1" t="e">
        <f t="shared" si="52"/>
        <v>#DIV/0!</v>
      </c>
      <c r="AD96" s="1" t="e">
        <f t="shared" si="52"/>
        <v>#DIV/0!</v>
      </c>
      <c r="AE96" s="1"/>
      <c r="AF96" s="1"/>
    </row>
    <row r="97" spans="1:32" x14ac:dyDescent="0.2">
      <c r="A97" s="1" t="s">
        <v>17</v>
      </c>
      <c r="B97" s="1">
        <f>SUM(B81:B93)</f>
        <v>4.9364059453895797</v>
      </c>
      <c r="C97" s="1">
        <f t="shared" ref="C97:AD97" si="53">SUM(C81:C93)</f>
        <v>5.0370448354023143</v>
      </c>
      <c r="D97" s="1">
        <f t="shared" si="53"/>
        <v>4.9595448940611648</v>
      </c>
      <c r="E97" s="1">
        <f t="shared" si="53"/>
        <v>5.020090534577343</v>
      </c>
      <c r="F97" s="1">
        <f t="shared" si="53"/>
        <v>4.9144939372231304</v>
      </c>
      <c r="G97" s="1">
        <f t="shared" si="53"/>
        <v>5.0313856756684743</v>
      </c>
      <c r="H97" s="1">
        <f t="shared" si="53"/>
        <v>4.9528365277290538</v>
      </c>
      <c r="I97" s="1">
        <f t="shared" si="53"/>
        <v>4.9511837134352961</v>
      </c>
      <c r="J97" s="1">
        <f t="shared" si="53"/>
        <v>4.9830095935820644</v>
      </c>
      <c r="K97" s="1">
        <f t="shared" si="53"/>
        <v>5.0042054878043851</v>
      </c>
      <c r="L97" s="1">
        <f t="shared" si="53"/>
        <v>4.967127042351323</v>
      </c>
      <c r="M97" s="1">
        <f t="shared" si="53"/>
        <v>4.9789319768521176</v>
      </c>
      <c r="N97" s="1">
        <f t="shared" si="53"/>
        <v>4.9275112322540711</v>
      </c>
      <c r="O97" s="1">
        <f t="shared" si="53"/>
        <v>4.9830095935820644</v>
      </c>
      <c r="P97" s="1">
        <f t="shared" si="53"/>
        <v>5.0042054878043851</v>
      </c>
      <c r="Q97" s="1">
        <f t="shared" si="53"/>
        <v>4.967127042351323</v>
      </c>
      <c r="R97" s="1">
        <f t="shared" si="53"/>
        <v>4.9789319768521176</v>
      </c>
      <c r="S97" s="1">
        <f t="shared" si="53"/>
        <v>4.9275112322540711</v>
      </c>
      <c r="T97" s="1">
        <f t="shared" si="53"/>
        <v>4.9482925063688592</v>
      </c>
      <c r="U97" s="1">
        <f t="shared" si="53"/>
        <v>4.9299490215305966</v>
      </c>
      <c r="V97" s="1">
        <f t="shared" si="53"/>
        <v>4.9711614448502663</v>
      </c>
      <c r="W97" s="1">
        <f t="shared" si="53"/>
        <v>5.0006461206100266</v>
      </c>
      <c r="X97" s="1">
        <f t="shared" si="53"/>
        <v>0</v>
      </c>
      <c r="Y97" s="1">
        <f t="shared" si="53"/>
        <v>0</v>
      </c>
      <c r="Z97" s="1">
        <f t="shared" si="53"/>
        <v>0</v>
      </c>
      <c r="AA97" s="1">
        <f t="shared" si="53"/>
        <v>0</v>
      </c>
      <c r="AB97" s="1">
        <f t="shared" si="53"/>
        <v>0</v>
      </c>
      <c r="AC97" s="1">
        <f t="shared" si="53"/>
        <v>0</v>
      </c>
      <c r="AD97" s="1">
        <f t="shared" si="53"/>
        <v>0</v>
      </c>
      <c r="AE97" s="1"/>
      <c r="AF97" s="1"/>
    </row>
    <row r="98" spans="1:32" x14ac:dyDescent="0.2">
      <c r="AC98" s="1"/>
      <c r="AD98" s="1"/>
      <c r="AE98" s="1"/>
      <c r="AF98" s="1"/>
    </row>
    <row r="99" spans="1:32" x14ac:dyDescent="0.2">
      <c r="A99" s="1" t="s">
        <v>97</v>
      </c>
      <c r="B99" s="1">
        <f>$J$102/B97</f>
        <v>4.8618367827741373</v>
      </c>
      <c r="C99" s="1">
        <f t="shared" ref="C99:AD99" si="54">$J$102/C97</f>
        <v>4.7646985056235049</v>
      </c>
      <c r="D99" s="1">
        <f t="shared" si="54"/>
        <v>4.8391536950777354</v>
      </c>
      <c r="E99" s="1">
        <f t="shared" si="54"/>
        <v>4.7807902735404824</v>
      </c>
      <c r="F99" s="1">
        <f t="shared" si="54"/>
        <v>4.8835140111213322</v>
      </c>
      <c r="G99" s="1">
        <f t="shared" si="54"/>
        <v>4.7700577032014824</v>
      </c>
      <c r="H99" s="1">
        <f t="shared" si="54"/>
        <v>4.8457080837683817</v>
      </c>
      <c r="I99" s="1">
        <f t="shared" si="54"/>
        <v>4.8473256879712912</v>
      </c>
      <c r="J99" s="1">
        <f>$J$102/J97</f>
        <v>4.8163664045341452</v>
      </c>
      <c r="K99" s="1">
        <f t="shared" si="54"/>
        <v>4.7959661245905583</v>
      </c>
      <c r="L99" s="1">
        <f t="shared" si="54"/>
        <v>4.8317668936929294</v>
      </c>
      <c r="M99" s="1">
        <f t="shared" si="54"/>
        <v>4.820310884257907</v>
      </c>
      <c r="N99" s="1">
        <f t="shared" si="54"/>
        <v>4.870612946126414</v>
      </c>
      <c r="O99" s="1">
        <f t="shared" si="54"/>
        <v>4.8163664045341452</v>
      </c>
      <c r="P99" s="1">
        <f t="shared" si="54"/>
        <v>4.7959661245905583</v>
      </c>
      <c r="Q99" s="1">
        <f t="shared" si="54"/>
        <v>4.8317668936929294</v>
      </c>
      <c r="R99" s="1">
        <f t="shared" si="54"/>
        <v>4.820310884257907</v>
      </c>
      <c r="S99" s="1">
        <f t="shared" si="54"/>
        <v>4.870612946126414</v>
      </c>
      <c r="T99" s="1">
        <f t="shared" si="54"/>
        <v>4.8501579017630885</v>
      </c>
      <c r="U99" s="1">
        <f t="shared" si="54"/>
        <v>4.8682044976904733</v>
      </c>
      <c r="V99" s="1">
        <f t="shared" si="54"/>
        <v>4.8278456184242655</v>
      </c>
      <c r="W99" s="1">
        <f t="shared" si="54"/>
        <v>4.7993798043586118</v>
      </c>
      <c r="X99" s="1" t="e">
        <f t="shared" si="54"/>
        <v>#DIV/0!</v>
      </c>
      <c r="Y99" s="1" t="e">
        <f t="shared" si="54"/>
        <v>#DIV/0!</v>
      </c>
      <c r="Z99" s="1" t="e">
        <f t="shared" si="54"/>
        <v>#DIV/0!</v>
      </c>
      <c r="AA99" s="1" t="e">
        <f t="shared" si="54"/>
        <v>#DIV/0!</v>
      </c>
      <c r="AB99" s="1" t="e">
        <f t="shared" si="54"/>
        <v>#DIV/0!</v>
      </c>
      <c r="AC99" s="1" t="e">
        <f t="shared" si="54"/>
        <v>#DIV/0!</v>
      </c>
      <c r="AD99" s="1" t="e">
        <f t="shared" si="54"/>
        <v>#DIV/0!</v>
      </c>
      <c r="AE99" s="1"/>
      <c r="AF99" s="1"/>
    </row>
    <row r="100" spans="1:32" x14ac:dyDescent="0.2">
      <c r="AC100" s="1"/>
      <c r="AD100" s="1"/>
      <c r="AE100" s="1"/>
      <c r="AF100" s="1"/>
    </row>
    <row r="101" spans="1:32" s="33" customFormat="1" x14ac:dyDescent="0.2">
      <c r="A101" s="32" t="s">
        <v>93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s="40" customFormat="1" x14ac:dyDescent="0.2">
      <c r="A102" s="38" t="s">
        <v>94</v>
      </c>
      <c r="B102" s="39" t="s">
        <v>1</v>
      </c>
      <c r="C102" s="39">
        <f>Input!B21</f>
        <v>12</v>
      </c>
      <c r="D102" s="39" t="s">
        <v>90</v>
      </c>
      <c r="E102" s="39">
        <f>G4</f>
        <v>0</v>
      </c>
      <c r="F102" s="39" t="s">
        <v>2</v>
      </c>
      <c r="G102" s="39">
        <f>G5</f>
        <v>0</v>
      </c>
      <c r="H102" s="39" t="s">
        <v>95</v>
      </c>
      <c r="I102" s="39" t="s">
        <v>96</v>
      </c>
      <c r="J102" s="39">
        <f>C102*2-G102</f>
        <v>24</v>
      </c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1:32" s="35" customFormat="1" x14ac:dyDescent="0.2">
      <c r="A103" s="34" t="s">
        <v>18</v>
      </c>
      <c r="B103" s="19">
        <f t="shared" ref="B103:B115" si="55">B62*B$99</f>
        <v>2.9828113151307374</v>
      </c>
      <c r="C103" s="19">
        <f t="shared" ref="C103:AD103" si="56">C62*C$99</f>
        <v>2.978729625020287</v>
      </c>
      <c r="D103" s="19">
        <f t="shared" si="56"/>
        <v>2.9986966056548616</v>
      </c>
      <c r="E103" s="19">
        <f t="shared" si="56"/>
        <v>2.9959512949200926</v>
      </c>
      <c r="F103" s="19">
        <f t="shared" si="56"/>
        <v>2.9879822744477389</v>
      </c>
      <c r="G103" s="19">
        <f t="shared" si="56"/>
        <v>2.9908134766910761</v>
      </c>
      <c r="H103" s="19">
        <f t="shared" si="56"/>
        <v>2.9704964834419023</v>
      </c>
      <c r="I103" s="19">
        <f t="shared" si="56"/>
        <v>2.994078832899711</v>
      </c>
      <c r="J103" s="19">
        <f>J62*J$99</f>
        <v>2.9813692840317056</v>
      </c>
      <c r="K103" s="19">
        <f t="shared" si="56"/>
        <v>2.990294457842249</v>
      </c>
      <c r="L103" s="19">
        <f t="shared" si="56"/>
        <v>2.9917065320468872</v>
      </c>
      <c r="M103" s="19">
        <f t="shared" si="56"/>
        <v>2.996647994790826</v>
      </c>
      <c r="N103" s="19">
        <f t="shared" si="56"/>
        <v>2.9865742499217229</v>
      </c>
      <c r="O103" s="19">
        <f t="shared" si="56"/>
        <v>2.9813692840317056</v>
      </c>
      <c r="P103" s="19">
        <f t="shared" si="56"/>
        <v>2.990294457842249</v>
      </c>
      <c r="Q103" s="19">
        <f t="shared" si="56"/>
        <v>2.9917065320468872</v>
      </c>
      <c r="R103" s="19">
        <f t="shared" si="56"/>
        <v>2.996647994790826</v>
      </c>
      <c r="S103" s="19">
        <f t="shared" si="56"/>
        <v>2.9865742499217229</v>
      </c>
      <c r="T103" s="19">
        <f t="shared" si="56"/>
        <v>2.9942136580624661</v>
      </c>
      <c r="U103" s="19">
        <f t="shared" si="56"/>
        <v>2.990769440908045</v>
      </c>
      <c r="V103" s="19">
        <f t="shared" si="56"/>
        <v>2.9916892871826795</v>
      </c>
      <c r="W103" s="19">
        <f t="shared" si="56"/>
        <v>3.0060030299270073</v>
      </c>
      <c r="X103" s="19" t="e">
        <f t="shared" si="56"/>
        <v>#DIV/0!</v>
      </c>
      <c r="Y103" s="19" t="e">
        <f t="shared" si="56"/>
        <v>#DIV/0!</v>
      </c>
      <c r="Z103" s="19" t="e">
        <f t="shared" si="56"/>
        <v>#DIV/0!</v>
      </c>
      <c r="AA103" s="19" t="e">
        <f t="shared" si="56"/>
        <v>#DIV/0!</v>
      </c>
      <c r="AB103" s="19" t="e">
        <f t="shared" si="56"/>
        <v>#DIV/0!</v>
      </c>
      <c r="AC103" s="19" t="e">
        <f t="shared" si="56"/>
        <v>#DIV/0!</v>
      </c>
      <c r="AD103" s="19" t="e">
        <f t="shared" si="56"/>
        <v>#DIV/0!</v>
      </c>
      <c r="AE103" s="19"/>
      <c r="AF103" s="19"/>
    </row>
    <row r="104" spans="1:32" s="35" customFormat="1" x14ac:dyDescent="0.2">
      <c r="A104" s="34" t="s">
        <v>19</v>
      </c>
      <c r="B104" s="19">
        <f t="shared" si="55"/>
        <v>1.7037725897080833E-2</v>
      </c>
      <c r="C104" s="19">
        <f t="shared" ref="C104:AD104" si="57">C63*C$99</f>
        <v>3.5779963746859862E-3</v>
      </c>
      <c r="D104" s="19">
        <f t="shared" si="57"/>
        <v>1.3324328071553213E-2</v>
      </c>
      <c r="E104" s="19">
        <f t="shared" si="57"/>
        <v>4.188427023126831E-3</v>
      </c>
      <c r="F104" s="19">
        <f t="shared" si="57"/>
        <v>1.8947300919244216E-2</v>
      </c>
      <c r="G104" s="19">
        <f t="shared" si="57"/>
        <v>7.761045074044964E-3</v>
      </c>
      <c r="H104" s="19">
        <f t="shared" si="57"/>
        <v>6.6711875996811262E-3</v>
      </c>
      <c r="I104" s="19">
        <f t="shared" si="57"/>
        <v>3.6400443213801936E-3</v>
      </c>
      <c r="J104" s="19">
        <f t="shared" si="57"/>
        <v>4.8223943975310591E-3</v>
      </c>
      <c r="K104" s="19">
        <f t="shared" si="57"/>
        <v>6.6027068048180402E-3</v>
      </c>
      <c r="L104" s="19">
        <f t="shared" si="57"/>
        <v>3.6283606210460043E-3</v>
      </c>
      <c r="M104" s="19">
        <f t="shared" si="57"/>
        <v>3.6197578605190787E-3</v>
      </c>
      <c r="N104" s="19">
        <f t="shared" si="57"/>
        <v>3.3527373221145532E-2</v>
      </c>
      <c r="O104" s="19">
        <f t="shared" si="57"/>
        <v>4.8223943975310591E-3</v>
      </c>
      <c r="P104" s="19">
        <f t="shared" si="57"/>
        <v>6.6027068048180402E-3</v>
      </c>
      <c r="Q104" s="19">
        <f t="shared" si="57"/>
        <v>3.6283606210460043E-3</v>
      </c>
      <c r="R104" s="19">
        <f t="shared" si="57"/>
        <v>3.6197578605190787E-3</v>
      </c>
      <c r="S104" s="19">
        <f t="shared" si="57"/>
        <v>3.3527373221145532E-2</v>
      </c>
      <c r="T104" s="19">
        <f t="shared" si="57"/>
        <v>1.2140570467492087E-2</v>
      </c>
      <c r="U104" s="19">
        <f t="shared" si="57"/>
        <v>5.4835845405775034E-3</v>
      </c>
      <c r="V104" s="19">
        <f t="shared" si="57"/>
        <v>3.323297985148118E-2</v>
      </c>
      <c r="W104" s="19">
        <f t="shared" si="57"/>
        <v>3.0033665859565783E-3</v>
      </c>
      <c r="X104" s="19" t="e">
        <f t="shared" si="57"/>
        <v>#DIV/0!</v>
      </c>
      <c r="Y104" s="19" t="e">
        <f t="shared" si="57"/>
        <v>#DIV/0!</v>
      </c>
      <c r="Z104" s="19" t="e">
        <f t="shared" si="57"/>
        <v>#DIV/0!</v>
      </c>
      <c r="AA104" s="19" t="e">
        <f t="shared" si="57"/>
        <v>#DIV/0!</v>
      </c>
      <c r="AB104" s="19" t="e">
        <f t="shared" si="57"/>
        <v>#DIV/0!</v>
      </c>
      <c r="AC104" s="19" t="e">
        <f t="shared" si="57"/>
        <v>#DIV/0!</v>
      </c>
      <c r="AD104" s="19" t="e">
        <f t="shared" si="57"/>
        <v>#DIV/0!</v>
      </c>
      <c r="AE104" s="19"/>
      <c r="AF104" s="19"/>
    </row>
    <row r="105" spans="1:32" s="35" customFormat="1" x14ac:dyDescent="0.2">
      <c r="A105" s="34" t="s">
        <v>20</v>
      </c>
      <c r="B105" s="19">
        <f t="shared" si="55"/>
        <v>0</v>
      </c>
      <c r="C105" s="19">
        <f t="shared" ref="C105:AD105" si="58">C64*C$99</f>
        <v>6.2697196220080486E-4</v>
      </c>
      <c r="D105" s="19">
        <f t="shared" si="58"/>
        <v>6.3676929065150463E-4</v>
      </c>
      <c r="E105" s="19">
        <f t="shared" si="58"/>
        <v>0</v>
      </c>
      <c r="F105" s="19">
        <f t="shared" si="58"/>
        <v>0</v>
      </c>
      <c r="G105" s="19">
        <f t="shared" si="58"/>
        <v>6.2767716246002817E-4</v>
      </c>
      <c r="H105" s="19">
        <f t="shared" si="58"/>
        <v>0</v>
      </c>
      <c r="I105" s="19">
        <f t="shared" si="58"/>
        <v>0</v>
      </c>
      <c r="J105" s="19">
        <f t="shared" si="58"/>
        <v>1.2675415629193729E-3</v>
      </c>
      <c r="K105" s="19">
        <f t="shared" si="58"/>
        <v>1.262172743242501E-3</v>
      </c>
      <c r="L105" s="19">
        <f t="shared" si="58"/>
        <v>0</v>
      </c>
      <c r="M105" s="19">
        <f t="shared" si="58"/>
        <v>0</v>
      </c>
      <c r="N105" s="19">
        <f t="shared" si="58"/>
        <v>6.4090891634578065E-4</v>
      </c>
      <c r="O105" s="19">
        <f t="shared" si="58"/>
        <v>1.2675415629193729E-3</v>
      </c>
      <c r="P105" s="19">
        <f t="shared" si="58"/>
        <v>1.262172743242501E-3</v>
      </c>
      <c r="Q105" s="19">
        <f t="shared" si="58"/>
        <v>0</v>
      </c>
      <c r="R105" s="19">
        <f t="shared" si="58"/>
        <v>0</v>
      </c>
      <c r="S105" s="19">
        <f t="shared" si="58"/>
        <v>6.4090891634578065E-4</v>
      </c>
      <c r="T105" s="19">
        <f t="shared" si="58"/>
        <v>0</v>
      </c>
      <c r="U105" s="19">
        <f t="shared" si="58"/>
        <v>1.9217759881613122E-3</v>
      </c>
      <c r="V105" s="19">
        <f t="shared" si="58"/>
        <v>0</v>
      </c>
      <c r="W105" s="19">
        <f t="shared" si="58"/>
        <v>1.894606701599812E-3</v>
      </c>
      <c r="X105" s="19" t="e">
        <f t="shared" si="58"/>
        <v>#DIV/0!</v>
      </c>
      <c r="Y105" s="19" t="e">
        <f t="shared" si="58"/>
        <v>#DIV/0!</v>
      </c>
      <c r="Z105" s="19" t="e">
        <f t="shared" si="58"/>
        <v>#DIV/0!</v>
      </c>
      <c r="AA105" s="19" t="e">
        <f t="shared" si="58"/>
        <v>#DIV/0!</v>
      </c>
      <c r="AB105" s="19" t="e">
        <f t="shared" si="58"/>
        <v>#DIV/0!</v>
      </c>
      <c r="AC105" s="19" t="e">
        <f t="shared" si="58"/>
        <v>#DIV/0!</v>
      </c>
      <c r="AD105" s="19" t="e">
        <f t="shared" si="58"/>
        <v>#DIV/0!</v>
      </c>
      <c r="AE105" s="19"/>
      <c r="AF105" s="19"/>
    </row>
    <row r="106" spans="1:32" s="35" customFormat="1" x14ac:dyDescent="0.2">
      <c r="A106" s="34" t="s">
        <v>21</v>
      </c>
      <c r="B106" s="19">
        <f t="shared" si="55"/>
        <v>1.9258482370847525</v>
      </c>
      <c r="C106" s="19">
        <f t="shared" ref="C106:AD106" si="59">C65*C$99</f>
        <v>1.9743070912059728</v>
      </c>
      <c r="D106" s="19">
        <f t="shared" si="59"/>
        <v>1.9159137054476887</v>
      </c>
      <c r="E106" s="19">
        <f t="shared" si="59"/>
        <v>1.9678434361169181</v>
      </c>
      <c r="F106" s="19">
        <f t="shared" si="59"/>
        <v>1.9162307283191415</v>
      </c>
      <c r="G106" s="19">
        <f t="shared" si="59"/>
        <v>1.9746560238876061</v>
      </c>
      <c r="H106" s="19">
        <f t="shared" si="59"/>
        <v>1.9508324480856818</v>
      </c>
      <c r="I106" s="19">
        <f t="shared" si="59"/>
        <v>1.9419735245904215</v>
      </c>
      <c r="J106" s="19">
        <f t="shared" si="59"/>
        <v>1.9654781482109127</v>
      </c>
      <c r="K106" s="19">
        <f t="shared" si="59"/>
        <v>1.9590350149887272</v>
      </c>
      <c r="L106" s="19">
        <f t="shared" si="59"/>
        <v>1.9442719048389641</v>
      </c>
      <c r="M106" s="19">
        <f t="shared" si="59"/>
        <v>1.969924969964532</v>
      </c>
      <c r="N106" s="19">
        <f t="shared" si="59"/>
        <v>1.8586113753611682</v>
      </c>
      <c r="O106" s="19">
        <f t="shared" si="59"/>
        <v>1.9654781482109127</v>
      </c>
      <c r="P106" s="19">
        <f t="shared" si="59"/>
        <v>1.9590350149887272</v>
      </c>
      <c r="Q106" s="19">
        <f t="shared" si="59"/>
        <v>1.9442719048389641</v>
      </c>
      <c r="R106" s="19">
        <f t="shared" si="59"/>
        <v>1.969924969964532</v>
      </c>
      <c r="S106" s="19">
        <f t="shared" si="59"/>
        <v>1.8586113753611682</v>
      </c>
      <c r="T106" s="19">
        <f t="shared" si="59"/>
        <v>1.9050453441886801</v>
      </c>
      <c r="U106" s="19">
        <f t="shared" si="59"/>
        <v>1.9293256985157456</v>
      </c>
      <c r="V106" s="19">
        <f t="shared" si="59"/>
        <v>1.8962815240504962</v>
      </c>
      <c r="W106" s="19">
        <f t="shared" si="59"/>
        <v>1.9434804622711741</v>
      </c>
      <c r="X106" s="19" t="e">
        <f t="shared" si="59"/>
        <v>#DIV/0!</v>
      </c>
      <c r="Y106" s="19" t="e">
        <f t="shared" si="59"/>
        <v>#DIV/0!</v>
      </c>
      <c r="Z106" s="19" t="e">
        <f t="shared" si="59"/>
        <v>#DIV/0!</v>
      </c>
      <c r="AA106" s="19" t="e">
        <f t="shared" si="59"/>
        <v>#DIV/0!</v>
      </c>
      <c r="AB106" s="19" t="e">
        <f t="shared" si="59"/>
        <v>#DIV/0!</v>
      </c>
      <c r="AC106" s="19" t="e">
        <f t="shared" si="59"/>
        <v>#DIV/0!</v>
      </c>
      <c r="AD106" s="19" t="e">
        <f t="shared" si="59"/>
        <v>#DIV/0!</v>
      </c>
      <c r="AE106" s="19"/>
      <c r="AF106" s="19"/>
    </row>
    <row r="107" spans="1:32" s="35" customFormat="1" x14ac:dyDescent="0.2">
      <c r="A107" s="34" t="s">
        <v>31</v>
      </c>
      <c r="B107" s="19">
        <f t="shared" si="55"/>
        <v>0</v>
      </c>
      <c r="C107" s="19">
        <f t="shared" ref="C107:AD107" si="60">C66*C$99</f>
        <v>0</v>
      </c>
      <c r="D107" s="19">
        <f t="shared" si="60"/>
        <v>0</v>
      </c>
      <c r="E107" s="19">
        <f t="shared" si="60"/>
        <v>0</v>
      </c>
      <c r="F107" s="19">
        <f t="shared" si="60"/>
        <v>0</v>
      </c>
      <c r="G107" s="19">
        <f t="shared" si="60"/>
        <v>0</v>
      </c>
      <c r="H107" s="19">
        <f t="shared" si="60"/>
        <v>0</v>
      </c>
      <c r="I107" s="19">
        <f t="shared" si="60"/>
        <v>0</v>
      </c>
      <c r="J107" s="19">
        <f t="shared" si="60"/>
        <v>0</v>
      </c>
      <c r="K107" s="19">
        <f t="shared" si="60"/>
        <v>0</v>
      </c>
      <c r="L107" s="19">
        <f t="shared" si="60"/>
        <v>0</v>
      </c>
      <c r="M107" s="19">
        <f t="shared" si="60"/>
        <v>0</v>
      </c>
      <c r="N107" s="19">
        <f t="shared" si="60"/>
        <v>0</v>
      </c>
      <c r="O107" s="19">
        <f t="shared" si="60"/>
        <v>0</v>
      </c>
      <c r="P107" s="19">
        <f t="shared" si="60"/>
        <v>0</v>
      </c>
      <c r="Q107" s="19">
        <f t="shared" si="60"/>
        <v>0</v>
      </c>
      <c r="R107" s="19">
        <f t="shared" si="60"/>
        <v>0</v>
      </c>
      <c r="S107" s="19">
        <f t="shared" si="60"/>
        <v>0</v>
      </c>
      <c r="T107" s="19">
        <f t="shared" si="60"/>
        <v>0</v>
      </c>
      <c r="U107" s="19">
        <f t="shared" si="60"/>
        <v>0</v>
      </c>
      <c r="V107" s="19">
        <f t="shared" si="60"/>
        <v>0</v>
      </c>
      <c r="W107" s="19">
        <f t="shared" si="60"/>
        <v>0</v>
      </c>
      <c r="X107" s="19" t="e">
        <f t="shared" si="60"/>
        <v>#DIV/0!</v>
      </c>
      <c r="Y107" s="19" t="e">
        <f t="shared" si="60"/>
        <v>#DIV/0!</v>
      </c>
      <c r="Z107" s="19" t="e">
        <f t="shared" si="60"/>
        <v>#DIV/0!</v>
      </c>
      <c r="AA107" s="19" t="e">
        <f t="shared" si="60"/>
        <v>#DIV/0!</v>
      </c>
      <c r="AB107" s="19" t="e">
        <f t="shared" si="60"/>
        <v>#DIV/0!</v>
      </c>
      <c r="AC107" s="19" t="e">
        <f t="shared" si="60"/>
        <v>#DIV/0!</v>
      </c>
      <c r="AD107" s="19" t="e">
        <f t="shared" si="60"/>
        <v>#DIV/0!</v>
      </c>
      <c r="AE107" s="19"/>
      <c r="AF107" s="19"/>
    </row>
    <row r="108" spans="1:32" s="35" customFormat="1" x14ac:dyDescent="0.2">
      <c r="A108" s="34" t="s">
        <v>30</v>
      </c>
      <c r="B108" s="19">
        <f t="shared" si="55"/>
        <v>1.3776895879927828</v>
      </c>
      <c r="C108" s="19">
        <f t="shared" ref="C108:AD108" si="61">C67*C$99</f>
        <v>1.5424758140682358</v>
      </c>
      <c r="D108" s="19">
        <f t="shared" si="61"/>
        <v>1.3241163764123631</v>
      </c>
      <c r="E108" s="19">
        <f t="shared" si="61"/>
        <v>1.3547235903866977</v>
      </c>
      <c r="F108" s="19">
        <f t="shared" si="61"/>
        <v>0.60355747277324201</v>
      </c>
      <c r="G108" s="19">
        <f t="shared" si="61"/>
        <v>1.3583212332289818</v>
      </c>
      <c r="H108" s="19">
        <f t="shared" si="61"/>
        <v>1.3252354049554447</v>
      </c>
      <c r="I108" s="19">
        <f t="shared" si="61"/>
        <v>1.2305528260069083</v>
      </c>
      <c r="J108" s="19">
        <f t="shared" si="61"/>
        <v>1.2327484784882803</v>
      </c>
      <c r="K108" s="19">
        <f t="shared" si="61"/>
        <v>1.4471335501896074</v>
      </c>
      <c r="L108" s="19">
        <f t="shared" si="61"/>
        <v>1.180201934367584</v>
      </c>
      <c r="M108" s="19">
        <f t="shared" si="61"/>
        <v>1.4403907402229266</v>
      </c>
      <c r="N108" s="19">
        <f t="shared" si="61"/>
        <v>1.2988301189670437</v>
      </c>
      <c r="O108" s="19">
        <f t="shared" si="61"/>
        <v>1.2327484784882803</v>
      </c>
      <c r="P108" s="19">
        <f t="shared" si="61"/>
        <v>1.4471335501896074</v>
      </c>
      <c r="Q108" s="19">
        <f t="shared" si="61"/>
        <v>1.180201934367584</v>
      </c>
      <c r="R108" s="19">
        <f t="shared" si="61"/>
        <v>1.4403907402229266</v>
      </c>
      <c r="S108" s="19">
        <f t="shared" si="61"/>
        <v>1.2988301189670437</v>
      </c>
      <c r="T108" s="19">
        <f t="shared" si="61"/>
        <v>1.4155575671534024</v>
      </c>
      <c r="U108" s="19">
        <f t="shared" si="61"/>
        <v>1.1965552043036014</v>
      </c>
      <c r="V108" s="19">
        <f t="shared" si="61"/>
        <v>1.4614563980616253</v>
      </c>
      <c r="W108" s="19">
        <f t="shared" si="61"/>
        <v>1.4281244289100505</v>
      </c>
      <c r="X108" s="19" t="e">
        <f t="shared" si="61"/>
        <v>#DIV/0!</v>
      </c>
      <c r="Y108" s="19" t="e">
        <f t="shared" si="61"/>
        <v>#DIV/0!</v>
      </c>
      <c r="Z108" s="19" t="e">
        <f t="shared" si="61"/>
        <v>#DIV/0!</v>
      </c>
      <c r="AA108" s="19" t="e">
        <f t="shared" si="61"/>
        <v>#DIV/0!</v>
      </c>
      <c r="AB108" s="19" t="e">
        <f t="shared" si="61"/>
        <v>#DIV/0!</v>
      </c>
      <c r="AC108" s="19" t="e">
        <f t="shared" si="61"/>
        <v>#DIV/0!</v>
      </c>
      <c r="AD108" s="19" t="e">
        <f t="shared" si="61"/>
        <v>#DIV/0!</v>
      </c>
      <c r="AE108" s="19"/>
      <c r="AF108" s="19"/>
    </row>
    <row r="109" spans="1:32" s="35" customFormat="1" x14ac:dyDescent="0.2">
      <c r="A109" s="34" t="s">
        <v>23</v>
      </c>
      <c r="B109" s="19">
        <f t="shared" si="55"/>
        <v>1.16170874815712</v>
      </c>
      <c r="C109" s="19">
        <f t="shared" ref="C109:AD109" si="62">C68*C$99</f>
        <v>0.84430213028021284</v>
      </c>
      <c r="D109" s="19">
        <f t="shared" si="62"/>
        <v>1.266119127967672</v>
      </c>
      <c r="E109" s="19">
        <f t="shared" si="62"/>
        <v>1.1214507260204636</v>
      </c>
      <c r="F109" s="19">
        <f t="shared" si="62"/>
        <v>2.0756156510045272</v>
      </c>
      <c r="G109" s="19">
        <f t="shared" si="62"/>
        <v>1.0093261080261959</v>
      </c>
      <c r="H109" s="19">
        <f t="shared" si="62"/>
        <v>1.3026721338294971</v>
      </c>
      <c r="I109" s="19">
        <f t="shared" si="62"/>
        <v>1.3680231793448447</v>
      </c>
      <c r="J109" s="19">
        <f t="shared" si="62"/>
        <v>1.3633595641632101</v>
      </c>
      <c r="K109" s="19">
        <f t="shared" si="62"/>
        <v>0.91812763398423647</v>
      </c>
      <c r="L109" s="19">
        <f t="shared" si="62"/>
        <v>1.4433249288432437</v>
      </c>
      <c r="M109" s="19">
        <f t="shared" si="62"/>
        <v>0.93162189299203391</v>
      </c>
      <c r="N109" s="19">
        <f t="shared" si="62"/>
        <v>1.3965669160552499</v>
      </c>
      <c r="O109" s="19">
        <f t="shared" si="62"/>
        <v>1.3633595641632101</v>
      </c>
      <c r="P109" s="19">
        <f t="shared" si="62"/>
        <v>0.91812763398423647</v>
      </c>
      <c r="Q109" s="19">
        <f t="shared" si="62"/>
        <v>1.4433249288432437</v>
      </c>
      <c r="R109" s="19">
        <f t="shared" si="62"/>
        <v>0.93162189299203391</v>
      </c>
      <c r="S109" s="19">
        <f t="shared" si="62"/>
        <v>1.3965669160552499</v>
      </c>
      <c r="T109" s="19">
        <f t="shared" si="62"/>
        <v>1.1226805862518845</v>
      </c>
      <c r="U109" s="19">
        <f t="shared" si="62"/>
        <v>1.370484286322776</v>
      </c>
      <c r="V109" s="19">
        <f t="shared" si="62"/>
        <v>1.0297207974224896</v>
      </c>
      <c r="W109" s="19">
        <f t="shared" si="62"/>
        <v>1.0141774147107376</v>
      </c>
      <c r="X109" s="19" t="e">
        <f t="shared" si="62"/>
        <v>#DIV/0!</v>
      </c>
      <c r="Y109" s="19" t="e">
        <f t="shared" si="62"/>
        <v>#DIV/0!</v>
      </c>
      <c r="Z109" s="19" t="e">
        <f t="shared" si="62"/>
        <v>#DIV/0!</v>
      </c>
      <c r="AA109" s="19" t="e">
        <f t="shared" si="62"/>
        <v>#DIV/0!</v>
      </c>
      <c r="AB109" s="19" t="e">
        <f t="shared" si="62"/>
        <v>#DIV/0!</v>
      </c>
      <c r="AC109" s="19" t="e">
        <f t="shared" si="62"/>
        <v>#DIV/0!</v>
      </c>
      <c r="AD109" s="19" t="e">
        <f t="shared" si="62"/>
        <v>#DIV/0!</v>
      </c>
      <c r="AE109" s="19"/>
      <c r="AF109" s="19"/>
    </row>
    <row r="110" spans="1:32" s="35" customFormat="1" x14ac:dyDescent="0.2">
      <c r="A110" s="34" t="s">
        <v>24</v>
      </c>
      <c r="B110" s="19">
        <f t="shared" si="55"/>
        <v>0</v>
      </c>
      <c r="C110" s="19">
        <f t="shared" ref="C110:AD110" si="63">C69*C$99</f>
        <v>0</v>
      </c>
      <c r="D110" s="19">
        <f t="shared" si="63"/>
        <v>0</v>
      </c>
      <c r="E110" s="19">
        <f t="shared" si="63"/>
        <v>0</v>
      </c>
      <c r="F110" s="19">
        <f t="shared" si="63"/>
        <v>0</v>
      </c>
      <c r="G110" s="19">
        <f t="shared" si="63"/>
        <v>0</v>
      </c>
      <c r="H110" s="19">
        <f t="shared" si="63"/>
        <v>0</v>
      </c>
      <c r="I110" s="19">
        <f t="shared" si="63"/>
        <v>0</v>
      </c>
      <c r="J110" s="19">
        <f t="shared" si="63"/>
        <v>0</v>
      </c>
      <c r="K110" s="19">
        <f t="shared" si="63"/>
        <v>0</v>
      </c>
      <c r="L110" s="19">
        <f t="shared" si="63"/>
        <v>0</v>
      </c>
      <c r="M110" s="19">
        <f t="shared" si="63"/>
        <v>0</v>
      </c>
      <c r="N110" s="19">
        <f t="shared" si="63"/>
        <v>0</v>
      </c>
      <c r="O110" s="19">
        <f t="shared" si="63"/>
        <v>0</v>
      </c>
      <c r="P110" s="19">
        <f t="shared" si="63"/>
        <v>0</v>
      </c>
      <c r="Q110" s="19">
        <f t="shared" si="63"/>
        <v>0</v>
      </c>
      <c r="R110" s="19">
        <f t="shared" si="63"/>
        <v>0</v>
      </c>
      <c r="S110" s="19">
        <f t="shared" si="63"/>
        <v>0</v>
      </c>
      <c r="T110" s="19">
        <f t="shared" si="63"/>
        <v>0</v>
      </c>
      <c r="U110" s="19">
        <f t="shared" si="63"/>
        <v>0</v>
      </c>
      <c r="V110" s="19">
        <f t="shared" si="63"/>
        <v>0</v>
      </c>
      <c r="W110" s="19">
        <f t="shared" si="63"/>
        <v>0</v>
      </c>
      <c r="X110" s="19" t="e">
        <f t="shared" si="63"/>
        <v>#DIV/0!</v>
      </c>
      <c r="Y110" s="19" t="e">
        <f t="shared" si="63"/>
        <v>#DIV/0!</v>
      </c>
      <c r="Z110" s="19" t="e">
        <f t="shared" si="63"/>
        <v>#DIV/0!</v>
      </c>
      <c r="AA110" s="19" t="e">
        <f t="shared" si="63"/>
        <v>#DIV/0!</v>
      </c>
      <c r="AB110" s="19" t="e">
        <f t="shared" si="63"/>
        <v>#DIV/0!</v>
      </c>
      <c r="AC110" s="19" t="e">
        <f t="shared" si="63"/>
        <v>#DIV/0!</v>
      </c>
      <c r="AD110" s="19" t="e">
        <f t="shared" si="63"/>
        <v>#DIV/0!</v>
      </c>
      <c r="AE110" s="19"/>
      <c r="AF110" s="19"/>
    </row>
    <row r="111" spans="1:32" s="35" customFormat="1" x14ac:dyDescent="0.2">
      <c r="A111" s="34" t="s">
        <v>25</v>
      </c>
      <c r="B111" s="19">
        <f t="shared" si="55"/>
        <v>0.44867360039493404</v>
      </c>
      <c r="C111" s="19">
        <f t="shared" ref="C111:AD111" si="64">C70*C$99</f>
        <v>0.53072429397790966</v>
      </c>
      <c r="D111" s="19">
        <f t="shared" si="64"/>
        <v>0.40336284831211089</v>
      </c>
      <c r="E111" s="19">
        <f t="shared" si="64"/>
        <v>0.47321640266500931</v>
      </c>
      <c r="F111" s="19">
        <f t="shared" si="64"/>
        <v>0.33073662243515844</v>
      </c>
      <c r="G111" s="19">
        <f t="shared" si="64"/>
        <v>0.47688743596879124</v>
      </c>
      <c r="H111" s="19">
        <f t="shared" si="64"/>
        <v>0.3786648589399752</v>
      </c>
      <c r="I111" s="19">
        <f t="shared" si="64"/>
        <v>0.40043648079742988</v>
      </c>
      <c r="J111" s="19">
        <f t="shared" si="64"/>
        <v>0.38115129820054383</v>
      </c>
      <c r="K111" s="19">
        <f t="shared" si="64"/>
        <v>0.50327305152612412</v>
      </c>
      <c r="L111" s="19">
        <f t="shared" si="64"/>
        <v>0.36918486808668372</v>
      </c>
      <c r="M111" s="19">
        <f t="shared" si="64"/>
        <v>0.50941514182432845</v>
      </c>
      <c r="N111" s="19">
        <f t="shared" si="64"/>
        <v>0.38544418998122698</v>
      </c>
      <c r="O111" s="19">
        <f t="shared" si="64"/>
        <v>0.38115129820054383</v>
      </c>
      <c r="P111" s="19">
        <f t="shared" si="64"/>
        <v>0.50327305152612412</v>
      </c>
      <c r="Q111" s="19">
        <f t="shared" si="64"/>
        <v>0.36918486808668372</v>
      </c>
      <c r="R111" s="19">
        <f t="shared" si="64"/>
        <v>0.50941514182432845</v>
      </c>
      <c r="S111" s="19">
        <f t="shared" si="64"/>
        <v>0.38544418998122698</v>
      </c>
      <c r="T111" s="19">
        <f t="shared" si="64"/>
        <v>0.48008261046972772</v>
      </c>
      <c r="U111" s="19">
        <f t="shared" si="64"/>
        <v>0.43114587091925055</v>
      </c>
      <c r="V111" s="19">
        <f t="shared" si="64"/>
        <v>0.48146711451415392</v>
      </c>
      <c r="W111" s="19">
        <f t="shared" si="64"/>
        <v>0.51077497793843818</v>
      </c>
      <c r="X111" s="19" t="e">
        <f t="shared" si="64"/>
        <v>#DIV/0!</v>
      </c>
      <c r="Y111" s="19" t="e">
        <f t="shared" si="64"/>
        <v>#DIV/0!</v>
      </c>
      <c r="Z111" s="19" t="e">
        <f t="shared" si="64"/>
        <v>#DIV/0!</v>
      </c>
      <c r="AA111" s="19" t="e">
        <f t="shared" si="64"/>
        <v>#DIV/0!</v>
      </c>
      <c r="AB111" s="19" t="e">
        <f t="shared" si="64"/>
        <v>#DIV/0!</v>
      </c>
      <c r="AC111" s="19" t="e">
        <f t="shared" si="64"/>
        <v>#DIV/0!</v>
      </c>
      <c r="AD111" s="19" t="e">
        <f t="shared" si="64"/>
        <v>#DIV/0!</v>
      </c>
      <c r="AE111" s="19"/>
      <c r="AF111" s="19"/>
    </row>
    <row r="112" spans="1:32" s="35" customFormat="1" x14ac:dyDescent="0.2">
      <c r="A112" s="34" t="s">
        <v>26</v>
      </c>
      <c r="B112" s="19">
        <f t="shared" si="55"/>
        <v>0.11877169030671485</v>
      </c>
      <c r="C112" s="19">
        <f t="shared" ref="C112:AD112" si="65">C71*C$99</f>
        <v>0.15548142413143751</v>
      </c>
      <c r="D112" s="19">
        <f t="shared" si="65"/>
        <v>0.10441112644515085</v>
      </c>
      <c r="E112" s="19">
        <f t="shared" si="65"/>
        <v>9.5479406318925486E-2</v>
      </c>
      <c r="F112" s="19">
        <f t="shared" si="65"/>
        <v>0.10188501057439299</v>
      </c>
      <c r="G112" s="19">
        <f t="shared" si="65"/>
        <v>0.19308186494770624</v>
      </c>
      <c r="H112" s="19">
        <f t="shared" si="65"/>
        <v>0.11232918168507304</v>
      </c>
      <c r="I112" s="19">
        <f t="shared" si="65"/>
        <v>8.8164625565811644E-2</v>
      </c>
      <c r="J112" s="19">
        <f t="shared" si="65"/>
        <v>9.7907590962356017E-2</v>
      </c>
      <c r="K112" s="19">
        <f t="shared" si="65"/>
        <v>0.19413058314587317</v>
      </c>
      <c r="L112" s="19">
        <f t="shared" si="65"/>
        <v>9.7359069006294763E-2</v>
      </c>
      <c r="M112" s="19">
        <f t="shared" si="65"/>
        <v>0.1615938741512993</v>
      </c>
      <c r="N112" s="19">
        <f t="shared" si="65"/>
        <v>8.7719669678810244E-2</v>
      </c>
      <c r="O112" s="19">
        <f t="shared" si="65"/>
        <v>9.7907590962356017E-2</v>
      </c>
      <c r="P112" s="19">
        <f t="shared" si="65"/>
        <v>0.19413058314587317</v>
      </c>
      <c r="Q112" s="19">
        <f t="shared" si="65"/>
        <v>9.7359069006294763E-2</v>
      </c>
      <c r="R112" s="19">
        <f t="shared" si="65"/>
        <v>0.1615938741512993</v>
      </c>
      <c r="S112" s="19">
        <f t="shared" si="65"/>
        <v>8.7719669678810244E-2</v>
      </c>
      <c r="T112" s="19">
        <f t="shared" si="65"/>
        <v>0.10983774135590446</v>
      </c>
      <c r="U112" s="19">
        <f t="shared" si="65"/>
        <v>0.10851026430301519</v>
      </c>
      <c r="V112" s="19">
        <f t="shared" si="65"/>
        <v>0.13257635970708576</v>
      </c>
      <c r="W112" s="19">
        <f t="shared" si="65"/>
        <v>0.10697619036106036</v>
      </c>
      <c r="X112" s="19" t="e">
        <f t="shared" si="65"/>
        <v>#DIV/0!</v>
      </c>
      <c r="Y112" s="19" t="e">
        <f t="shared" si="65"/>
        <v>#DIV/0!</v>
      </c>
      <c r="Z112" s="19" t="e">
        <f t="shared" si="65"/>
        <v>#DIV/0!</v>
      </c>
      <c r="AA112" s="19" t="e">
        <f t="shared" si="65"/>
        <v>#DIV/0!</v>
      </c>
      <c r="AB112" s="19" t="e">
        <f t="shared" si="65"/>
        <v>#DIV/0!</v>
      </c>
      <c r="AC112" s="19" t="e">
        <f t="shared" si="65"/>
        <v>#DIV/0!</v>
      </c>
      <c r="AD112" s="19" t="e">
        <f t="shared" si="65"/>
        <v>#DIV/0!</v>
      </c>
      <c r="AE112" s="19"/>
      <c r="AF112" s="19"/>
    </row>
    <row r="113" spans="1:32" s="35" customFormat="1" x14ac:dyDescent="0.2">
      <c r="A113" s="34" t="s">
        <v>27</v>
      </c>
      <c r="B113" s="19">
        <f t="shared" si="55"/>
        <v>6.275159604755106E-3</v>
      </c>
      <c r="C113" s="19">
        <f t="shared" ref="C113:AD113" si="66">C72*C$99</f>
        <v>0</v>
      </c>
      <c r="D113" s="19">
        <f t="shared" si="66"/>
        <v>6.2458826047274828E-3</v>
      </c>
      <c r="E113" s="19">
        <f t="shared" si="66"/>
        <v>6.1705530941763504E-3</v>
      </c>
      <c r="F113" s="19">
        <f t="shared" si="66"/>
        <v>0</v>
      </c>
      <c r="G113" s="19">
        <f t="shared" si="66"/>
        <v>4.6175254459696197E-3</v>
      </c>
      <c r="H113" s="19">
        <f t="shared" si="66"/>
        <v>0</v>
      </c>
      <c r="I113" s="19">
        <f t="shared" si="66"/>
        <v>7.820537717355509E-3</v>
      </c>
      <c r="J113" s="19">
        <f t="shared" si="66"/>
        <v>4.6623533327748174E-3</v>
      </c>
      <c r="K113" s="19">
        <f t="shared" si="66"/>
        <v>6.1901405241399868E-3</v>
      </c>
      <c r="L113" s="19">
        <f t="shared" si="66"/>
        <v>4.6772613600977019E-3</v>
      </c>
      <c r="M113" s="19">
        <f t="shared" si="66"/>
        <v>3.1107811198463468E-3</v>
      </c>
      <c r="N113" s="19">
        <f t="shared" si="66"/>
        <v>4.7148652313185255E-3</v>
      </c>
      <c r="O113" s="19">
        <f t="shared" si="66"/>
        <v>4.6623533327748174E-3</v>
      </c>
      <c r="P113" s="19">
        <f t="shared" si="66"/>
        <v>6.1901405241399868E-3</v>
      </c>
      <c r="Q113" s="19">
        <f t="shared" si="66"/>
        <v>4.6772613600977019E-3</v>
      </c>
      <c r="R113" s="19">
        <f t="shared" si="66"/>
        <v>3.1107811198463468E-3</v>
      </c>
      <c r="S113" s="19">
        <f t="shared" si="66"/>
        <v>4.7148652313185255E-3</v>
      </c>
      <c r="T113" s="19">
        <f t="shared" si="66"/>
        <v>3.1300428522881407E-3</v>
      </c>
      <c r="U113" s="19">
        <f t="shared" si="66"/>
        <v>7.8542229964997483E-3</v>
      </c>
      <c r="V113" s="19">
        <f t="shared" si="66"/>
        <v>0</v>
      </c>
      <c r="W113" s="19">
        <f t="shared" si="66"/>
        <v>7.7431831892462531E-3</v>
      </c>
      <c r="X113" s="19" t="e">
        <f t="shared" si="66"/>
        <v>#DIV/0!</v>
      </c>
      <c r="Y113" s="19" t="e">
        <f t="shared" si="66"/>
        <v>#DIV/0!</v>
      </c>
      <c r="Z113" s="19" t="e">
        <f t="shared" si="66"/>
        <v>#DIV/0!</v>
      </c>
      <c r="AA113" s="19" t="e">
        <f t="shared" si="66"/>
        <v>#DIV/0!</v>
      </c>
      <c r="AB113" s="19" t="e">
        <f t="shared" si="66"/>
        <v>#DIV/0!</v>
      </c>
      <c r="AC113" s="19" t="e">
        <f t="shared" si="66"/>
        <v>#DIV/0!</v>
      </c>
      <c r="AD113" s="19" t="e">
        <f t="shared" si="66"/>
        <v>#DIV/0!</v>
      </c>
      <c r="AE113" s="19"/>
      <c r="AF113" s="19"/>
    </row>
    <row r="114" spans="1:32" s="35" customFormat="1" x14ac:dyDescent="0.2">
      <c r="A114" s="34" t="s">
        <v>28</v>
      </c>
      <c r="B114" s="19">
        <f t="shared" si="55"/>
        <v>3.0967113266077307E-3</v>
      </c>
      <c r="C114" s="19">
        <f t="shared" ref="C114:AD114" si="67">C73*C$99</f>
        <v>0</v>
      </c>
      <c r="D114" s="19">
        <f t="shared" si="67"/>
        <v>0</v>
      </c>
      <c r="E114" s="19">
        <f t="shared" si="67"/>
        <v>0</v>
      </c>
      <c r="F114" s="19">
        <f t="shared" si="67"/>
        <v>0</v>
      </c>
      <c r="G114" s="19">
        <f t="shared" si="67"/>
        <v>0</v>
      </c>
      <c r="H114" s="19">
        <f t="shared" si="67"/>
        <v>1.0288127566387222E-3</v>
      </c>
      <c r="I114" s="19">
        <f t="shared" si="67"/>
        <v>1.0291561970215055E-3</v>
      </c>
      <c r="J114" s="19">
        <f t="shared" si="67"/>
        <v>0</v>
      </c>
      <c r="K114" s="19">
        <f t="shared" si="67"/>
        <v>0</v>
      </c>
      <c r="L114" s="19">
        <f t="shared" si="67"/>
        <v>1.025852843671535E-3</v>
      </c>
      <c r="M114" s="19">
        <f t="shared" si="67"/>
        <v>0</v>
      </c>
      <c r="N114" s="19">
        <f t="shared" si="67"/>
        <v>0</v>
      </c>
      <c r="O114" s="19">
        <f t="shared" si="67"/>
        <v>0</v>
      </c>
      <c r="P114" s="19">
        <f t="shared" si="67"/>
        <v>0</v>
      </c>
      <c r="Q114" s="19">
        <f t="shared" si="67"/>
        <v>1.025852843671535E-3</v>
      </c>
      <c r="R114" s="19">
        <f t="shared" si="67"/>
        <v>0</v>
      </c>
      <c r="S114" s="19">
        <f t="shared" si="67"/>
        <v>0</v>
      </c>
      <c r="T114" s="19">
        <f t="shared" si="67"/>
        <v>0</v>
      </c>
      <c r="U114" s="19">
        <f t="shared" si="67"/>
        <v>0</v>
      </c>
      <c r="V114" s="19">
        <f t="shared" si="67"/>
        <v>1.0250203011516487E-3</v>
      </c>
      <c r="W114" s="19">
        <f t="shared" si="67"/>
        <v>0</v>
      </c>
      <c r="X114" s="19" t="e">
        <f t="shared" si="67"/>
        <v>#DIV/0!</v>
      </c>
      <c r="Y114" s="19" t="e">
        <f t="shared" si="67"/>
        <v>#DIV/0!</v>
      </c>
      <c r="Z114" s="19" t="e">
        <f t="shared" si="67"/>
        <v>#DIV/0!</v>
      </c>
      <c r="AA114" s="19" t="e">
        <f t="shared" si="67"/>
        <v>#DIV/0!</v>
      </c>
      <c r="AB114" s="19" t="e">
        <f t="shared" si="67"/>
        <v>#DIV/0!</v>
      </c>
      <c r="AC114" s="19" t="e">
        <f t="shared" si="67"/>
        <v>#DIV/0!</v>
      </c>
      <c r="AD114" s="19" t="e">
        <f t="shared" si="67"/>
        <v>#DIV/0!</v>
      </c>
      <c r="AE114" s="19"/>
      <c r="AF114" s="19"/>
    </row>
    <row r="115" spans="1:32" s="35" customFormat="1" x14ac:dyDescent="0.2">
      <c r="A115" s="34" t="str">
        <f>A74</f>
        <v>Add El</v>
      </c>
      <c r="B115" s="19">
        <f t="shared" si="55"/>
        <v>0</v>
      </c>
      <c r="C115" s="19">
        <f t="shared" ref="C115:AD115" si="68">C74*C$99</f>
        <v>0</v>
      </c>
      <c r="D115" s="19">
        <f t="shared" si="68"/>
        <v>0</v>
      </c>
      <c r="E115" s="19">
        <f t="shared" si="68"/>
        <v>0</v>
      </c>
      <c r="F115" s="19">
        <f t="shared" si="68"/>
        <v>0</v>
      </c>
      <c r="G115" s="19">
        <f t="shared" si="68"/>
        <v>0</v>
      </c>
      <c r="H115" s="19">
        <f t="shared" si="68"/>
        <v>0</v>
      </c>
      <c r="I115" s="19">
        <f t="shared" si="68"/>
        <v>0</v>
      </c>
      <c r="J115" s="19">
        <f t="shared" si="68"/>
        <v>0</v>
      </c>
      <c r="K115" s="19">
        <f t="shared" si="68"/>
        <v>0</v>
      </c>
      <c r="L115" s="19">
        <f t="shared" si="68"/>
        <v>0</v>
      </c>
      <c r="M115" s="19">
        <f t="shared" si="68"/>
        <v>0</v>
      </c>
      <c r="N115" s="19">
        <f t="shared" si="68"/>
        <v>0</v>
      </c>
      <c r="O115" s="19">
        <f t="shared" si="68"/>
        <v>0</v>
      </c>
      <c r="P115" s="19">
        <f t="shared" si="68"/>
        <v>0</v>
      </c>
      <c r="Q115" s="19">
        <f t="shared" si="68"/>
        <v>0</v>
      </c>
      <c r="R115" s="19">
        <f t="shared" si="68"/>
        <v>0</v>
      </c>
      <c r="S115" s="19">
        <f t="shared" si="68"/>
        <v>0</v>
      </c>
      <c r="T115" s="19">
        <f t="shared" si="68"/>
        <v>0</v>
      </c>
      <c r="U115" s="19">
        <f t="shared" si="68"/>
        <v>0</v>
      </c>
      <c r="V115" s="19">
        <f t="shared" si="68"/>
        <v>0</v>
      </c>
      <c r="W115" s="19">
        <f t="shared" si="68"/>
        <v>0</v>
      </c>
      <c r="X115" s="19" t="e">
        <f t="shared" si="68"/>
        <v>#DIV/0!</v>
      </c>
      <c r="Y115" s="19" t="e">
        <f t="shared" si="68"/>
        <v>#DIV/0!</v>
      </c>
      <c r="Z115" s="19" t="e">
        <f t="shared" si="68"/>
        <v>#DIV/0!</v>
      </c>
      <c r="AA115" s="19" t="e">
        <f t="shared" si="68"/>
        <v>#DIV/0!</v>
      </c>
      <c r="AB115" s="19" t="e">
        <f t="shared" si="68"/>
        <v>#DIV/0!</v>
      </c>
      <c r="AC115" s="19" t="e">
        <f t="shared" si="68"/>
        <v>#DIV/0!</v>
      </c>
      <c r="AD115" s="19" t="e">
        <f t="shared" si="68"/>
        <v>#DIV/0!</v>
      </c>
      <c r="AE115" s="19"/>
      <c r="AF115" s="19"/>
    </row>
    <row r="116" spans="1:32" s="35" customFormat="1" x14ac:dyDescent="0.2">
      <c r="A116" s="34" t="s">
        <v>59</v>
      </c>
      <c r="B116" s="19">
        <f>$G$5-B117-B118</f>
        <v>0</v>
      </c>
      <c r="C116" s="19">
        <f t="shared" ref="C116:AD116" si="69">$G$5-C117-C118</f>
        <v>0</v>
      </c>
      <c r="D116" s="19">
        <f t="shared" si="69"/>
        <v>0</v>
      </c>
      <c r="E116" s="19">
        <f t="shared" si="69"/>
        <v>0</v>
      </c>
      <c r="F116" s="19">
        <f t="shared" si="69"/>
        <v>0</v>
      </c>
      <c r="G116" s="19">
        <f t="shared" si="69"/>
        <v>0</v>
      </c>
      <c r="H116" s="19">
        <f t="shared" si="69"/>
        <v>0</v>
      </c>
      <c r="I116" s="19">
        <f t="shared" si="69"/>
        <v>0</v>
      </c>
      <c r="J116" s="19">
        <f t="shared" si="69"/>
        <v>0</v>
      </c>
      <c r="K116" s="19">
        <f t="shared" si="69"/>
        <v>0</v>
      </c>
      <c r="L116" s="19">
        <f t="shared" si="69"/>
        <v>0</v>
      </c>
      <c r="M116" s="19">
        <f t="shared" si="69"/>
        <v>0</v>
      </c>
      <c r="N116" s="19">
        <f t="shared" si="69"/>
        <v>0</v>
      </c>
      <c r="O116" s="19">
        <f t="shared" si="69"/>
        <v>0</v>
      </c>
      <c r="P116" s="19">
        <f t="shared" si="69"/>
        <v>0</v>
      </c>
      <c r="Q116" s="19">
        <f t="shared" si="69"/>
        <v>0</v>
      </c>
      <c r="R116" s="19">
        <f t="shared" si="69"/>
        <v>0</v>
      </c>
      <c r="S116" s="19">
        <f t="shared" si="69"/>
        <v>0</v>
      </c>
      <c r="T116" s="19">
        <f t="shared" si="69"/>
        <v>0</v>
      </c>
      <c r="U116" s="19">
        <f t="shared" si="69"/>
        <v>0</v>
      </c>
      <c r="V116" s="19">
        <f t="shared" si="69"/>
        <v>0</v>
      </c>
      <c r="W116" s="19">
        <f t="shared" si="69"/>
        <v>0</v>
      </c>
      <c r="X116" s="19" t="e">
        <f t="shared" si="69"/>
        <v>#DIV/0!</v>
      </c>
      <c r="Y116" s="19" t="e">
        <f t="shared" si="69"/>
        <v>#DIV/0!</v>
      </c>
      <c r="Z116" s="19" t="e">
        <f t="shared" si="69"/>
        <v>#DIV/0!</v>
      </c>
      <c r="AA116" s="19" t="e">
        <f t="shared" si="69"/>
        <v>#DIV/0!</v>
      </c>
      <c r="AB116" s="19" t="e">
        <f t="shared" si="69"/>
        <v>#DIV/0!</v>
      </c>
      <c r="AC116" s="19" t="e">
        <f t="shared" si="69"/>
        <v>#DIV/0!</v>
      </c>
      <c r="AD116" s="19" t="e">
        <f t="shared" si="69"/>
        <v>#DIV/0!</v>
      </c>
      <c r="AE116" s="19"/>
      <c r="AF116" s="19"/>
    </row>
    <row r="117" spans="1:32" s="35" customFormat="1" x14ac:dyDescent="0.2">
      <c r="A117" s="34" t="s">
        <v>57</v>
      </c>
      <c r="B117" s="19">
        <f>B76*B$99</f>
        <v>0</v>
      </c>
      <c r="C117" s="19">
        <f t="shared" ref="C117:AD117" si="70">C76*C$99</f>
        <v>0</v>
      </c>
      <c r="D117" s="19">
        <f t="shared" si="70"/>
        <v>0</v>
      </c>
      <c r="E117" s="19">
        <f t="shared" si="70"/>
        <v>0</v>
      </c>
      <c r="F117" s="19">
        <f t="shared" si="70"/>
        <v>0</v>
      </c>
      <c r="G117" s="19">
        <f t="shared" si="70"/>
        <v>0</v>
      </c>
      <c r="H117" s="19">
        <f t="shared" si="70"/>
        <v>0</v>
      </c>
      <c r="I117" s="19">
        <f t="shared" si="70"/>
        <v>0</v>
      </c>
      <c r="J117" s="19">
        <f t="shared" si="70"/>
        <v>0</v>
      </c>
      <c r="K117" s="19">
        <f t="shared" si="70"/>
        <v>0</v>
      </c>
      <c r="L117" s="19">
        <f t="shared" si="70"/>
        <v>0</v>
      </c>
      <c r="M117" s="19">
        <f t="shared" si="70"/>
        <v>0</v>
      </c>
      <c r="N117" s="19">
        <f t="shared" si="70"/>
        <v>0</v>
      </c>
      <c r="O117" s="19">
        <f t="shared" si="70"/>
        <v>0</v>
      </c>
      <c r="P117" s="19">
        <f t="shared" si="70"/>
        <v>0</v>
      </c>
      <c r="Q117" s="19">
        <f t="shared" si="70"/>
        <v>0</v>
      </c>
      <c r="R117" s="19">
        <f t="shared" si="70"/>
        <v>0</v>
      </c>
      <c r="S117" s="19">
        <f t="shared" si="70"/>
        <v>0</v>
      </c>
      <c r="T117" s="19">
        <f t="shared" si="70"/>
        <v>0</v>
      </c>
      <c r="U117" s="19">
        <f t="shared" si="70"/>
        <v>0</v>
      </c>
      <c r="V117" s="19">
        <f t="shared" si="70"/>
        <v>0</v>
      </c>
      <c r="W117" s="19">
        <f t="shared" si="70"/>
        <v>0</v>
      </c>
      <c r="X117" s="19" t="e">
        <f t="shared" si="70"/>
        <v>#DIV/0!</v>
      </c>
      <c r="Y117" s="19" t="e">
        <f t="shared" si="70"/>
        <v>#DIV/0!</v>
      </c>
      <c r="Z117" s="19" t="e">
        <f t="shared" si="70"/>
        <v>#DIV/0!</v>
      </c>
      <c r="AA117" s="19" t="e">
        <f t="shared" si="70"/>
        <v>#DIV/0!</v>
      </c>
      <c r="AB117" s="19" t="e">
        <f t="shared" si="70"/>
        <v>#DIV/0!</v>
      </c>
      <c r="AC117" s="19" t="e">
        <f t="shared" si="70"/>
        <v>#DIV/0!</v>
      </c>
      <c r="AD117" s="19" t="e">
        <f t="shared" si="70"/>
        <v>#DIV/0!</v>
      </c>
      <c r="AE117" s="19"/>
      <c r="AF117" s="19"/>
    </row>
    <row r="118" spans="1:32" s="35" customFormat="1" x14ac:dyDescent="0.2">
      <c r="A118" s="34" t="s">
        <v>58</v>
      </c>
      <c r="B118" s="19">
        <f>B77*B$99</f>
        <v>0</v>
      </c>
      <c r="C118" s="19">
        <f t="shared" ref="C118:AD118" si="71">C77*C$99</f>
        <v>0</v>
      </c>
      <c r="D118" s="19">
        <f t="shared" si="71"/>
        <v>0</v>
      </c>
      <c r="E118" s="19">
        <f t="shared" si="71"/>
        <v>0</v>
      </c>
      <c r="F118" s="19">
        <f t="shared" si="71"/>
        <v>0</v>
      </c>
      <c r="G118" s="19">
        <f t="shared" si="71"/>
        <v>0</v>
      </c>
      <c r="H118" s="19">
        <f t="shared" si="71"/>
        <v>0</v>
      </c>
      <c r="I118" s="19">
        <f t="shared" si="71"/>
        <v>0</v>
      </c>
      <c r="J118" s="19">
        <f t="shared" si="71"/>
        <v>0</v>
      </c>
      <c r="K118" s="19">
        <f t="shared" si="71"/>
        <v>0</v>
      </c>
      <c r="L118" s="19">
        <f t="shared" si="71"/>
        <v>0</v>
      </c>
      <c r="M118" s="19">
        <f t="shared" si="71"/>
        <v>0</v>
      </c>
      <c r="N118" s="19">
        <f t="shared" si="71"/>
        <v>0</v>
      </c>
      <c r="O118" s="19">
        <f t="shared" si="71"/>
        <v>0</v>
      </c>
      <c r="P118" s="19">
        <f t="shared" si="71"/>
        <v>0</v>
      </c>
      <c r="Q118" s="19">
        <f t="shared" si="71"/>
        <v>0</v>
      </c>
      <c r="R118" s="19">
        <f t="shared" si="71"/>
        <v>0</v>
      </c>
      <c r="S118" s="19">
        <f t="shared" si="71"/>
        <v>0</v>
      </c>
      <c r="T118" s="19">
        <f t="shared" si="71"/>
        <v>0</v>
      </c>
      <c r="U118" s="19">
        <f t="shared" si="71"/>
        <v>0</v>
      </c>
      <c r="V118" s="19">
        <f t="shared" si="71"/>
        <v>0</v>
      </c>
      <c r="W118" s="19">
        <f t="shared" si="71"/>
        <v>0</v>
      </c>
      <c r="X118" s="19" t="e">
        <f t="shared" si="71"/>
        <v>#DIV/0!</v>
      </c>
      <c r="Y118" s="19" t="e">
        <f t="shared" si="71"/>
        <v>#DIV/0!</v>
      </c>
      <c r="Z118" s="19" t="e">
        <f t="shared" si="71"/>
        <v>#DIV/0!</v>
      </c>
      <c r="AA118" s="19" t="e">
        <f t="shared" si="71"/>
        <v>#DIV/0!</v>
      </c>
      <c r="AB118" s="19" t="e">
        <f t="shared" si="71"/>
        <v>#DIV/0!</v>
      </c>
      <c r="AC118" s="19" t="e">
        <f t="shared" si="71"/>
        <v>#DIV/0!</v>
      </c>
      <c r="AD118" s="19" t="e">
        <f t="shared" si="71"/>
        <v>#DIV/0!</v>
      </c>
      <c r="AE118" s="19"/>
      <c r="AF118" s="19"/>
    </row>
    <row r="119" spans="1:32" s="35" customFormat="1" x14ac:dyDescent="0.2">
      <c r="A119" s="34" t="s">
        <v>98</v>
      </c>
      <c r="B119" s="19">
        <f>SUM(B103:B115)</f>
        <v>8.0419127758954847</v>
      </c>
      <c r="C119" s="19">
        <f t="shared" ref="C119:AD119" si="72">SUM(C103:C115)</f>
        <v>8.0302253470209415</v>
      </c>
      <c r="D119" s="19">
        <f t="shared" si="72"/>
        <v>8.0328267702067784</v>
      </c>
      <c r="E119" s="19">
        <f t="shared" si="72"/>
        <v>8.0190238365454096</v>
      </c>
      <c r="F119" s="19">
        <f t="shared" si="72"/>
        <v>8.034955060473445</v>
      </c>
      <c r="G119" s="19">
        <f t="shared" si="72"/>
        <v>8.0160923904328314</v>
      </c>
      <c r="H119" s="19">
        <f t="shared" si="72"/>
        <v>8.0479305112938935</v>
      </c>
      <c r="I119" s="19">
        <f t="shared" si="72"/>
        <v>8.0357192074408861</v>
      </c>
      <c r="J119" s="19">
        <f t="shared" si="72"/>
        <v>8.0327666533502331</v>
      </c>
      <c r="K119" s="19">
        <f t="shared" si="72"/>
        <v>8.0260493117490181</v>
      </c>
      <c r="L119" s="19">
        <f t="shared" si="72"/>
        <v>8.0353807120144722</v>
      </c>
      <c r="M119" s="19">
        <f t="shared" si="72"/>
        <v>8.01632515292631</v>
      </c>
      <c r="N119" s="19">
        <f t="shared" si="72"/>
        <v>8.052629667334033</v>
      </c>
      <c r="O119" s="19">
        <f t="shared" si="72"/>
        <v>8.0327666533502331</v>
      </c>
      <c r="P119" s="19">
        <f t="shared" si="72"/>
        <v>8.0260493117490181</v>
      </c>
      <c r="Q119" s="19">
        <f t="shared" si="72"/>
        <v>8.0353807120144722</v>
      </c>
      <c r="R119" s="19">
        <f t="shared" si="72"/>
        <v>8.01632515292631</v>
      </c>
      <c r="S119" s="19">
        <f t="shared" si="72"/>
        <v>8.052629667334033</v>
      </c>
      <c r="T119" s="19">
        <f t="shared" si="72"/>
        <v>8.042688120801845</v>
      </c>
      <c r="U119" s="19">
        <f t="shared" si="72"/>
        <v>8.0420503487976731</v>
      </c>
      <c r="V119" s="19">
        <f t="shared" si="72"/>
        <v>8.0274494810911641</v>
      </c>
      <c r="W119" s="19">
        <f t="shared" si="72"/>
        <v>8.0221776605952702</v>
      </c>
      <c r="X119" s="19" t="e">
        <f t="shared" si="72"/>
        <v>#DIV/0!</v>
      </c>
      <c r="Y119" s="19" t="e">
        <f t="shared" si="72"/>
        <v>#DIV/0!</v>
      </c>
      <c r="Z119" s="19" t="e">
        <f t="shared" si="72"/>
        <v>#DIV/0!</v>
      </c>
      <c r="AA119" s="19" t="e">
        <f t="shared" si="72"/>
        <v>#DIV/0!</v>
      </c>
      <c r="AB119" s="19" t="e">
        <f t="shared" si="72"/>
        <v>#DIV/0!</v>
      </c>
      <c r="AC119" s="19" t="e">
        <f t="shared" si="72"/>
        <v>#DIV/0!</v>
      </c>
      <c r="AD119" s="19" t="e">
        <f t="shared" si="72"/>
        <v>#DIV/0!</v>
      </c>
      <c r="AE119" s="19"/>
      <c r="AF119" s="19"/>
    </row>
    <row r="120" spans="1:32" s="35" customFormat="1" x14ac:dyDescent="0.2">
      <c r="A120" s="34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</row>
    <row r="121" spans="1:32" s="35" customFormat="1" x14ac:dyDescent="0.2">
      <c r="A121" s="34" t="s">
        <v>32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</row>
    <row r="122" spans="1:32" s="35" customFormat="1" x14ac:dyDescent="0.2">
      <c r="A122" s="34" t="s">
        <v>4</v>
      </c>
      <c r="B122" s="19">
        <f t="shared" ref="B122:AD122" si="73">(B103/B$119)*$B4*B$78/$C4</f>
        <v>36.860000000000014</v>
      </c>
      <c r="C122" s="19">
        <f t="shared" si="73"/>
        <v>37.56</v>
      </c>
      <c r="D122" s="19">
        <f t="shared" si="73"/>
        <v>37.230000000000004</v>
      </c>
      <c r="E122" s="19">
        <f t="shared" si="73"/>
        <v>37.65</v>
      </c>
      <c r="F122" s="19">
        <f t="shared" si="73"/>
        <v>36.759999999999991</v>
      </c>
      <c r="G122" s="19">
        <f t="shared" si="73"/>
        <v>37.670000000000009</v>
      </c>
      <c r="H122" s="19">
        <f t="shared" si="73"/>
        <v>36.83</v>
      </c>
      <c r="I122" s="19">
        <f t="shared" si="73"/>
        <v>37.109999999999992</v>
      </c>
      <c r="J122" s="19">
        <f t="shared" si="73"/>
        <v>37.19</v>
      </c>
      <c r="K122" s="19">
        <f t="shared" si="73"/>
        <v>37.46</v>
      </c>
      <c r="L122" s="19">
        <f t="shared" si="73"/>
        <v>37.20000000000001</v>
      </c>
      <c r="M122" s="19">
        <f t="shared" si="73"/>
        <v>37.35</v>
      </c>
      <c r="N122" s="19">
        <f t="shared" si="73"/>
        <v>36.839999999999996</v>
      </c>
      <c r="O122" s="19">
        <f t="shared" si="73"/>
        <v>37.19</v>
      </c>
      <c r="P122" s="19">
        <f t="shared" si="73"/>
        <v>37.46</v>
      </c>
      <c r="Q122" s="19">
        <f t="shared" si="73"/>
        <v>37.20000000000001</v>
      </c>
      <c r="R122" s="19">
        <f t="shared" si="73"/>
        <v>37.35</v>
      </c>
      <c r="S122" s="19">
        <f t="shared" si="73"/>
        <v>36.839999999999996</v>
      </c>
      <c r="T122" s="19">
        <f t="shared" si="73"/>
        <v>37.089999999999996</v>
      </c>
      <c r="U122" s="19">
        <f t="shared" si="73"/>
        <v>36.909999999999997</v>
      </c>
      <c r="V122" s="19">
        <f t="shared" si="73"/>
        <v>37.229999999999983</v>
      </c>
      <c r="W122" s="19">
        <f t="shared" si="73"/>
        <v>37.630000000000017</v>
      </c>
      <c r="X122" s="19" t="e">
        <f t="shared" si="73"/>
        <v>#DIV/0!</v>
      </c>
      <c r="Y122" s="19" t="e">
        <f t="shared" si="73"/>
        <v>#DIV/0!</v>
      </c>
      <c r="Z122" s="19" t="e">
        <f t="shared" si="73"/>
        <v>#DIV/0!</v>
      </c>
      <c r="AA122" s="19" t="e">
        <f t="shared" si="73"/>
        <v>#DIV/0!</v>
      </c>
      <c r="AB122" s="19" t="e">
        <f t="shared" si="73"/>
        <v>#DIV/0!</v>
      </c>
      <c r="AC122" s="19" t="e">
        <f t="shared" si="73"/>
        <v>#DIV/0!</v>
      </c>
      <c r="AD122" s="19" t="e">
        <f t="shared" si="73"/>
        <v>#DIV/0!</v>
      </c>
      <c r="AE122" s="19"/>
      <c r="AF122" s="19"/>
    </row>
    <row r="123" spans="1:32" s="35" customFormat="1" x14ac:dyDescent="0.2">
      <c r="A123" s="34" t="s">
        <v>11</v>
      </c>
      <c r="B123" s="19">
        <f t="shared" ref="B123:AD123" si="74">(B104/B$119)*$B5*B$78/$C5</f>
        <v>0.28000000000000014</v>
      </c>
      <c r="C123" s="19">
        <f t="shared" si="74"/>
        <v>6.0000000000000012E-2</v>
      </c>
      <c r="D123" s="19">
        <f t="shared" si="74"/>
        <v>0.22</v>
      </c>
      <c r="E123" s="19">
        <f t="shared" si="74"/>
        <v>7.0000000000000021E-2</v>
      </c>
      <c r="F123" s="19">
        <f t="shared" si="74"/>
        <v>0.31</v>
      </c>
      <c r="G123" s="19">
        <f t="shared" si="74"/>
        <v>0.13000000000000003</v>
      </c>
      <c r="H123" s="19">
        <f t="shared" si="74"/>
        <v>0.11000000000000001</v>
      </c>
      <c r="I123" s="19">
        <f t="shared" si="74"/>
        <v>5.9999999999999977E-2</v>
      </c>
      <c r="J123" s="19">
        <f t="shared" si="74"/>
        <v>0.08</v>
      </c>
      <c r="K123" s="19">
        <f t="shared" si="74"/>
        <v>0.11000000000000001</v>
      </c>
      <c r="L123" s="19">
        <f t="shared" si="74"/>
        <v>6.0000000000000005E-2</v>
      </c>
      <c r="M123" s="19">
        <f t="shared" si="74"/>
        <v>0.06</v>
      </c>
      <c r="N123" s="19">
        <f t="shared" si="74"/>
        <v>0.55000000000000004</v>
      </c>
      <c r="O123" s="19">
        <f t="shared" si="74"/>
        <v>0.08</v>
      </c>
      <c r="P123" s="19">
        <f t="shared" si="74"/>
        <v>0.11000000000000001</v>
      </c>
      <c r="Q123" s="19">
        <f t="shared" si="74"/>
        <v>6.0000000000000005E-2</v>
      </c>
      <c r="R123" s="19">
        <f t="shared" si="74"/>
        <v>0.06</v>
      </c>
      <c r="S123" s="19">
        <f t="shared" si="74"/>
        <v>0.55000000000000004</v>
      </c>
      <c r="T123" s="19">
        <f t="shared" si="74"/>
        <v>0.19999999999999998</v>
      </c>
      <c r="U123" s="19">
        <f t="shared" si="74"/>
        <v>8.9999999999999983E-2</v>
      </c>
      <c r="V123" s="19">
        <f t="shared" si="74"/>
        <v>0.55000000000000004</v>
      </c>
      <c r="W123" s="19">
        <f t="shared" si="74"/>
        <v>5.0000000000000017E-2</v>
      </c>
      <c r="X123" s="19" t="e">
        <f t="shared" si="74"/>
        <v>#DIV/0!</v>
      </c>
      <c r="Y123" s="19" t="e">
        <f t="shared" si="74"/>
        <v>#DIV/0!</v>
      </c>
      <c r="Z123" s="19" t="e">
        <f t="shared" si="74"/>
        <v>#DIV/0!</v>
      </c>
      <c r="AA123" s="19" t="e">
        <f t="shared" si="74"/>
        <v>#DIV/0!</v>
      </c>
      <c r="AB123" s="19" t="e">
        <f t="shared" si="74"/>
        <v>#DIV/0!</v>
      </c>
      <c r="AC123" s="19" t="e">
        <f t="shared" si="74"/>
        <v>#DIV/0!</v>
      </c>
      <c r="AD123" s="19" t="e">
        <f t="shared" si="74"/>
        <v>#DIV/0!</v>
      </c>
      <c r="AE123" s="19"/>
      <c r="AF123" s="19"/>
    </row>
    <row r="124" spans="1:32" s="35" customFormat="1" x14ac:dyDescent="0.2">
      <c r="A124" s="34" t="s">
        <v>15</v>
      </c>
      <c r="B124" s="19">
        <f t="shared" ref="B124:AD124" si="75">(B105/B$119)*$B6*B$78/$C6</f>
        <v>0</v>
      </c>
      <c r="C124" s="19">
        <f t="shared" si="75"/>
        <v>0.01</v>
      </c>
      <c r="D124" s="19">
        <f t="shared" si="75"/>
        <v>1.0000000000000002E-2</v>
      </c>
      <c r="E124" s="19">
        <f t="shared" si="75"/>
        <v>0</v>
      </c>
      <c r="F124" s="19">
        <f t="shared" si="75"/>
        <v>0</v>
      </c>
      <c r="G124" s="19">
        <f t="shared" si="75"/>
        <v>1.0000000000000002E-2</v>
      </c>
      <c r="H124" s="19">
        <f t="shared" si="75"/>
        <v>0</v>
      </c>
      <c r="I124" s="19">
        <f t="shared" si="75"/>
        <v>0</v>
      </c>
      <c r="J124" s="19">
        <f t="shared" si="75"/>
        <v>0.02</v>
      </c>
      <c r="K124" s="19">
        <f t="shared" si="75"/>
        <v>0.02</v>
      </c>
      <c r="L124" s="19">
        <f t="shared" si="75"/>
        <v>0</v>
      </c>
      <c r="M124" s="19">
        <f t="shared" si="75"/>
        <v>0</v>
      </c>
      <c r="N124" s="19">
        <f t="shared" si="75"/>
        <v>9.9999999999999985E-3</v>
      </c>
      <c r="O124" s="19">
        <f t="shared" si="75"/>
        <v>0.02</v>
      </c>
      <c r="P124" s="19">
        <f t="shared" si="75"/>
        <v>0.02</v>
      </c>
      <c r="Q124" s="19">
        <f t="shared" si="75"/>
        <v>0</v>
      </c>
      <c r="R124" s="19">
        <f t="shared" si="75"/>
        <v>0</v>
      </c>
      <c r="S124" s="19">
        <f t="shared" si="75"/>
        <v>9.9999999999999985E-3</v>
      </c>
      <c r="T124" s="19">
        <f t="shared" si="75"/>
        <v>0</v>
      </c>
      <c r="U124" s="19">
        <f t="shared" si="75"/>
        <v>2.9999999999999995E-2</v>
      </c>
      <c r="V124" s="19">
        <f t="shared" si="75"/>
        <v>0</v>
      </c>
      <c r="W124" s="19">
        <f t="shared" si="75"/>
        <v>3.0000000000000006E-2</v>
      </c>
      <c r="X124" s="19" t="e">
        <f t="shared" si="75"/>
        <v>#DIV/0!</v>
      </c>
      <c r="Y124" s="19" t="e">
        <f t="shared" si="75"/>
        <v>#DIV/0!</v>
      </c>
      <c r="Z124" s="19" t="e">
        <f t="shared" si="75"/>
        <v>#DIV/0!</v>
      </c>
      <c r="AA124" s="19" t="e">
        <f t="shared" si="75"/>
        <v>#DIV/0!</v>
      </c>
      <c r="AB124" s="19" t="e">
        <f t="shared" si="75"/>
        <v>#DIV/0!</v>
      </c>
      <c r="AC124" s="19" t="e">
        <f t="shared" si="75"/>
        <v>#DIV/0!</v>
      </c>
      <c r="AD124" s="19" t="e">
        <f t="shared" si="75"/>
        <v>#DIV/0!</v>
      </c>
      <c r="AE124" s="19"/>
      <c r="AF124" s="19"/>
    </row>
    <row r="125" spans="1:32" s="35" customFormat="1" x14ac:dyDescent="0.2">
      <c r="A125" s="34" t="s">
        <v>7</v>
      </c>
      <c r="B125" s="19">
        <f t="shared" ref="B125:AD125" si="76">(B106/B$119)*$B7*B$78/$C7</f>
        <v>20.190000000000005</v>
      </c>
      <c r="C125" s="19">
        <f t="shared" si="76"/>
        <v>21.12</v>
      </c>
      <c r="D125" s="19">
        <f t="shared" si="76"/>
        <v>20.18</v>
      </c>
      <c r="E125" s="19">
        <f t="shared" si="76"/>
        <v>20.98</v>
      </c>
      <c r="F125" s="19">
        <f t="shared" si="76"/>
        <v>20</v>
      </c>
      <c r="G125" s="19">
        <f t="shared" si="76"/>
        <v>21.100000000000005</v>
      </c>
      <c r="H125" s="19">
        <f t="shared" si="76"/>
        <v>20.520000000000003</v>
      </c>
      <c r="I125" s="19">
        <f t="shared" si="76"/>
        <v>20.419999999999995</v>
      </c>
      <c r="J125" s="19">
        <f t="shared" si="76"/>
        <v>20.8</v>
      </c>
      <c r="K125" s="19">
        <f t="shared" si="76"/>
        <v>20.820000000000004</v>
      </c>
      <c r="L125" s="19">
        <f t="shared" si="76"/>
        <v>20.510000000000009</v>
      </c>
      <c r="M125" s="19">
        <f t="shared" si="76"/>
        <v>20.830000000000002</v>
      </c>
      <c r="N125" s="19">
        <f t="shared" si="76"/>
        <v>19.449999999999996</v>
      </c>
      <c r="O125" s="19">
        <f t="shared" si="76"/>
        <v>20.8</v>
      </c>
      <c r="P125" s="19">
        <f t="shared" si="76"/>
        <v>20.820000000000004</v>
      </c>
      <c r="Q125" s="19">
        <f t="shared" si="76"/>
        <v>20.510000000000009</v>
      </c>
      <c r="R125" s="19">
        <f t="shared" si="76"/>
        <v>20.830000000000002</v>
      </c>
      <c r="S125" s="19">
        <f t="shared" si="76"/>
        <v>19.449999999999996</v>
      </c>
      <c r="T125" s="19">
        <f t="shared" si="76"/>
        <v>20.019999999999992</v>
      </c>
      <c r="U125" s="19">
        <f t="shared" si="76"/>
        <v>20.199999999999996</v>
      </c>
      <c r="V125" s="19">
        <f t="shared" si="76"/>
        <v>20.019999999999996</v>
      </c>
      <c r="W125" s="19">
        <f t="shared" si="76"/>
        <v>20.640000000000004</v>
      </c>
      <c r="X125" s="19" t="e">
        <f t="shared" si="76"/>
        <v>#DIV/0!</v>
      </c>
      <c r="Y125" s="19" t="e">
        <f t="shared" si="76"/>
        <v>#DIV/0!</v>
      </c>
      <c r="Z125" s="19" t="e">
        <f t="shared" si="76"/>
        <v>#DIV/0!</v>
      </c>
      <c r="AA125" s="19" t="e">
        <f t="shared" si="76"/>
        <v>#DIV/0!</v>
      </c>
      <c r="AB125" s="19" t="e">
        <f t="shared" si="76"/>
        <v>#DIV/0!</v>
      </c>
      <c r="AC125" s="19" t="e">
        <f t="shared" si="76"/>
        <v>#DIV/0!</v>
      </c>
      <c r="AD125" s="19" t="e">
        <f t="shared" si="76"/>
        <v>#DIV/0!</v>
      </c>
      <c r="AE125" s="19"/>
      <c r="AF125" s="19"/>
    </row>
    <row r="126" spans="1:32" s="35" customFormat="1" x14ac:dyDescent="0.2">
      <c r="A126" s="34" t="s">
        <v>33</v>
      </c>
      <c r="B126" s="19">
        <f t="shared" ref="B126:AD126" si="77">(B107/B$119)*$B15*B$78/$C15</f>
        <v>0</v>
      </c>
      <c r="C126" s="19">
        <f t="shared" si="77"/>
        <v>0</v>
      </c>
      <c r="D126" s="19">
        <f t="shared" si="77"/>
        <v>0</v>
      </c>
      <c r="E126" s="19">
        <f t="shared" si="77"/>
        <v>0</v>
      </c>
      <c r="F126" s="19">
        <f t="shared" si="77"/>
        <v>0</v>
      </c>
      <c r="G126" s="19">
        <f t="shared" si="77"/>
        <v>0</v>
      </c>
      <c r="H126" s="19">
        <f t="shared" si="77"/>
        <v>0</v>
      </c>
      <c r="I126" s="19">
        <f t="shared" si="77"/>
        <v>0</v>
      </c>
      <c r="J126" s="19">
        <f t="shared" si="77"/>
        <v>0</v>
      </c>
      <c r="K126" s="19">
        <f t="shared" si="77"/>
        <v>0</v>
      </c>
      <c r="L126" s="19">
        <f t="shared" si="77"/>
        <v>0</v>
      </c>
      <c r="M126" s="19">
        <f t="shared" si="77"/>
        <v>0</v>
      </c>
      <c r="N126" s="19">
        <f t="shared" si="77"/>
        <v>0</v>
      </c>
      <c r="O126" s="19">
        <f t="shared" si="77"/>
        <v>0</v>
      </c>
      <c r="P126" s="19">
        <f t="shared" si="77"/>
        <v>0</v>
      </c>
      <c r="Q126" s="19">
        <f t="shared" si="77"/>
        <v>0</v>
      </c>
      <c r="R126" s="19">
        <f t="shared" si="77"/>
        <v>0</v>
      </c>
      <c r="S126" s="19">
        <f t="shared" si="77"/>
        <v>0</v>
      </c>
      <c r="T126" s="19">
        <f t="shared" si="77"/>
        <v>0</v>
      </c>
      <c r="U126" s="19">
        <f t="shared" si="77"/>
        <v>0</v>
      </c>
      <c r="V126" s="19">
        <f t="shared" si="77"/>
        <v>0</v>
      </c>
      <c r="W126" s="19">
        <f t="shared" si="77"/>
        <v>0</v>
      </c>
      <c r="X126" s="19" t="e">
        <f t="shared" si="77"/>
        <v>#DIV/0!</v>
      </c>
      <c r="Y126" s="19" t="e">
        <f t="shared" si="77"/>
        <v>#DIV/0!</v>
      </c>
      <c r="Z126" s="19" t="e">
        <f t="shared" si="77"/>
        <v>#DIV/0!</v>
      </c>
      <c r="AA126" s="19" t="e">
        <f t="shared" si="77"/>
        <v>#DIV/0!</v>
      </c>
      <c r="AB126" s="19" t="e">
        <f t="shared" si="77"/>
        <v>#DIV/0!</v>
      </c>
      <c r="AC126" s="19" t="e">
        <f t="shared" si="77"/>
        <v>#DIV/0!</v>
      </c>
      <c r="AD126" s="19" t="e">
        <f t="shared" si="77"/>
        <v>#DIV/0!</v>
      </c>
      <c r="AE126" s="19"/>
      <c r="AF126" s="19"/>
    </row>
    <row r="127" spans="1:32" s="35" customFormat="1" x14ac:dyDescent="0.2">
      <c r="A127" s="34" t="s">
        <v>6</v>
      </c>
      <c r="B127" s="19">
        <f t="shared" ref="B127:AD127" si="78">(B108/B$119)*$B8*B$78/$C8</f>
        <v>20.360000000000007</v>
      </c>
      <c r="C127" s="19">
        <f t="shared" si="78"/>
        <v>23.26</v>
      </c>
      <c r="D127" s="19">
        <f t="shared" si="78"/>
        <v>19.660000000000004</v>
      </c>
      <c r="E127" s="19">
        <f t="shared" si="78"/>
        <v>20.360000000000003</v>
      </c>
      <c r="F127" s="19">
        <f t="shared" si="78"/>
        <v>8.8800000000000008</v>
      </c>
      <c r="G127" s="19">
        <f t="shared" si="78"/>
        <v>20.460000000000004</v>
      </c>
      <c r="H127" s="19">
        <f t="shared" si="78"/>
        <v>19.649999999999999</v>
      </c>
      <c r="I127" s="19">
        <f t="shared" si="78"/>
        <v>18.239999999999995</v>
      </c>
      <c r="J127" s="19">
        <f t="shared" si="78"/>
        <v>18.389999999999997</v>
      </c>
      <c r="K127" s="19">
        <f t="shared" si="78"/>
        <v>21.679999999999996</v>
      </c>
      <c r="L127" s="19">
        <f t="shared" si="78"/>
        <v>17.550000000000004</v>
      </c>
      <c r="M127" s="19">
        <f t="shared" si="78"/>
        <v>21.470000000000006</v>
      </c>
      <c r="N127" s="19">
        <f t="shared" si="78"/>
        <v>19.159999999999997</v>
      </c>
      <c r="O127" s="19">
        <f t="shared" si="78"/>
        <v>18.389999999999997</v>
      </c>
      <c r="P127" s="19">
        <f t="shared" si="78"/>
        <v>21.679999999999996</v>
      </c>
      <c r="Q127" s="19">
        <f t="shared" si="78"/>
        <v>17.550000000000004</v>
      </c>
      <c r="R127" s="19">
        <f t="shared" si="78"/>
        <v>21.470000000000006</v>
      </c>
      <c r="S127" s="19">
        <f t="shared" si="78"/>
        <v>19.159999999999997</v>
      </c>
      <c r="T127" s="19">
        <f t="shared" si="78"/>
        <v>20.969999999999995</v>
      </c>
      <c r="U127" s="19">
        <f t="shared" si="78"/>
        <v>17.659999999999997</v>
      </c>
      <c r="V127" s="19">
        <f t="shared" si="78"/>
        <v>21.749999999999993</v>
      </c>
      <c r="W127" s="19">
        <f t="shared" si="78"/>
        <v>21.380000000000003</v>
      </c>
      <c r="X127" s="19" t="e">
        <f t="shared" si="78"/>
        <v>#DIV/0!</v>
      </c>
      <c r="Y127" s="19" t="e">
        <f t="shared" si="78"/>
        <v>#DIV/0!</v>
      </c>
      <c r="Z127" s="19" t="e">
        <f t="shared" si="78"/>
        <v>#DIV/0!</v>
      </c>
      <c r="AA127" s="19" t="e">
        <f t="shared" si="78"/>
        <v>#DIV/0!</v>
      </c>
      <c r="AB127" s="19" t="e">
        <f t="shared" si="78"/>
        <v>#DIV/0!</v>
      </c>
      <c r="AC127" s="19" t="e">
        <f t="shared" si="78"/>
        <v>#DIV/0!</v>
      </c>
      <c r="AD127" s="19" t="e">
        <f t="shared" si="78"/>
        <v>#DIV/0!</v>
      </c>
      <c r="AE127" s="19"/>
      <c r="AF127" s="19"/>
    </row>
    <row r="128" spans="1:32" s="35" customFormat="1" x14ac:dyDescent="0.2">
      <c r="A128" s="34" t="s">
        <v>9</v>
      </c>
      <c r="B128" s="19">
        <f t="shared" ref="B128:AD128" si="79">(B109/B$119)*$B9*B$78/$C9</f>
        <v>16.950000000000003</v>
      </c>
      <c r="C128" s="19">
        <f t="shared" si="79"/>
        <v>12.57</v>
      </c>
      <c r="D128" s="19">
        <f t="shared" si="79"/>
        <v>18.559999999999995</v>
      </c>
      <c r="E128" s="19">
        <f t="shared" si="79"/>
        <v>16.64</v>
      </c>
      <c r="F128" s="19">
        <f t="shared" si="79"/>
        <v>30.149999999999995</v>
      </c>
      <c r="G128" s="19">
        <f t="shared" si="79"/>
        <v>15.010000000000002</v>
      </c>
      <c r="H128" s="19">
        <f t="shared" si="79"/>
        <v>19.069999999999997</v>
      </c>
      <c r="I128" s="19">
        <f t="shared" si="79"/>
        <v>20.019999999999992</v>
      </c>
      <c r="J128" s="19">
        <f t="shared" si="79"/>
        <v>20.079999999999998</v>
      </c>
      <c r="K128" s="19">
        <f t="shared" si="79"/>
        <v>13.58</v>
      </c>
      <c r="L128" s="19">
        <f t="shared" si="79"/>
        <v>21.190000000000005</v>
      </c>
      <c r="M128" s="19">
        <f t="shared" si="79"/>
        <v>13.71</v>
      </c>
      <c r="N128" s="19">
        <f t="shared" si="79"/>
        <v>20.339999999999996</v>
      </c>
      <c r="O128" s="19">
        <f t="shared" si="79"/>
        <v>20.079999999999998</v>
      </c>
      <c r="P128" s="19">
        <f t="shared" si="79"/>
        <v>13.58</v>
      </c>
      <c r="Q128" s="19">
        <f t="shared" si="79"/>
        <v>21.190000000000005</v>
      </c>
      <c r="R128" s="19">
        <f t="shared" si="79"/>
        <v>13.71</v>
      </c>
      <c r="S128" s="19">
        <f t="shared" si="79"/>
        <v>20.339999999999996</v>
      </c>
      <c r="T128" s="19">
        <f t="shared" si="79"/>
        <v>16.420000000000002</v>
      </c>
      <c r="U128" s="19">
        <f t="shared" si="79"/>
        <v>19.97</v>
      </c>
      <c r="V128" s="19">
        <f t="shared" si="79"/>
        <v>15.129999999999995</v>
      </c>
      <c r="W128" s="19">
        <f t="shared" si="79"/>
        <v>14.990000000000002</v>
      </c>
      <c r="X128" s="19" t="e">
        <f t="shared" si="79"/>
        <v>#DIV/0!</v>
      </c>
      <c r="Y128" s="19" t="e">
        <f t="shared" si="79"/>
        <v>#DIV/0!</v>
      </c>
      <c r="Z128" s="19" t="e">
        <f t="shared" si="79"/>
        <v>#DIV/0!</v>
      </c>
      <c r="AA128" s="19" t="e">
        <f t="shared" si="79"/>
        <v>#DIV/0!</v>
      </c>
      <c r="AB128" s="19" t="e">
        <f t="shared" si="79"/>
        <v>#DIV/0!</v>
      </c>
      <c r="AC128" s="19" t="e">
        <f t="shared" si="79"/>
        <v>#DIV/0!</v>
      </c>
      <c r="AD128" s="19" t="e">
        <f t="shared" si="79"/>
        <v>#DIV/0!</v>
      </c>
      <c r="AE128" s="19"/>
      <c r="AF128" s="19"/>
    </row>
    <row r="129" spans="1:32" s="35" customFormat="1" x14ac:dyDescent="0.2">
      <c r="A129" s="34" t="s">
        <v>16</v>
      </c>
      <c r="B129" s="19">
        <f t="shared" ref="B129:AD129" si="80">(B110/B$119)*$B10*B$78/$C10</f>
        <v>0</v>
      </c>
      <c r="C129" s="19">
        <f t="shared" si="80"/>
        <v>0</v>
      </c>
      <c r="D129" s="19">
        <f t="shared" si="80"/>
        <v>0</v>
      </c>
      <c r="E129" s="19">
        <f t="shared" si="80"/>
        <v>0</v>
      </c>
      <c r="F129" s="19">
        <f t="shared" si="80"/>
        <v>0</v>
      </c>
      <c r="G129" s="19">
        <f t="shared" si="80"/>
        <v>0</v>
      </c>
      <c r="H129" s="19">
        <f t="shared" si="80"/>
        <v>0</v>
      </c>
      <c r="I129" s="19">
        <f t="shared" si="80"/>
        <v>0</v>
      </c>
      <c r="J129" s="19">
        <f t="shared" si="80"/>
        <v>0</v>
      </c>
      <c r="K129" s="19">
        <f t="shared" si="80"/>
        <v>0</v>
      </c>
      <c r="L129" s="19">
        <f t="shared" si="80"/>
        <v>0</v>
      </c>
      <c r="M129" s="19">
        <f t="shared" si="80"/>
        <v>0</v>
      </c>
      <c r="N129" s="19">
        <f t="shared" si="80"/>
        <v>0</v>
      </c>
      <c r="O129" s="19">
        <f t="shared" si="80"/>
        <v>0</v>
      </c>
      <c r="P129" s="19">
        <f t="shared" si="80"/>
        <v>0</v>
      </c>
      <c r="Q129" s="19">
        <f t="shared" si="80"/>
        <v>0</v>
      </c>
      <c r="R129" s="19">
        <f t="shared" si="80"/>
        <v>0</v>
      </c>
      <c r="S129" s="19">
        <f t="shared" si="80"/>
        <v>0</v>
      </c>
      <c r="T129" s="19">
        <f t="shared" si="80"/>
        <v>0</v>
      </c>
      <c r="U129" s="19">
        <f t="shared" si="80"/>
        <v>0</v>
      </c>
      <c r="V129" s="19">
        <f t="shared" si="80"/>
        <v>0</v>
      </c>
      <c r="W129" s="19">
        <f t="shared" si="80"/>
        <v>0</v>
      </c>
      <c r="X129" s="19" t="e">
        <f t="shared" si="80"/>
        <v>#DIV/0!</v>
      </c>
      <c r="Y129" s="19" t="e">
        <f t="shared" si="80"/>
        <v>#DIV/0!</v>
      </c>
      <c r="Z129" s="19" t="e">
        <f t="shared" si="80"/>
        <v>#DIV/0!</v>
      </c>
      <c r="AA129" s="19" t="e">
        <f t="shared" si="80"/>
        <v>#DIV/0!</v>
      </c>
      <c r="AB129" s="19" t="e">
        <f t="shared" si="80"/>
        <v>#DIV/0!</v>
      </c>
      <c r="AC129" s="19" t="e">
        <f t="shared" si="80"/>
        <v>#DIV/0!</v>
      </c>
      <c r="AD129" s="19" t="e">
        <f t="shared" si="80"/>
        <v>#DIV/0!</v>
      </c>
      <c r="AE129" s="19"/>
      <c r="AF129" s="19"/>
    </row>
    <row r="130" spans="1:32" s="35" customFormat="1" x14ac:dyDescent="0.2">
      <c r="A130" s="34" t="s">
        <v>8</v>
      </c>
      <c r="B130" s="19">
        <f t="shared" ref="B130:AD130" si="81">(B111/B$119)*$B11*B$78/$C11</f>
        <v>3.7200000000000015</v>
      </c>
      <c r="C130" s="19">
        <f t="shared" si="81"/>
        <v>4.49</v>
      </c>
      <c r="D130" s="19">
        <f t="shared" si="81"/>
        <v>3.3600000000000003</v>
      </c>
      <c r="E130" s="19">
        <f t="shared" si="81"/>
        <v>3.9900000000000007</v>
      </c>
      <c r="F130" s="19">
        <f t="shared" si="81"/>
        <v>2.7300000000000004</v>
      </c>
      <c r="G130" s="19">
        <f t="shared" si="81"/>
        <v>4.0300000000000011</v>
      </c>
      <c r="H130" s="19">
        <f t="shared" si="81"/>
        <v>3.15</v>
      </c>
      <c r="I130" s="19">
        <f t="shared" si="81"/>
        <v>3.3299999999999992</v>
      </c>
      <c r="J130" s="19">
        <f t="shared" si="81"/>
        <v>3.1899999999999995</v>
      </c>
      <c r="K130" s="19">
        <f t="shared" si="81"/>
        <v>4.2299999999999995</v>
      </c>
      <c r="L130" s="19">
        <f t="shared" si="81"/>
        <v>3.0800000000000005</v>
      </c>
      <c r="M130" s="19">
        <f t="shared" si="81"/>
        <v>4.26</v>
      </c>
      <c r="N130" s="19">
        <f t="shared" si="81"/>
        <v>3.19</v>
      </c>
      <c r="O130" s="19">
        <f t="shared" si="81"/>
        <v>3.1899999999999995</v>
      </c>
      <c r="P130" s="19">
        <f t="shared" si="81"/>
        <v>4.2299999999999995</v>
      </c>
      <c r="Q130" s="19">
        <f t="shared" si="81"/>
        <v>3.0800000000000005</v>
      </c>
      <c r="R130" s="19">
        <f t="shared" si="81"/>
        <v>4.26</v>
      </c>
      <c r="S130" s="19">
        <f t="shared" si="81"/>
        <v>3.19</v>
      </c>
      <c r="T130" s="19">
        <f t="shared" si="81"/>
        <v>3.9899999999999998</v>
      </c>
      <c r="U130" s="19">
        <f t="shared" si="81"/>
        <v>3.57</v>
      </c>
      <c r="V130" s="19">
        <f t="shared" si="81"/>
        <v>4.0199999999999987</v>
      </c>
      <c r="W130" s="19">
        <f t="shared" si="81"/>
        <v>4.29</v>
      </c>
      <c r="X130" s="19" t="e">
        <f t="shared" si="81"/>
        <v>#DIV/0!</v>
      </c>
      <c r="Y130" s="19" t="e">
        <f t="shared" si="81"/>
        <v>#DIV/0!</v>
      </c>
      <c r="Z130" s="19" t="e">
        <f t="shared" si="81"/>
        <v>#DIV/0!</v>
      </c>
      <c r="AA130" s="19" t="e">
        <f t="shared" si="81"/>
        <v>#DIV/0!</v>
      </c>
      <c r="AB130" s="19" t="e">
        <f t="shared" si="81"/>
        <v>#DIV/0!</v>
      </c>
      <c r="AC130" s="19" t="e">
        <f t="shared" si="81"/>
        <v>#DIV/0!</v>
      </c>
      <c r="AD130" s="19" t="e">
        <f t="shared" si="81"/>
        <v>#DIV/0!</v>
      </c>
      <c r="AE130" s="19"/>
      <c r="AF130" s="19"/>
    </row>
    <row r="131" spans="1:32" s="35" customFormat="1" x14ac:dyDescent="0.2">
      <c r="A131" s="34" t="s">
        <v>10</v>
      </c>
      <c r="B131" s="19">
        <f t="shared" ref="B131:AD131" si="82">(B112/B$119)*$B12*B$78/$C12</f>
        <v>1.3700000000000003</v>
      </c>
      <c r="C131" s="19">
        <f t="shared" si="82"/>
        <v>1.83</v>
      </c>
      <c r="D131" s="19">
        <f t="shared" si="82"/>
        <v>1.2100000000000002</v>
      </c>
      <c r="E131" s="19">
        <f t="shared" si="82"/>
        <v>1.1200000000000001</v>
      </c>
      <c r="F131" s="19">
        <f t="shared" si="82"/>
        <v>1.17</v>
      </c>
      <c r="G131" s="19">
        <f t="shared" si="82"/>
        <v>2.2700000000000005</v>
      </c>
      <c r="H131" s="19">
        <f t="shared" si="82"/>
        <v>1.3</v>
      </c>
      <c r="I131" s="19">
        <f t="shared" si="82"/>
        <v>1.0199999999999996</v>
      </c>
      <c r="J131" s="19">
        <f t="shared" si="82"/>
        <v>1.1399999999999999</v>
      </c>
      <c r="K131" s="19">
        <f t="shared" si="82"/>
        <v>2.27</v>
      </c>
      <c r="L131" s="19">
        <f t="shared" si="82"/>
        <v>1.1300000000000001</v>
      </c>
      <c r="M131" s="19">
        <f t="shared" si="82"/>
        <v>1.8800000000000001</v>
      </c>
      <c r="N131" s="19">
        <f t="shared" si="82"/>
        <v>1.01</v>
      </c>
      <c r="O131" s="19">
        <f t="shared" si="82"/>
        <v>1.1399999999999999</v>
      </c>
      <c r="P131" s="19">
        <f t="shared" si="82"/>
        <v>2.27</v>
      </c>
      <c r="Q131" s="19">
        <f t="shared" si="82"/>
        <v>1.1300000000000001</v>
      </c>
      <c r="R131" s="19">
        <f t="shared" si="82"/>
        <v>1.8800000000000001</v>
      </c>
      <c r="S131" s="19">
        <f t="shared" si="82"/>
        <v>1.01</v>
      </c>
      <c r="T131" s="19">
        <f t="shared" si="82"/>
        <v>1.2699999999999996</v>
      </c>
      <c r="U131" s="19">
        <f t="shared" si="82"/>
        <v>1.25</v>
      </c>
      <c r="V131" s="19">
        <f t="shared" si="82"/>
        <v>1.5399999999999996</v>
      </c>
      <c r="W131" s="19">
        <f t="shared" si="82"/>
        <v>1.2500000000000004</v>
      </c>
      <c r="X131" s="19" t="e">
        <f t="shared" si="82"/>
        <v>#DIV/0!</v>
      </c>
      <c r="Y131" s="19" t="e">
        <f t="shared" si="82"/>
        <v>#DIV/0!</v>
      </c>
      <c r="Z131" s="19" t="e">
        <f t="shared" si="82"/>
        <v>#DIV/0!</v>
      </c>
      <c r="AA131" s="19" t="e">
        <f t="shared" si="82"/>
        <v>#DIV/0!</v>
      </c>
      <c r="AB131" s="19" t="e">
        <f t="shared" si="82"/>
        <v>#DIV/0!</v>
      </c>
      <c r="AC131" s="19" t="e">
        <f t="shared" si="82"/>
        <v>#DIV/0!</v>
      </c>
      <c r="AD131" s="19" t="e">
        <f t="shared" si="82"/>
        <v>#DIV/0!</v>
      </c>
      <c r="AE131" s="19"/>
      <c r="AF131" s="19"/>
    </row>
    <row r="132" spans="1:32" s="35" customFormat="1" x14ac:dyDescent="0.2">
      <c r="A132" s="34" t="s">
        <v>5</v>
      </c>
      <c r="B132" s="19">
        <f t="shared" ref="B132:AD132" si="83">(B113/B$119)*$B13*B$78/$C13</f>
        <v>4.0000000000000008E-2</v>
      </c>
      <c r="C132" s="19">
        <f t="shared" si="83"/>
        <v>0</v>
      </c>
      <c r="D132" s="19">
        <f t="shared" si="83"/>
        <v>4.0000000000000008E-2</v>
      </c>
      <c r="E132" s="19">
        <f t="shared" si="83"/>
        <v>0.04</v>
      </c>
      <c r="F132" s="19">
        <f t="shared" si="83"/>
        <v>0</v>
      </c>
      <c r="G132" s="19">
        <f t="shared" si="83"/>
        <v>3.0000000000000009E-2</v>
      </c>
      <c r="H132" s="19">
        <f t="shared" si="83"/>
        <v>0</v>
      </c>
      <c r="I132" s="19">
        <f t="shared" si="83"/>
        <v>4.9999999999999982E-2</v>
      </c>
      <c r="J132" s="19">
        <f t="shared" si="83"/>
        <v>3.0000000000000002E-2</v>
      </c>
      <c r="K132" s="19">
        <f t="shared" si="83"/>
        <v>0.04</v>
      </c>
      <c r="L132" s="19">
        <f t="shared" si="83"/>
        <v>3.0000000000000002E-2</v>
      </c>
      <c r="M132" s="19">
        <f t="shared" si="83"/>
        <v>1.9999999999999997E-2</v>
      </c>
      <c r="N132" s="19">
        <f t="shared" si="83"/>
        <v>0.03</v>
      </c>
      <c r="O132" s="19">
        <f t="shared" si="83"/>
        <v>3.0000000000000002E-2</v>
      </c>
      <c r="P132" s="19">
        <f t="shared" si="83"/>
        <v>0.04</v>
      </c>
      <c r="Q132" s="19">
        <f t="shared" si="83"/>
        <v>3.0000000000000002E-2</v>
      </c>
      <c r="R132" s="19">
        <f t="shared" si="83"/>
        <v>1.9999999999999997E-2</v>
      </c>
      <c r="S132" s="19">
        <f t="shared" si="83"/>
        <v>0.03</v>
      </c>
      <c r="T132" s="19">
        <f t="shared" si="83"/>
        <v>1.9999999999999997E-2</v>
      </c>
      <c r="U132" s="19">
        <f t="shared" si="83"/>
        <v>5.000000000000001E-2</v>
      </c>
      <c r="V132" s="19">
        <f t="shared" si="83"/>
        <v>0</v>
      </c>
      <c r="W132" s="19">
        <f t="shared" si="83"/>
        <v>5.0000000000000017E-2</v>
      </c>
      <c r="X132" s="19" t="e">
        <f t="shared" si="83"/>
        <v>#DIV/0!</v>
      </c>
      <c r="Y132" s="19" t="e">
        <f t="shared" si="83"/>
        <v>#DIV/0!</v>
      </c>
      <c r="Z132" s="19" t="e">
        <f t="shared" si="83"/>
        <v>#DIV/0!</v>
      </c>
      <c r="AA132" s="19" t="e">
        <f t="shared" si="83"/>
        <v>#DIV/0!</v>
      </c>
      <c r="AB132" s="19" t="e">
        <f t="shared" si="83"/>
        <v>#DIV/0!</v>
      </c>
      <c r="AC132" s="19" t="e">
        <f t="shared" si="83"/>
        <v>#DIV/0!</v>
      </c>
      <c r="AD132" s="19" t="e">
        <f t="shared" si="83"/>
        <v>#DIV/0!</v>
      </c>
      <c r="AE132" s="19"/>
      <c r="AF132" s="19"/>
    </row>
    <row r="133" spans="1:32" s="35" customFormat="1" x14ac:dyDescent="0.2">
      <c r="A133" s="34" t="s">
        <v>3</v>
      </c>
      <c r="B133" s="19">
        <f t="shared" ref="B133:AD133" si="84">(B114/B$119)*$B14*B$78/$C14</f>
        <v>3.0000000000000009E-2</v>
      </c>
      <c r="C133" s="19">
        <f t="shared" si="84"/>
        <v>0</v>
      </c>
      <c r="D133" s="19">
        <f t="shared" si="84"/>
        <v>0</v>
      </c>
      <c r="E133" s="19">
        <f t="shared" si="84"/>
        <v>0</v>
      </c>
      <c r="F133" s="19">
        <f t="shared" si="84"/>
        <v>0</v>
      </c>
      <c r="G133" s="19">
        <f t="shared" si="84"/>
        <v>0</v>
      </c>
      <c r="H133" s="19">
        <f t="shared" si="84"/>
        <v>0.01</v>
      </c>
      <c r="I133" s="19">
        <f t="shared" si="84"/>
        <v>9.999999999999995E-3</v>
      </c>
      <c r="J133" s="19">
        <f t="shared" si="84"/>
        <v>0</v>
      </c>
      <c r="K133" s="19">
        <f t="shared" si="84"/>
        <v>0</v>
      </c>
      <c r="L133" s="19">
        <f t="shared" si="84"/>
        <v>1.0000000000000004E-2</v>
      </c>
      <c r="M133" s="19">
        <f t="shared" si="84"/>
        <v>0</v>
      </c>
      <c r="N133" s="19">
        <f t="shared" si="84"/>
        <v>0</v>
      </c>
      <c r="O133" s="19">
        <f t="shared" si="84"/>
        <v>0</v>
      </c>
      <c r="P133" s="19">
        <f t="shared" si="84"/>
        <v>0</v>
      </c>
      <c r="Q133" s="19">
        <f t="shared" si="84"/>
        <v>1.0000000000000004E-2</v>
      </c>
      <c r="R133" s="19">
        <f t="shared" si="84"/>
        <v>0</v>
      </c>
      <c r="S133" s="19">
        <f t="shared" si="84"/>
        <v>0</v>
      </c>
      <c r="T133" s="19">
        <f t="shared" si="84"/>
        <v>0</v>
      </c>
      <c r="U133" s="19">
        <f t="shared" si="84"/>
        <v>0</v>
      </c>
      <c r="V133" s="19">
        <f t="shared" si="84"/>
        <v>9.9999999999999985E-3</v>
      </c>
      <c r="W133" s="19">
        <f t="shared" si="84"/>
        <v>0</v>
      </c>
      <c r="X133" s="19" t="e">
        <f t="shared" si="84"/>
        <v>#DIV/0!</v>
      </c>
      <c r="Y133" s="19" t="e">
        <f t="shared" si="84"/>
        <v>#DIV/0!</v>
      </c>
      <c r="Z133" s="19" t="e">
        <f t="shared" si="84"/>
        <v>#DIV/0!</v>
      </c>
      <c r="AA133" s="19" t="e">
        <f t="shared" si="84"/>
        <v>#DIV/0!</v>
      </c>
      <c r="AB133" s="19" t="e">
        <f t="shared" si="84"/>
        <v>#DIV/0!</v>
      </c>
      <c r="AC133" s="19" t="e">
        <f t="shared" si="84"/>
        <v>#DIV/0!</v>
      </c>
      <c r="AD133" s="19" t="e">
        <f t="shared" si="84"/>
        <v>#DIV/0!</v>
      </c>
      <c r="AE133" s="19"/>
      <c r="AF133" s="19"/>
    </row>
    <row r="134" spans="1:32" s="35" customFormat="1" x14ac:dyDescent="0.2">
      <c r="A134" s="34" t="str">
        <f>A16</f>
        <v>Add ox</v>
      </c>
      <c r="B134" s="19">
        <f t="shared" ref="B134:AD134" si="85">(B115/B$119)*$B16*B$78/$C16</f>
        <v>0</v>
      </c>
      <c r="C134" s="19">
        <f t="shared" si="85"/>
        <v>0</v>
      </c>
      <c r="D134" s="19">
        <f t="shared" si="85"/>
        <v>0</v>
      </c>
      <c r="E134" s="19">
        <f t="shared" si="85"/>
        <v>0</v>
      </c>
      <c r="F134" s="19">
        <f t="shared" si="85"/>
        <v>0</v>
      </c>
      <c r="G134" s="19">
        <f t="shared" si="85"/>
        <v>0</v>
      </c>
      <c r="H134" s="19">
        <f t="shared" si="85"/>
        <v>0</v>
      </c>
      <c r="I134" s="19">
        <f t="shared" si="85"/>
        <v>0</v>
      </c>
      <c r="J134" s="19">
        <f t="shared" si="85"/>
        <v>0</v>
      </c>
      <c r="K134" s="19">
        <f t="shared" si="85"/>
        <v>0</v>
      </c>
      <c r="L134" s="19">
        <f t="shared" si="85"/>
        <v>0</v>
      </c>
      <c r="M134" s="19">
        <f t="shared" si="85"/>
        <v>0</v>
      </c>
      <c r="N134" s="19">
        <f t="shared" si="85"/>
        <v>0</v>
      </c>
      <c r="O134" s="19">
        <f t="shared" si="85"/>
        <v>0</v>
      </c>
      <c r="P134" s="19">
        <f t="shared" si="85"/>
        <v>0</v>
      </c>
      <c r="Q134" s="19">
        <f t="shared" si="85"/>
        <v>0</v>
      </c>
      <c r="R134" s="19">
        <f t="shared" si="85"/>
        <v>0</v>
      </c>
      <c r="S134" s="19">
        <f t="shared" si="85"/>
        <v>0</v>
      </c>
      <c r="T134" s="19">
        <f t="shared" si="85"/>
        <v>0</v>
      </c>
      <c r="U134" s="19">
        <f t="shared" si="85"/>
        <v>0</v>
      </c>
      <c r="V134" s="19">
        <f t="shared" si="85"/>
        <v>0</v>
      </c>
      <c r="W134" s="19">
        <f t="shared" si="85"/>
        <v>0</v>
      </c>
      <c r="X134" s="19" t="e">
        <f t="shared" si="85"/>
        <v>#DIV/0!</v>
      </c>
      <c r="Y134" s="19" t="e">
        <f t="shared" si="85"/>
        <v>#DIV/0!</v>
      </c>
      <c r="Z134" s="19" t="e">
        <f t="shared" si="85"/>
        <v>#DIV/0!</v>
      </c>
      <c r="AA134" s="19" t="e">
        <f t="shared" si="85"/>
        <v>#DIV/0!</v>
      </c>
      <c r="AB134" s="19" t="e">
        <f t="shared" si="85"/>
        <v>#DIV/0!</v>
      </c>
      <c r="AC134" s="19" t="e">
        <f t="shared" si="85"/>
        <v>#DIV/0!</v>
      </c>
      <c r="AD134" s="19" t="e">
        <f t="shared" si="85"/>
        <v>#DIV/0!</v>
      </c>
      <c r="AE134" s="19"/>
      <c r="AF134" s="19"/>
    </row>
    <row r="135" spans="1:32" s="35" customFormat="1" x14ac:dyDescent="0.2">
      <c r="A135" s="34" t="s">
        <v>56</v>
      </c>
      <c r="B135" s="19">
        <f t="shared" ref="B135:AD135" si="86">(B116/B$119)*$B17*B$78/$C17</f>
        <v>0</v>
      </c>
      <c r="C135" s="19">
        <f t="shared" si="86"/>
        <v>0</v>
      </c>
      <c r="D135" s="19">
        <f t="shared" si="86"/>
        <v>0</v>
      </c>
      <c r="E135" s="19">
        <f t="shared" si="86"/>
        <v>0</v>
      </c>
      <c r="F135" s="19">
        <f t="shared" si="86"/>
        <v>0</v>
      </c>
      <c r="G135" s="19">
        <f t="shared" si="86"/>
        <v>0</v>
      </c>
      <c r="H135" s="19">
        <f t="shared" si="86"/>
        <v>0</v>
      </c>
      <c r="I135" s="19">
        <f t="shared" si="86"/>
        <v>0</v>
      </c>
      <c r="J135" s="19">
        <f t="shared" si="86"/>
        <v>0</v>
      </c>
      <c r="K135" s="19">
        <f t="shared" si="86"/>
        <v>0</v>
      </c>
      <c r="L135" s="19">
        <f t="shared" si="86"/>
        <v>0</v>
      </c>
      <c r="M135" s="19">
        <f t="shared" si="86"/>
        <v>0</v>
      </c>
      <c r="N135" s="19">
        <f t="shared" si="86"/>
        <v>0</v>
      </c>
      <c r="O135" s="19">
        <f t="shared" si="86"/>
        <v>0</v>
      </c>
      <c r="P135" s="19">
        <f t="shared" si="86"/>
        <v>0</v>
      </c>
      <c r="Q135" s="19">
        <f t="shared" si="86"/>
        <v>0</v>
      </c>
      <c r="R135" s="19">
        <f t="shared" si="86"/>
        <v>0</v>
      </c>
      <c r="S135" s="19">
        <f t="shared" si="86"/>
        <v>0</v>
      </c>
      <c r="T135" s="19">
        <f t="shared" si="86"/>
        <v>0</v>
      </c>
      <c r="U135" s="19">
        <f t="shared" si="86"/>
        <v>0</v>
      </c>
      <c r="V135" s="19">
        <f t="shared" si="86"/>
        <v>0</v>
      </c>
      <c r="W135" s="19">
        <f t="shared" si="86"/>
        <v>0</v>
      </c>
      <c r="X135" s="19" t="e">
        <f t="shared" si="86"/>
        <v>#DIV/0!</v>
      </c>
      <c r="Y135" s="19" t="e">
        <f t="shared" si="86"/>
        <v>#DIV/0!</v>
      </c>
      <c r="Z135" s="19" t="e">
        <f t="shared" si="86"/>
        <v>#DIV/0!</v>
      </c>
      <c r="AA135" s="19" t="e">
        <f t="shared" si="86"/>
        <v>#DIV/0!</v>
      </c>
      <c r="AB135" s="19" t="e">
        <f t="shared" si="86"/>
        <v>#DIV/0!</v>
      </c>
      <c r="AC135" s="19" t="e">
        <f t="shared" si="86"/>
        <v>#DIV/0!</v>
      </c>
      <c r="AD135" s="19" t="e">
        <f t="shared" si="86"/>
        <v>#DIV/0!</v>
      </c>
      <c r="AE135" s="19"/>
      <c r="AF135" s="19"/>
    </row>
    <row r="136" spans="1:32" s="35" customFormat="1" x14ac:dyDescent="0.2">
      <c r="A136" s="34" t="s">
        <v>57</v>
      </c>
      <c r="B136" s="19">
        <f t="shared" ref="B136:AD136" si="87">(B117/B$119)*$B18*B$78/$C18</f>
        <v>0</v>
      </c>
      <c r="C136" s="19">
        <f t="shared" si="87"/>
        <v>0</v>
      </c>
      <c r="D136" s="19">
        <f t="shared" si="87"/>
        <v>0</v>
      </c>
      <c r="E136" s="19">
        <f t="shared" si="87"/>
        <v>0</v>
      </c>
      <c r="F136" s="19">
        <f t="shared" si="87"/>
        <v>0</v>
      </c>
      <c r="G136" s="19">
        <f t="shared" si="87"/>
        <v>0</v>
      </c>
      <c r="H136" s="19">
        <f t="shared" si="87"/>
        <v>0</v>
      </c>
      <c r="I136" s="19">
        <f t="shared" si="87"/>
        <v>0</v>
      </c>
      <c r="J136" s="19">
        <f t="shared" si="87"/>
        <v>0</v>
      </c>
      <c r="K136" s="19">
        <f t="shared" si="87"/>
        <v>0</v>
      </c>
      <c r="L136" s="19">
        <f t="shared" si="87"/>
        <v>0</v>
      </c>
      <c r="M136" s="19">
        <f t="shared" si="87"/>
        <v>0</v>
      </c>
      <c r="N136" s="19">
        <f t="shared" si="87"/>
        <v>0</v>
      </c>
      <c r="O136" s="19">
        <f t="shared" si="87"/>
        <v>0</v>
      </c>
      <c r="P136" s="19">
        <f t="shared" si="87"/>
        <v>0</v>
      </c>
      <c r="Q136" s="19">
        <f t="shared" si="87"/>
        <v>0</v>
      </c>
      <c r="R136" s="19">
        <f t="shared" si="87"/>
        <v>0</v>
      </c>
      <c r="S136" s="19">
        <f t="shared" si="87"/>
        <v>0</v>
      </c>
      <c r="T136" s="19">
        <f t="shared" si="87"/>
        <v>0</v>
      </c>
      <c r="U136" s="19">
        <f t="shared" si="87"/>
        <v>0</v>
      </c>
      <c r="V136" s="19">
        <f t="shared" si="87"/>
        <v>0</v>
      </c>
      <c r="W136" s="19">
        <f t="shared" si="87"/>
        <v>0</v>
      </c>
      <c r="X136" s="19" t="e">
        <f t="shared" si="87"/>
        <v>#DIV/0!</v>
      </c>
      <c r="Y136" s="19" t="e">
        <f t="shared" si="87"/>
        <v>#DIV/0!</v>
      </c>
      <c r="Z136" s="19" t="e">
        <f t="shared" si="87"/>
        <v>#DIV/0!</v>
      </c>
      <c r="AA136" s="19" t="e">
        <f t="shared" si="87"/>
        <v>#DIV/0!</v>
      </c>
      <c r="AB136" s="19" t="e">
        <f t="shared" si="87"/>
        <v>#DIV/0!</v>
      </c>
      <c r="AC136" s="19" t="e">
        <f t="shared" si="87"/>
        <v>#DIV/0!</v>
      </c>
      <c r="AD136" s="19" t="e">
        <f t="shared" si="87"/>
        <v>#DIV/0!</v>
      </c>
      <c r="AE136" s="19"/>
      <c r="AF136" s="19"/>
    </row>
    <row r="137" spans="1:32" s="35" customFormat="1" x14ac:dyDescent="0.2">
      <c r="A137" s="34" t="s">
        <v>58</v>
      </c>
      <c r="B137" s="19">
        <f t="shared" ref="B137:AD137" si="88">(B118/B$119)*$B19*B$78/$C19</f>
        <v>0</v>
      </c>
      <c r="C137" s="19">
        <f t="shared" si="88"/>
        <v>0</v>
      </c>
      <c r="D137" s="19">
        <f t="shared" si="88"/>
        <v>0</v>
      </c>
      <c r="E137" s="19">
        <f t="shared" si="88"/>
        <v>0</v>
      </c>
      <c r="F137" s="19">
        <f t="shared" si="88"/>
        <v>0</v>
      </c>
      <c r="G137" s="19">
        <f t="shared" si="88"/>
        <v>0</v>
      </c>
      <c r="H137" s="19">
        <f t="shared" si="88"/>
        <v>0</v>
      </c>
      <c r="I137" s="19">
        <f t="shared" si="88"/>
        <v>0</v>
      </c>
      <c r="J137" s="19">
        <f t="shared" si="88"/>
        <v>0</v>
      </c>
      <c r="K137" s="19">
        <f t="shared" si="88"/>
        <v>0</v>
      </c>
      <c r="L137" s="19">
        <f t="shared" si="88"/>
        <v>0</v>
      </c>
      <c r="M137" s="19">
        <f t="shared" si="88"/>
        <v>0</v>
      </c>
      <c r="N137" s="19">
        <f t="shared" si="88"/>
        <v>0</v>
      </c>
      <c r="O137" s="19">
        <f t="shared" si="88"/>
        <v>0</v>
      </c>
      <c r="P137" s="19">
        <f t="shared" si="88"/>
        <v>0</v>
      </c>
      <c r="Q137" s="19">
        <f t="shared" si="88"/>
        <v>0</v>
      </c>
      <c r="R137" s="19">
        <f t="shared" si="88"/>
        <v>0</v>
      </c>
      <c r="S137" s="19">
        <f t="shared" si="88"/>
        <v>0</v>
      </c>
      <c r="T137" s="19">
        <f t="shared" si="88"/>
        <v>0</v>
      </c>
      <c r="U137" s="19">
        <f t="shared" si="88"/>
        <v>0</v>
      </c>
      <c r="V137" s="19">
        <f t="shared" si="88"/>
        <v>0</v>
      </c>
      <c r="W137" s="19">
        <f t="shared" si="88"/>
        <v>0</v>
      </c>
      <c r="X137" s="19" t="e">
        <f t="shared" si="88"/>
        <v>#DIV/0!</v>
      </c>
      <c r="Y137" s="19" t="e">
        <f t="shared" si="88"/>
        <v>#DIV/0!</v>
      </c>
      <c r="Z137" s="19" t="e">
        <f t="shared" si="88"/>
        <v>#DIV/0!</v>
      </c>
      <c r="AA137" s="19" t="e">
        <f t="shared" si="88"/>
        <v>#DIV/0!</v>
      </c>
      <c r="AB137" s="19" t="e">
        <f t="shared" si="88"/>
        <v>#DIV/0!</v>
      </c>
      <c r="AC137" s="19" t="e">
        <f t="shared" si="88"/>
        <v>#DIV/0!</v>
      </c>
      <c r="AD137" s="19" t="e">
        <f t="shared" si="88"/>
        <v>#DIV/0!</v>
      </c>
      <c r="AE137" s="19"/>
      <c r="AF137" s="19"/>
    </row>
    <row r="138" spans="1:32" s="35" customFormat="1" x14ac:dyDescent="0.2">
      <c r="A138" s="34" t="s">
        <v>17</v>
      </c>
      <c r="B138" s="19">
        <f>SUM(B122:B137)</f>
        <v>99.80000000000004</v>
      </c>
      <c r="C138" s="19">
        <f>SUM(C122:C137)</f>
        <v>100.9</v>
      </c>
      <c r="D138" s="19">
        <f t="shared" ref="D138:AD138" si="89">SUM(D122:D137)</f>
        <v>100.47000000000001</v>
      </c>
      <c r="E138" s="19">
        <f t="shared" si="89"/>
        <v>100.85000000000001</v>
      </c>
      <c r="F138" s="19">
        <f t="shared" si="89"/>
        <v>99.999999999999986</v>
      </c>
      <c r="G138" s="19">
        <f t="shared" si="89"/>
        <v>100.71000000000002</v>
      </c>
      <c r="H138" s="19">
        <f t="shared" si="89"/>
        <v>100.64</v>
      </c>
      <c r="I138" s="19">
        <f t="shared" si="89"/>
        <v>100.25999999999998</v>
      </c>
      <c r="J138" s="19">
        <f t="shared" si="89"/>
        <v>100.92</v>
      </c>
      <c r="K138" s="19">
        <f t="shared" si="89"/>
        <v>100.21000000000001</v>
      </c>
      <c r="L138" s="19">
        <f t="shared" si="89"/>
        <v>100.76000000000002</v>
      </c>
      <c r="M138" s="19">
        <f t="shared" si="89"/>
        <v>99.580000000000013</v>
      </c>
      <c r="N138" s="19">
        <f t="shared" si="89"/>
        <v>100.58</v>
      </c>
      <c r="O138" s="19">
        <f t="shared" si="89"/>
        <v>100.92</v>
      </c>
      <c r="P138" s="19">
        <f t="shared" si="89"/>
        <v>100.21000000000001</v>
      </c>
      <c r="Q138" s="19">
        <f t="shared" si="89"/>
        <v>100.76000000000002</v>
      </c>
      <c r="R138" s="19">
        <f t="shared" si="89"/>
        <v>99.580000000000013</v>
      </c>
      <c r="S138" s="19">
        <f t="shared" si="89"/>
        <v>100.58</v>
      </c>
      <c r="T138" s="19">
        <f t="shared" si="89"/>
        <v>99.979999999999976</v>
      </c>
      <c r="U138" s="19">
        <f t="shared" si="89"/>
        <v>99.729999999999976</v>
      </c>
      <c r="V138" s="19">
        <f t="shared" si="89"/>
        <v>100.24999999999997</v>
      </c>
      <c r="W138" s="19">
        <f t="shared" si="89"/>
        <v>100.31000000000003</v>
      </c>
      <c r="X138" s="19" t="e">
        <f t="shared" si="89"/>
        <v>#DIV/0!</v>
      </c>
      <c r="Y138" s="19" t="e">
        <f t="shared" si="89"/>
        <v>#DIV/0!</v>
      </c>
      <c r="Z138" s="19" t="e">
        <f t="shared" si="89"/>
        <v>#DIV/0!</v>
      </c>
      <c r="AA138" s="19" t="e">
        <f t="shared" si="89"/>
        <v>#DIV/0!</v>
      </c>
      <c r="AB138" s="19" t="e">
        <f t="shared" si="89"/>
        <v>#DIV/0!</v>
      </c>
      <c r="AC138" s="19" t="e">
        <f t="shared" si="89"/>
        <v>#DIV/0!</v>
      </c>
      <c r="AD138" s="19" t="e">
        <f t="shared" si="89"/>
        <v>#DIV/0!</v>
      </c>
      <c r="AE138" s="19"/>
      <c r="AF138" s="19"/>
    </row>
    <row r="139" spans="1:32" s="35" customFormat="1" x14ac:dyDescent="0.2">
      <c r="A139" s="34" t="s">
        <v>60</v>
      </c>
      <c r="B139" s="19">
        <f>B136*0.4211+B137*0.2256</f>
        <v>0</v>
      </c>
      <c r="C139" s="19">
        <f>C136*0.4211+C137*0.2256</f>
        <v>0</v>
      </c>
      <c r="D139" s="19">
        <f t="shared" ref="D139:AD139" si="90">D136*0.4211+D137*0.2256</f>
        <v>0</v>
      </c>
      <c r="E139" s="19">
        <f t="shared" si="90"/>
        <v>0</v>
      </c>
      <c r="F139" s="19">
        <f t="shared" si="90"/>
        <v>0</v>
      </c>
      <c r="G139" s="19">
        <f t="shared" si="90"/>
        <v>0</v>
      </c>
      <c r="H139" s="19">
        <f t="shared" si="90"/>
        <v>0</v>
      </c>
      <c r="I139" s="19">
        <f t="shared" si="90"/>
        <v>0</v>
      </c>
      <c r="J139" s="19">
        <f t="shared" si="90"/>
        <v>0</v>
      </c>
      <c r="K139" s="19">
        <f t="shared" si="90"/>
        <v>0</v>
      </c>
      <c r="L139" s="19">
        <f t="shared" si="90"/>
        <v>0</v>
      </c>
      <c r="M139" s="19">
        <f t="shared" si="90"/>
        <v>0</v>
      </c>
      <c r="N139" s="19">
        <f t="shared" si="90"/>
        <v>0</v>
      </c>
      <c r="O139" s="19">
        <f t="shared" si="90"/>
        <v>0</v>
      </c>
      <c r="P139" s="19">
        <f t="shared" si="90"/>
        <v>0</v>
      </c>
      <c r="Q139" s="19">
        <f t="shared" si="90"/>
        <v>0</v>
      </c>
      <c r="R139" s="19">
        <f t="shared" si="90"/>
        <v>0</v>
      </c>
      <c r="S139" s="19">
        <f t="shared" si="90"/>
        <v>0</v>
      </c>
      <c r="T139" s="19">
        <f t="shared" si="90"/>
        <v>0</v>
      </c>
      <c r="U139" s="19">
        <f t="shared" si="90"/>
        <v>0</v>
      </c>
      <c r="V139" s="19">
        <f t="shared" si="90"/>
        <v>0</v>
      </c>
      <c r="W139" s="19">
        <f t="shared" si="90"/>
        <v>0</v>
      </c>
      <c r="X139" s="19" t="e">
        <f t="shared" si="90"/>
        <v>#DIV/0!</v>
      </c>
      <c r="Y139" s="19" t="e">
        <f t="shared" si="90"/>
        <v>#DIV/0!</v>
      </c>
      <c r="Z139" s="19" t="e">
        <f t="shared" si="90"/>
        <v>#DIV/0!</v>
      </c>
      <c r="AA139" s="19" t="e">
        <f t="shared" si="90"/>
        <v>#DIV/0!</v>
      </c>
      <c r="AB139" s="19" t="e">
        <f t="shared" si="90"/>
        <v>#DIV/0!</v>
      </c>
      <c r="AC139" s="19" t="e">
        <f t="shared" si="90"/>
        <v>#DIV/0!</v>
      </c>
      <c r="AD139" s="19" t="e">
        <f t="shared" si="90"/>
        <v>#DIV/0!</v>
      </c>
      <c r="AE139" s="19"/>
      <c r="AF139" s="19"/>
    </row>
    <row r="140" spans="1:32" s="35" customFormat="1" x14ac:dyDescent="0.2">
      <c r="A140" s="34" t="s">
        <v>17</v>
      </c>
      <c r="B140" s="19">
        <f>B138-B139</f>
        <v>99.80000000000004</v>
      </c>
      <c r="C140" s="19">
        <f>C138-C139</f>
        <v>100.9</v>
      </c>
      <c r="D140" s="19">
        <f t="shared" ref="D140:AD140" si="91">D138-D139</f>
        <v>100.47000000000001</v>
      </c>
      <c r="E140" s="19">
        <f t="shared" si="91"/>
        <v>100.85000000000001</v>
      </c>
      <c r="F140" s="19">
        <f t="shared" si="91"/>
        <v>99.999999999999986</v>
      </c>
      <c r="G140" s="19">
        <f t="shared" si="91"/>
        <v>100.71000000000002</v>
      </c>
      <c r="H140" s="19">
        <f t="shared" si="91"/>
        <v>100.64</v>
      </c>
      <c r="I140" s="19">
        <f t="shared" si="91"/>
        <v>100.25999999999998</v>
      </c>
      <c r="J140" s="19">
        <f t="shared" si="91"/>
        <v>100.92</v>
      </c>
      <c r="K140" s="19">
        <f t="shared" si="91"/>
        <v>100.21000000000001</v>
      </c>
      <c r="L140" s="19">
        <f t="shared" si="91"/>
        <v>100.76000000000002</v>
      </c>
      <c r="M140" s="19">
        <f t="shared" si="91"/>
        <v>99.580000000000013</v>
      </c>
      <c r="N140" s="19">
        <f t="shared" si="91"/>
        <v>100.58</v>
      </c>
      <c r="O140" s="19">
        <f t="shared" si="91"/>
        <v>100.92</v>
      </c>
      <c r="P140" s="19">
        <f t="shared" si="91"/>
        <v>100.21000000000001</v>
      </c>
      <c r="Q140" s="19">
        <f t="shared" si="91"/>
        <v>100.76000000000002</v>
      </c>
      <c r="R140" s="19">
        <f t="shared" si="91"/>
        <v>99.580000000000013</v>
      </c>
      <c r="S140" s="19">
        <f t="shared" si="91"/>
        <v>100.58</v>
      </c>
      <c r="T140" s="19">
        <f t="shared" si="91"/>
        <v>99.979999999999976</v>
      </c>
      <c r="U140" s="19">
        <f t="shared" si="91"/>
        <v>99.729999999999976</v>
      </c>
      <c r="V140" s="19">
        <f t="shared" si="91"/>
        <v>100.24999999999997</v>
      </c>
      <c r="W140" s="19">
        <f t="shared" si="91"/>
        <v>100.31000000000003</v>
      </c>
      <c r="X140" s="19" t="e">
        <f t="shared" si="91"/>
        <v>#DIV/0!</v>
      </c>
      <c r="Y140" s="19" t="e">
        <f t="shared" si="91"/>
        <v>#DIV/0!</v>
      </c>
      <c r="Z140" s="19" t="e">
        <f t="shared" si="91"/>
        <v>#DIV/0!</v>
      </c>
      <c r="AA140" s="19" t="e">
        <f t="shared" si="91"/>
        <v>#DIV/0!</v>
      </c>
      <c r="AB140" s="19" t="e">
        <f t="shared" si="91"/>
        <v>#DIV/0!</v>
      </c>
      <c r="AC140" s="19" t="e">
        <f t="shared" si="91"/>
        <v>#DIV/0!</v>
      </c>
      <c r="AD140" s="19" t="e">
        <f t="shared" si="91"/>
        <v>#DIV/0!</v>
      </c>
      <c r="AE140" s="19"/>
      <c r="AF140" s="19"/>
    </row>
    <row r="141" spans="1:32" s="35" customFormat="1" x14ac:dyDescent="0.2">
      <c r="A141" s="34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</row>
    <row r="142" spans="1:32" s="35" customFormat="1" x14ac:dyDescent="0.2">
      <c r="A142" s="34" t="s">
        <v>51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</row>
    <row r="143" spans="1:32" s="35" customFormat="1" x14ac:dyDescent="0.2">
      <c r="A143" s="34" t="s">
        <v>52</v>
      </c>
      <c r="B143" s="19">
        <f>B111/(B111+B108)</f>
        <v>0.24566504802969427</v>
      </c>
      <c r="C143" s="19">
        <f>C111/(C111+C108)</f>
        <v>0.25599279679667891</v>
      </c>
      <c r="D143" s="19">
        <f t="shared" ref="D143:AD143" si="92">D111/(D111+D108)</f>
        <v>0.23349794459985224</v>
      </c>
      <c r="E143" s="19">
        <f t="shared" si="92"/>
        <v>0.25887961555837763</v>
      </c>
      <c r="F143" s="19">
        <f t="shared" si="92"/>
        <v>0.35399626748297652</v>
      </c>
      <c r="G143" s="19">
        <f t="shared" si="92"/>
        <v>0.25985461161604778</v>
      </c>
      <c r="H143" s="19">
        <f t="shared" si="92"/>
        <v>0.22223416884406122</v>
      </c>
      <c r="I143" s="19">
        <f t="shared" si="92"/>
        <v>0.24551753903403628</v>
      </c>
      <c r="J143" s="19">
        <f t="shared" si="92"/>
        <v>0.23616788582903037</v>
      </c>
      <c r="K143" s="19">
        <f t="shared" si="92"/>
        <v>0.25803494055209075</v>
      </c>
      <c r="L143" s="19">
        <f t="shared" si="92"/>
        <v>0.23827805135675972</v>
      </c>
      <c r="M143" s="19">
        <f t="shared" si="92"/>
        <v>0.26126454254484721</v>
      </c>
      <c r="N143" s="19">
        <f t="shared" si="92"/>
        <v>0.22884882108183077</v>
      </c>
      <c r="O143" s="19">
        <f t="shared" si="92"/>
        <v>0.23616788582903037</v>
      </c>
      <c r="P143" s="19">
        <f t="shared" si="92"/>
        <v>0.25803494055209075</v>
      </c>
      <c r="Q143" s="19">
        <f t="shared" si="92"/>
        <v>0.23827805135675972</v>
      </c>
      <c r="R143" s="19">
        <f t="shared" si="92"/>
        <v>0.26126454254484721</v>
      </c>
      <c r="S143" s="19">
        <f t="shared" si="92"/>
        <v>0.22884882108183077</v>
      </c>
      <c r="T143" s="19">
        <f t="shared" si="92"/>
        <v>0.25325619077755818</v>
      </c>
      <c r="U143" s="19">
        <f t="shared" si="92"/>
        <v>0.26488025195917592</v>
      </c>
      <c r="V143" s="19">
        <f t="shared" si="92"/>
        <v>0.24780549074516151</v>
      </c>
      <c r="W143" s="19">
        <f t="shared" si="92"/>
        <v>0.26343552230420153</v>
      </c>
      <c r="X143" s="19" t="e">
        <f t="shared" si="92"/>
        <v>#DIV/0!</v>
      </c>
      <c r="Y143" s="19" t="e">
        <f t="shared" si="92"/>
        <v>#DIV/0!</v>
      </c>
      <c r="Z143" s="19" t="e">
        <f t="shared" si="92"/>
        <v>#DIV/0!</v>
      </c>
      <c r="AA143" s="19" t="e">
        <f t="shared" si="92"/>
        <v>#DIV/0!</v>
      </c>
      <c r="AB143" s="19" t="e">
        <f t="shared" si="92"/>
        <v>#DIV/0!</v>
      </c>
      <c r="AC143" s="19" t="e">
        <f t="shared" si="92"/>
        <v>#DIV/0!</v>
      </c>
      <c r="AD143" s="19" t="e">
        <f t="shared" si="92"/>
        <v>#DIV/0!</v>
      </c>
      <c r="AE143" s="19"/>
      <c r="AF143" s="19"/>
    </row>
    <row r="144" spans="1:32" s="35" customFormat="1" x14ac:dyDescent="0.2">
      <c r="A144" s="34" t="s">
        <v>53</v>
      </c>
      <c r="B144" s="19">
        <f>B111/(B111+B108+B107)</f>
        <v>0.24566504802969427</v>
      </c>
      <c r="C144" s="19">
        <f>C111/(C111+C108+C107)</f>
        <v>0.25599279679667891</v>
      </c>
      <c r="D144" s="19">
        <f t="shared" ref="D144:AD144" si="93">D111/(D111+D108+D107)</f>
        <v>0.23349794459985224</v>
      </c>
      <c r="E144" s="19">
        <f t="shared" si="93"/>
        <v>0.25887961555837763</v>
      </c>
      <c r="F144" s="19">
        <f t="shared" si="93"/>
        <v>0.35399626748297652</v>
      </c>
      <c r="G144" s="19">
        <f t="shared" si="93"/>
        <v>0.25985461161604778</v>
      </c>
      <c r="H144" s="19">
        <f t="shared" si="93"/>
        <v>0.22223416884406122</v>
      </c>
      <c r="I144" s="19">
        <f t="shared" si="93"/>
        <v>0.24551753903403628</v>
      </c>
      <c r="J144" s="19">
        <f t="shared" si="93"/>
        <v>0.23616788582903037</v>
      </c>
      <c r="K144" s="19">
        <f t="shared" si="93"/>
        <v>0.25803494055209075</v>
      </c>
      <c r="L144" s="19">
        <f t="shared" si="93"/>
        <v>0.23827805135675972</v>
      </c>
      <c r="M144" s="19">
        <f t="shared" si="93"/>
        <v>0.26126454254484721</v>
      </c>
      <c r="N144" s="19">
        <f t="shared" si="93"/>
        <v>0.22884882108183077</v>
      </c>
      <c r="O144" s="19">
        <f t="shared" si="93"/>
        <v>0.23616788582903037</v>
      </c>
      <c r="P144" s="19">
        <f t="shared" si="93"/>
        <v>0.25803494055209075</v>
      </c>
      <c r="Q144" s="19">
        <f t="shared" si="93"/>
        <v>0.23827805135675972</v>
      </c>
      <c r="R144" s="19">
        <f t="shared" si="93"/>
        <v>0.26126454254484721</v>
      </c>
      <c r="S144" s="19">
        <f t="shared" si="93"/>
        <v>0.22884882108183077</v>
      </c>
      <c r="T144" s="19">
        <f t="shared" si="93"/>
        <v>0.25325619077755818</v>
      </c>
      <c r="U144" s="19">
        <f t="shared" si="93"/>
        <v>0.26488025195917592</v>
      </c>
      <c r="V144" s="19">
        <f t="shared" si="93"/>
        <v>0.24780549074516151</v>
      </c>
      <c r="W144" s="19">
        <f t="shared" si="93"/>
        <v>0.26343552230420153</v>
      </c>
      <c r="X144" s="19" t="e">
        <f t="shared" si="93"/>
        <v>#DIV/0!</v>
      </c>
      <c r="Y144" s="19" t="e">
        <f t="shared" si="93"/>
        <v>#DIV/0!</v>
      </c>
      <c r="Z144" s="19" t="e">
        <f t="shared" si="93"/>
        <v>#DIV/0!</v>
      </c>
      <c r="AA144" s="19" t="e">
        <f t="shared" si="93"/>
        <v>#DIV/0!</v>
      </c>
      <c r="AB144" s="19" t="e">
        <f t="shared" si="93"/>
        <v>#DIV/0!</v>
      </c>
      <c r="AC144" s="19" t="e">
        <f t="shared" si="93"/>
        <v>#DIV/0!</v>
      </c>
      <c r="AD144" s="19" t="e">
        <f t="shared" si="93"/>
        <v>#DIV/0!</v>
      </c>
      <c r="AE144" s="19"/>
      <c r="AF144" s="19"/>
    </row>
    <row r="145" spans="1:32" s="35" customFormat="1" x14ac:dyDescent="0.2">
      <c r="A145" s="34" t="s">
        <v>61</v>
      </c>
      <c r="B145" s="19">
        <f>B107/(B107+B108)</f>
        <v>0</v>
      </c>
      <c r="C145" s="19">
        <f>C107/(C107+C108)</f>
        <v>0</v>
      </c>
      <c r="D145" s="19">
        <f t="shared" ref="D145:AD145" si="94">D107/(D107+D108)</f>
        <v>0</v>
      </c>
      <c r="E145" s="19">
        <f t="shared" si="94"/>
        <v>0</v>
      </c>
      <c r="F145" s="19">
        <f t="shared" si="94"/>
        <v>0</v>
      </c>
      <c r="G145" s="19">
        <f t="shared" si="94"/>
        <v>0</v>
      </c>
      <c r="H145" s="19">
        <f t="shared" si="94"/>
        <v>0</v>
      </c>
      <c r="I145" s="19">
        <f t="shared" si="94"/>
        <v>0</v>
      </c>
      <c r="J145" s="19">
        <f t="shared" si="94"/>
        <v>0</v>
      </c>
      <c r="K145" s="19">
        <f t="shared" si="94"/>
        <v>0</v>
      </c>
      <c r="L145" s="19">
        <f t="shared" si="94"/>
        <v>0</v>
      </c>
      <c r="M145" s="19">
        <f t="shared" si="94"/>
        <v>0</v>
      </c>
      <c r="N145" s="19">
        <f t="shared" si="94"/>
        <v>0</v>
      </c>
      <c r="O145" s="19">
        <f t="shared" si="94"/>
        <v>0</v>
      </c>
      <c r="P145" s="19">
        <f t="shared" si="94"/>
        <v>0</v>
      </c>
      <c r="Q145" s="19">
        <f t="shared" si="94"/>
        <v>0</v>
      </c>
      <c r="R145" s="19">
        <f t="shared" si="94"/>
        <v>0</v>
      </c>
      <c r="S145" s="19">
        <f t="shared" si="94"/>
        <v>0</v>
      </c>
      <c r="T145" s="19">
        <f t="shared" si="94"/>
        <v>0</v>
      </c>
      <c r="U145" s="19">
        <f t="shared" si="94"/>
        <v>0</v>
      </c>
      <c r="V145" s="19">
        <f t="shared" si="94"/>
        <v>0</v>
      </c>
      <c r="W145" s="19">
        <f t="shared" si="94"/>
        <v>0</v>
      </c>
      <c r="X145" s="19" t="e">
        <f t="shared" si="94"/>
        <v>#DIV/0!</v>
      </c>
      <c r="Y145" s="19" t="e">
        <f t="shared" si="94"/>
        <v>#DIV/0!</v>
      </c>
      <c r="Z145" s="19" t="e">
        <f t="shared" si="94"/>
        <v>#DIV/0!</v>
      </c>
      <c r="AA145" s="19" t="e">
        <f t="shared" si="94"/>
        <v>#DIV/0!</v>
      </c>
      <c r="AB145" s="19" t="e">
        <f t="shared" si="94"/>
        <v>#DIV/0!</v>
      </c>
      <c r="AC145" s="19" t="e">
        <f t="shared" si="94"/>
        <v>#DIV/0!</v>
      </c>
      <c r="AD145" s="19" t="e">
        <f t="shared" si="94"/>
        <v>#DIV/0!</v>
      </c>
      <c r="AE145" s="19"/>
      <c r="AF145" s="19"/>
    </row>
    <row r="146" spans="1:32" s="35" customFormat="1" x14ac:dyDescent="0.2">
      <c r="A146" s="34" t="s">
        <v>50</v>
      </c>
      <c r="B146" s="19">
        <f>B119</f>
        <v>8.0419127758954847</v>
      </c>
      <c r="C146" s="19">
        <f>C119</f>
        <v>8.0302253470209415</v>
      </c>
      <c r="D146" s="19">
        <f t="shared" ref="D146:AD146" si="95">D119</f>
        <v>8.0328267702067784</v>
      </c>
      <c r="E146" s="19">
        <f t="shared" si="95"/>
        <v>8.0190238365454096</v>
      </c>
      <c r="F146" s="19">
        <f t="shared" si="95"/>
        <v>8.034955060473445</v>
      </c>
      <c r="G146" s="19">
        <f t="shared" si="95"/>
        <v>8.0160923904328314</v>
      </c>
      <c r="H146" s="19">
        <f t="shared" si="95"/>
        <v>8.0479305112938935</v>
      </c>
      <c r="I146" s="19">
        <f t="shared" si="95"/>
        <v>8.0357192074408861</v>
      </c>
      <c r="J146" s="19">
        <f t="shared" si="95"/>
        <v>8.0327666533502331</v>
      </c>
      <c r="K146" s="19">
        <f t="shared" si="95"/>
        <v>8.0260493117490181</v>
      </c>
      <c r="L146" s="19">
        <f t="shared" si="95"/>
        <v>8.0353807120144722</v>
      </c>
      <c r="M146" s="19">
        <f t="shared" si="95"/>
        <v>8.01632515292631</v>
      </c>
      <c r="N146" s="19">
        <f t="shared" si="95"/>
        <v>8.052629667334033</v>
      </c>
      <c r="O146" s="19">
        <f t="shared" si="95"/>
        <v>8.0327666533502331</v>
      </c>
      <c r="P146" s="19">
        <f t="shared" si="95"/>
        <v>8.0260493117490181</v>
      </c>
      <c r="Q146" s="19">
        <f t="shared" si="95"/>
        <v>8.0353807120144722</v>
      </c>
      <c r="R146" s="19">
        <f t="shared" si="95"/>
        <v>8.01632515292631</v>
      </c>
      <c r="S146" s="19">
        <f t="shared" si="95"/>
        <v>8.052629667334033</v>
      </c>
      <c r="T146" s="19">
        <f t="shared" si="95"/>
        <v>8.042688120801845</v>
      </c>
      <c r="U146" s="19">
        <f t="shared" si="95"/>
        <v>8.0420503487976731</v>
      </c>
      <c r="V146" s="19">
        <f t="shared" si="95"/>
        <v>8.0274494810911641</v>
      </c>
      <c r="W146" s="19">
        <f t="shared" si="95"/>
        <v>8.0221776605952702</v>
      </c>
      <c r="X146" s="19" t="e">
        <f t="shared" si="95"/>
        <v>#DIV/0!</v>
      </c>
      <c r="Y146" s="19" t="e">
        <f t="shared" si="95"/>
        <v>#DIV/0!</v>
      </c>
      <c r="Z146" s="19" t="e">
        <f t="shared" si="95"/>
        <v>#DIV/0!</v>
      </c>
      <c r="AA146" s="19" t="e">
        <f t="shared" si="95"/>
        <v>#DIV/0!</v>
      </c>
      <c r="AB146" s="19" t="e">
        <f t="shared" si="95"/>
        <v>#DIV/0!</v>
      </c>
      <c r="AC146" s="19" t="e">
        <f t="shared" si="95"/>
        <v>#DIV/0!</v>
      </c>
      <c r="AD146" s="19" t="e">
        <f t="shared" si="95"/>
        <v>#DIV/0!</v>
      </c>
      <c r="AE146" s="19"/>
      <c r="AF146" s="19"/>
    </row>
    <row r="147" spans="1:32" s="37" customFormat="1" x14ac:dyDescent="0.2">
      <c r="A147" s="36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</row>
    <row r="148" spans="1:32" x14ac:dyDescent="0.2">
      <c r="A148" s="1" t="s">
        <v>49</v>
      </c>
    </row>
    <row r="149" spans="1:32" x14ac:dyDescent="0.2">
      <c r="A149" s="1" t="s">
        <v>125</v>
      </c>
      <c r="B149" s="41">
        <f>B109/(B109+B108+B111+B112)</f>
        <v>0.37391928519247219</v>
      </c>
      <c r="C149" s="41">
        <f>C109/(C109+C108+C111+C112)</f>
        <v>0.27474995737690761</v>
      </c>
      <c r="D149" s="41">
        <f>D109/(D109+D108+D111+D112)</f>
        <v>0.40868794511250117</v>
      </c>
      <c r="E149" s="41">
        <f>E109/(E109+E108+E111+E112)</f>
        <v>0.36830822985476913</v>
      </c>
      <c r="F149" s="41">
        <f>F109/(F109+F108+F111+F112)</f>
        <v>0.66701560135908011</v>
      </c>
      <c r="G149" s="41">
        <f>G109/(G109+G108+G111+G112)</f>
        <v>0.33227567100257954</v>
      </c>
      <c r="H149" s="41">
        <f>H109/(H109+H108+H111+H112)</f>
        <v>0.41767016389017531</v>
      </c>
      <c r="I149" s="41">
        <f>I109/(I109+I108+I111+I112)</f>
        <v>0.44313077281946994</v>
      </c>
      <c r="J149" s="41">
        <f>J109/(J109+J108+J111+J112)</f>
        <v>0.44334489619358952</v>
      </c>
      <c r="K149" s="41">
        <f>K109/(K109+K108+K111+K112)</f>
        <v>0.29978064472958904</v>
      </c>
      <c r="L149" s="41">
        <f>L109/(L109+L108+L111+L112)</f>
        <v>0.4670847440457806</v>
      </c>
      <c r="M149" s="41">
        <f>M109/(M109+M108+M111+M112)</f>
        <v>0.30615026785623939</v>
      </c>
      <c r="N149" s="41">
        <f>N109/(N109+N108+N111+N112)</f>
        <v>0.44075748028041772</v>
      </c>
      <c r="O149" s="41">
        <f>O109/(O109+O108+O111+O112)</f>
        <v>0.44334489619358952</v>
      </c>
      <c r="P149" s="41">
        <f>P109/(P109+P108+P111+P112)</f>
        <v>0.29978064472958904</v>
      </c>
      <c r="Q149" s="41">
        <f>Q109/(Q109+Q108+Q111+Q112)</f>
        <v>0.4670847440457806</v>
      </c>
      <c r="R149" s="41">
        <f>R109/(R109+R108+R111+R112)</f>
        <v>0.30615026785623939</v>
      </c>
      <c r="S149" s="41">
        <f>S109/(S109+S108+S111+S112)</f>
        <v>0.44075748028041772</v>
      </c>
      <c r="T149" s="41">
        <f>T109/(T109+T108+T111+T112)</f>
        <v>0.35889504460037225</v>
      </c>
      <c r="U149" s="41">
        <f>U109/(U109+U108+U111+U112)</f>
        <v>0.44113889848749072</v>
      </c>
      <c r="V149" s="41">
        <f>V109/(V109+V108+V111+V112)</f>
        <v>0.33160953985283015</v>
      </c>
      <c r="W149" s="41">
        <f>W109/(W109+W108+W111+W112)</f>
        <v>0.33142478602823522</v>
      </c>
    </row>
    <row r="150" spans="1:32" x14ac:dyDescent="0.2">
      <c r="A150" s="2" t="s">
        <v>126</v>
      </c>
      <c r="B150" s="41">
        <f>B111/(B111+B112+B108+B109)</f>
        <v>0.14441460668222172</v>
      </c>
      <c r="C150" s="41">
        <f>C111/(C111+C112+C108+C109)</f>
        <v>0.17270651336734813</v>
      </c>
      <c r="D150" s="41">
        <f>D111/(D111+D112+D108+D109)</f>
        <v>0.13020065013630475</v>
      </c>
      <c r="E150" s="41">
        <f>E111/(E111+E112+E108+E109)</f>
        <v>0.15541431429829125</v>
      </c>
      <c r="F150" s="41">
        <f>F111/(F111+F112+F108+F109)</f>
        <v>0.10628484469091964</v>
      </c>
      <c r="G150" s="41">
        <f>G111/(G111+G112+G108+G109)</f>
        <v>0.1569939502398339</v>
      </c>
      <c r="H150" s="41">
        <f>H111/(H111+H112+H108+H109)</f>
        <v>0.12140968520449695</v>
      </c>
      <c r="I150" s="41">
        <f>I111/(I111+I112+I108+I109)</f>
        <v>0.12970959109468735</v>
      </c>
      <c r="J150" s="41">
        <f>J111/(J111+J112+J108+J109)</f>
        <v>0.12394491312237783</v>
      </c>
      <c r="K150" s="41">
        <f>K111/(K111+K112+K108+K109)</f>
        <v>0.16432521392131363</v>
      </c>
      <c r="L150" s="41">
        <f>L111/(L111+L112+L108+L109)</f>
        <v>0.11947456610068177</v>
      </c>
      <c r="M150" s="41">
        <f>M111/(M111+M112+M108+M109)</f>
        <v>0.16740437648868764</v>
      </c>
      <c r="N150" s="41">
        <f>N111/(N111+N112+N108+N109)</f>
        <v>0.12164645174662812</v>
      </c>
      <c r="O150" s="41">
        <f>O111/(O111+O112+O108+O109)</f>
        <v>0.12394491312237783</v>
      </c>
      <c r="P150" s="41">
        <f>P111/(P111+P112+P108+P109)</f>
        <v>0.16432521392131363</v>
      </c>
      <c r="Q150" s="41">
        <f>Q111/(Q111+Q112+Q108+Q109)</f>
        <v>0.11947456610068177</v>
      </c>
      <c r="R150" s="41">
        <f>R111/(R111+R112+R108+R109)</f>
        <v>0.16740437648868764</v>
      </c>
      <c r="S150" s="41">
        <f>S111/(S111+S112+S108+S109)</f>
        <v>0.12164645174662812</v>
      </c>
      <c r="T150" s="41">
        <f>T111/(T111+T112+T108+T109)</f>
        <v>0.15347131856232082</v>
      </c>
      <c r="U150" s="41">
        <f>U111/(U111+U112+U108+U109)</f>
        <v>0.13877956608686962</v>
      </c>
      <c r="V150" s="41">
        <f>V111/(V111+V112+V108+V109)</f>
        <v>0.15505085329727594</v>
      </c>
      <c r="W150" s="41">
        <f>W111/(W111+W112+W108+W109)</f>
        <v>0.16691703573393638</v>
      </c>
      <c r="X150"/>
      <c r="Y150"/>
      <c r="Z150"/>
      <c r="AA150"/>
      <c r="AB150"/>
      <c r="AC150"/>
      <c r="AD150"/>
    </row>
    <row r="151" spans="1:32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 spans="1:32" x14ac:dyDescent="0.2">
      <c r="A152"/>
      <c r="B152" s="51" t="s">
        <v>127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 spans="1:32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 spans="1:32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 spans="1:32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 spans="1:32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 spans="1:32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 spans="1:32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 spans="1:32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 spans="1:32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 s="1"/>
    </row>
    <row r="161" spans="1:31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 s="1"/>
    </row>
    <row r="162" spans="1:31" x14ac:dyDescent="0.2">
      <c r="A162" s="1" t="s">
        <v>47</v>
      </c>
    </row>
    <row r="163" spans="1:31" x14ac:dyDescent="0.2">
      <c r="A163" s="1" t="s">
        <v>48</v>
      </c>
    </row>
    <row r="164" spans="1:31" x14ac:dyDescent="0.2">
      <c r="A164" s="1" t="s">
        <v>48</v>
      </c>
    </row>
    <row r="165" spans="1:31" x14ac:dyDescent="0.2">
      <c r="A165" s="1" t="s">
        <v>48</v>
      </c>
    </row>
    <row r="168" spans="1:31" x14ac:dyDescent="0.2">
      <c r="A168" s="1" t="s">
        <v>48</v>
      </c>
    </row>
    <row r="169" spans="1:31" x14ac:dyDescent="0.2">
      <c r="A169" s="1" t="s">
        <v>48</v>
      </c>
    </row>
    <row r="170" spans="1:31" x14ac:dyDescent="0.2">
      <c r="A170" s="1" t="s">
        <v>49</v>
      </c>
    </row>
    <row r="171" spans="1:31" x14ac:dyDescent="0.2">
      <c r="A171" s="1" t="s">
        <v>49</v>
      </c>
    </row>
    <row r="172" spans="1:31" x14ac:dyDescent="0.2">
      <c r="A172" s="1" t="s">
        <v>49</v>
      </c>
    </row>
    <row r="173" spans="1:31" x14ac:dyDescent="0.2">
      <c r="A173" s="1" t="s">
        <v>49</v>
      </c>
    </row>
    <row r="174" spans="1:31" x14ac:dyDescent="0.2">
      <c r="A174" s="1" t="s">
        <v>49</v>
      </c>
    </row>
    <row r="175" spans="1:31" x14ac:dyDescent="0.2">
      <c r="A175" s="1" t="s">
        <v>49</v>
      </c>
    </row>
    <row r="176" spans="1:31" x14ac:dyDescent="0.2">
      <c r="A176" s="1" t="s">
        <v>49</v>
      </c>
    </row>
    <row r="177" spans="1:1" x14ac:dyDescent="0.2">
      <c r="A177" s="1" t="s">
        <v>49</v>
      </c>
    </row>
    <row r="178" spans="1:1" x14ac:dyDescent="0.2">
      <c r="A178" s="1" t="s">
        <v>49</v>
      </c>
    </row>
    <row r="179" spans="1:1" x14ac:dyDescent="0.2">
      <c r="A179" s="1" t="s">
        <v>49</v>
      </c>
    </row>
    <row r="180" spans="1:1" x14ac:dyDescent="0.2">
      <c r="A180" s="1" t="s">
        <v>49</v>
      </c>
    </row>
    <row r="181" spans="1:1" x14ac:dyDescent="0.2">
      <c r="A181" s="1" t="s">
        <v>49</v>
      </c>
    </row>
  </sheetData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workbookViewId="0">
      <selection activeCell="B1" sqref="B1:J16"/>
    </sheetView>
  </sheetViews>
  <sheetFormatPr baseColWidth="10" defaultColWidth="12" defaultRowHeight="14" x14ac:dyDescent="0.2"/>
  <cols>
    <col min="1" max="10" width="11" style="1" customWidth="1"/>
  </cols>
  <sheetData>
    <row r="2" spans="1:10" x14ac:dyDescent="0.2">
      <c r="B2" s="1" t="s">
        <v>39</v>
      </c>
      <c r="C2" s="1" t="s">
        <v>40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43</v>
      </c>
      <c r="J2" s="1" t="s">
        <v>46</v>
      </c>
    </row>
    <row r="3" spans="1:10" x14ac:dyDescent="0.2">
      <c r="A3" s="1" t="s">
        <v>4</v>
      </c>
      <c r="B3" s="1">
        <v>36.378999999999998</v>
      </c>
      <c r="C3" s="1">
        <v>35.988999999999997</v>
      </c>
      <c r="D3" s="1">
        <v>38.087000000000003</v>
      </c>
      <c r="E3" s="1">
        <v>35.965000000000003</v>
      </c>
      <c r="F3" s="1">
        <v>36.546999999999997</v>
      </c>
      <c r="G3" s="1">
        <v>37.956000000000003</v>
      </c>
      <c r="H3" s="1">
        <v>37.314999999999998</v>
      </c>
      <c r="I3" s="1">
        <v>36.546999999999997</v>
      </c>
      <c r="J3" s="1">
        <v>38.304000000000002</v>
      </c>
    </row>
    <row r="4" spans="1:10" x14ac:dyDescent="0.2">
      <c r="A4" s="1" t="s">
        <v>11</v>
      </c>
      <c r="B4" s="1">
        <v>7.2060000000000004</v>
      </c>
      <c r="C4" s="1">
        <v>6.5750000000000002</v>
      </c>
      <c r="D4" s="1">
        <v>7.5090000000000003</v>
      </c>
      <c r="E4" s="1">
        <v>8.3729999999999993</v>
      </c>
      <c r="F4" s="1">
        <v>6.7220000000000004</v>
      </c>
      <c r="G4" s="1">
        <v>6.5439999999999996</v>
      </c>
      <c r="H4" s="1">
        <v>6.9020000000000001</v>
      </c>
      <c r="I4" s="1">
        <v>6.7220000000000004</v>
      </c>
      <c r="J4" s="1">
        <v>7.2359999999999998</v>
      </c>
    </row>
    <row r="5" spans="1:10" x14ac:dyDescent="0.2">
      <c r="A5" s="1" t="s">
        <v>15</v>
      </c>
      <c r="B5" s="1">
        <v>0</v>
      </c>
      <c r="C5" s="1">
        <v>0</v>
      </c>
      <c r="D5" s="1">
        <v>7.2999999999999995E-2</v>
      </c>
      <c r="E5" s="1">
        <v>9.1999999999999998E-2</v>
      </c>
      <c r="F5" s="1">
        <v>0</v>
      </c>
      <c r="G5" s="1">
        <v>7.6999999999999999E-2</v>
      </c>
      <c r="H5" s="1">
        <v>5.0999999999999997E-2</v>
      </c>
      <c r="I5" s="1">
        <v>0</v>
      </c>
      <c r="J5" s="1">
        <v>6.9000000000000006E-2</v>
      </c>
    </row>
    <row r="6" spans="1:10" x14ac:dyDescent="0.2">
      <c r="A6" s="1" t="s">
        <v>7</v>
      </c>
      <c r="B6" s="1">
        <v>15.618</v>
      </c>
      <c r="C6" s="1">
        <v>15.239000000000001</v>
      </c>
      <c r="D6" s="1">
        <v>15.673999999999999</v>
      </c>
      <c r="E6" s="1">
        <v>15.404999999999999</v>
      </c>
      <c r="F6" s="1">
        <v>15.226000000000001</v>
      </c>
      <c r="G6" s="1">
        <v>16.231999999999999</v>
      </c>
      <c r="H6" s="1">
        <v>16.472000000000001</v>
      </c>
      <c r="I6" s="1">
        <v>15.226000000000001</v>
      </c>
      <c r="J6" s="1">
        <v>16.213000000000001</v>
      </c>
    </row>
    <row r="7" spans="1:10" x14ac:dyDescent="0.2">
      <c r="A7" s="1" t="s">
        <v>6</v>
      </c>
      <c r="B7" s="1">
        <v>12.808</v>
      </c>
      <c r="C7" s="1">
        <v>12.096</v>
      </c>
      <c r="D7" s="1">
        <v>13.138</v>
      </c>
      <c r="E7" s="1">
        <v>12.647</v>
      </c>
      <c r="F7" s="1">
        <v>12.757999999999999</v>
      </c>
      <c r="G7" s="1">
        <v>12.532999999999999</v>
      </c>
      <c r="H7" s="1">
        <v>12.039</v>
      </c>
      <c r="I7" s="1">
        <v>12.757999999999999</v>
      </c>
      <c r="J7" s="1">
        <v>12.406000000000001</v>
      </c>
    </row>
    <row r="8" spans="1:10" x14ac:dyDescent="0.2">
      <c r="A8" s="1" t="s">
        <v>9</v>
      </c>
      <c r="B8" s="1">
        <v>5.6000000000000001E-2</v>
      </c>
      <c r="C8" s="1">
        <v>6.5000000000000002E-2</v>
      </c>
      <c r="D8" s="1">
        <v>0</v>
      </c>
      <c r="E8" s="1">
        <v>0.108</v>
      </c>
      <c r="F8" s="1">
        <v>8.4000000000000005E-2</v>
      </c>
      <c r="G8" s="1">
        <v>5.7000000000000002E-2</v>
      </c>
      <c r="H8" s="1">
        <v>0</v>
      </c>
      <c r="I8" s="1">
        <v>8.4000000000000005E-2</v>
      </c>
      <c r="J8" s="1">
        <v>0</v>
      </c>
    </row>
    <row r="9" spans="1:10" x14ac:dyDescent="0.2">
      <c r="A9" s="1" t="s">
        <v>16</v>
      </c>
      <c r="B9" s="1">
        <v>0.06</v>
      </c>
      <c r="C9" s="1">
        <v>0</v>
      </c>
      <c r="D9" s="1">
        <v>0</v>
      </c>
      <c r="E9" s="1">
        <v>5.7000000000000002E-2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">
      <c r="A10" s="1" t="s">
        <v>8</v>
      </c>
      <c r="B10" s="1">
        <v>12.612</v>
      </c>
      <c r="C10" s="1">
        <v>12.863</v>
      </c>
      <c r="D10" s="1">
        <v>12.353</v>
      </c>
      <c r="E10" s="1">
        <v>11.564</v>
      </c>
      <c r="F10" s="1">
        <v>12.914</v>
      </c>
      <c r="G10" s="1">
        <v>12.21</v>
      </c>
      <c r="H10" s="1">
        <v>12.912000000000001</v>
      </c>
      <c r="I10" s="1">
        <v>12.914</v>
      </c>
      <c r="J10" s="1">
        <v>12</v>
      </c>
    </row>
    <row r="11" spans="1:10" x14ac:dyDescent="0.2">
      <c r="A11" s="1" t="s">
        <v>10</v>
      </c>
      <c r="B11" s="1">
        <v>0.247</v>
      </c>
      <c r="C11" s="1">
        <v>0.157</v>
      </c>
      <c r="D11" s="1">
        <v>0.71599999999999997</v>
      </c>
      <c r="E11" s="1">
        <v>0.51400000000000001</v>
      </c>
      <c r="F11" s="1">
        <v>0.41199999999999998</v>
      </c>
      <c r="G11" s="1">
        <v>0.45100000000000001</v>
      </c>
      <c r="H11" s="1">
        <v>0.33500000000000002</v>
      </c>
      <c r="I11" s="1">
        <v>0.41199999999999998</v>
      </c>
      <c r="J11" s="1">
        <v>1.135</v>
      </c>
    </row>
    <row r="12" spans="1:10" x14ac:dyDescent="0.2">
      <c r="A12" s="1" t="s">
        <v>5</v>
      </c>
      <c r="B12" s="1">
        <v>0.57099999999999995</v>
      </c>
      <c r="C12" s="1">
        <v>0.56799999999999995</v>
      </c>
      <c r="D12" s="1">
        <v>0.59399999999999997</v>
      </c>
      <c r="E12" s="1">
        <v>0.51</v>
      </c>
      <c r="F12" s="1">
        <v>0.56200000000000006</v>
      </c>
      <c r="G12" s="1">
        <v>0.63300000000000001</v>
      </c>
      <c r="H12" s="1">
        <v>0.72</v>
      </c>
      <c r="I12" s="1">
        <v>0.56200000000000006</v>
      </c>
      <c r="J12" s="1">
        <v>0.77600000000000002</v>
      </c>
    </row>
    <row r="13" spans="1:10" x14ac:dyDescent="0.2">
      <c r="A13" s="1" t="s">
        <v>3</v>
      </c>
      <c r="B13" s="1">
        <v>8.6140000000000008</v>
      </c>
      <c r="C13" s="1">
        <v>8.6479999999999997</v>
      </c>
      <c r="D13" s="1">
        <v>8.56</v>
      </c>
      <c r="E13" s="1">
        <v>8.5310000000000006</v>
      </c>
      <c r="F13" s="1">
        <v>8.7520000000000007</v>
      </c>
      <c r="G13" s="1">
        <v>8.3970000000000002</v>
      </c>
      <c r="H13" s="1">
        <v>8.9499999999999993</v>
      </c>
      <c r="I13" s="1">
        <v>8.7520000000000007</v>
      </c>
      <c r="J13" s="1">
        <v>8.7230000000000008</v>
      </c>
    </row>
    <row r="14" spans="1:10" x14ac:dyDescent="0.2">
      <c r="A14" s="1" t="s">
        <v>56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">
      <c r="A15" s="1" t="s">
        <v>57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">
      <c r="A16" s="1" t="s">
        <v>58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2:10" x14ac:dyDescent="0.2">
      <c r="B17" s="1">
        <f t="shared" ref="B17:I17" si="0">SUM(B3:B13)</f>
        <v>94.170999999999992</v>
      </c>
      <c r="C17" s="1">
        <f t="shared" si="0"/>
        <v>92.199999999999989</v>
      </c>
      <c r="D17" s="1">
        <f t="shared" si="0"/>
        <v>96.703999999999994</v>
      </c>
      <c r="E17" s="1">
        <f t="shared" si="0"/>
        <v>93.76600000000002</v>
      </c>
      <c r="F17" s="1">
        <f t="shared" si="0"/>
        <v>93.977000000000004</v>
      </c>
      <c r="G17" s="1">
        <f t="shared" si="0"/>
        <v>95.09</v>
      </c>
      <c r="H17" s="1">
        <f t="shared" si="0"/>
        <v>95.695999999999998</v>
      </c>
      <c r="I17" s="1">
        <f t="shared" si="0"/>
        <v>93.977000000000004</v>
      </c>
      <c r="J17" s="1">
        <f>SUM(J3:J13)</f>
        <v>96.862000000000009</v>
      </c>
    </row>
  </sheetData>
  <phoneticPr fontId="2"/>
  <pageMargins left="0.78740157499999996" right="0.78740157499999996" top="0.984251969" bottom="0.984251969" header="0.5" footer="0.5"/>
  <pageSetup paperSize="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Input</vt:lpstr>
      <vt:lpstr>General oxygen</vt:lpstr>
      <vt:lpstr>Biotite</vt:lpstr>
    </vt:vector>
  </TitlesOfParts>
  <Company>IMP ETHz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Ulmer</dc:creator>
  <cp:lastModifiedBy>Utilisateur Microsoft Office</cp:lastModifiedBy>
  <cp:lastPrinted>2004-02-09T12:47:08Z</cp:lastPrinted>
  <dcterms:created xsi:type="dcterms:W3CDTF">2003-12-08T09:51:19Z</dcterms:created>
  <dcterms:modified xsi:type="dcterms:W3CDTF">2021-11-16T13:49:20Z</dcterms:modified>
</cp:coreProperties>
</file>