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ate1904="1"/>
  <mc:AlternateContent xmlns:mc="http://schemas.openxmlformats.org/markup-compatibility/2006">
    <mc:Choice Requires="x15">
      <x15ac:absPath xmlns:x15ac="http://schemas.microsoft.com/office/spreadsheetml/2010/11/ac" url="/Users/benedictecenki-tok/Desktop/Data/_Science-MCSA-DOMES/Nouvelle-Calédonie/_Microsonde/Toulouse_1121/"/>
    </mc:Choice>
  </mc:AlternateContent>
  <xr:revisionPtr revIDLastSave="0" documentId="13_ncr:1_{67A6A752-D010-FC46-99DD-B438923E26DE}" xr6:coauthVersionLast="47" xr6:coauthVersionMax="47" xr10:uidLastSave="{00000000-0000-0000-0000-000000000000}"/>
  <bookViews>
    <workbookView xWindow="1740" yWindow="1900" windowWidth="27920" windowHeight="17060" tabRatio="498" activeTab="2" xr2:uid="{00000000-000D-0000-FFFF-FFFF00000000}"/>
  </bookViews>
  <sheets>
    <sheet name="Input" sheetId="4" r:id="rId1"/>
    <sheet name="NAMP" sheetId="1" r:id="rId2"/>
    <sheet name="CAMP" sheetId="13" r:id="rId3"/>
    <sheet name="KAMP" sheetId="14" r:id="rId4"/>
    <sheet name="RAMP" sheetId="15" r:id="rId5"/>
    <sheet name="AN" sheetId="12" r:id="rId6"/>
    <sheet name="pu378 amp" sheetId="16" r:id="rId7"/>
    <sheet name="pu380 amp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1" i="13" l="1"/>
  <c r="D301" i="13"/>
  <c r="E301" i="13"/>
  <c r="F301" i="13"/>
  <c r="G301" i="13"/>
  <c r="H301" i="13"/>
  <c r="I301" i="13"/>
  <c r="J301" i="13"/>
  <c r="K301" i="13"/>
  <c r="L301" i="13"/>
  <c r="M301" i="13"/>
  <c r="N301" i="13"/>
  <c r="O301" i="13"/>
  <c r="P301" i="13"/>
  <c r="Q301" i="13"/>
  <c r="R301" i="13"/>
  <c r="S301" i="13"/>
  <c r="T301" i="13"/>
  <c r="U301" i="13"/>
  <c r="V301" i="13"/>
  <c r="W301" i="13"/>
  <c r="X301" i="13"/>
  <c r="Y301" i="13"/>
  <c r="Z301" i="13"/>
  <c r="AA301" i="13"/>
  <c r="AB301" i="13"/>
  <c r="AC301" i="13"/>
  <c r="AD301" i="13"/>
  <c r="AE301" i="13"/>
  <c r="AF301" i="13"/>
  <c r="AG301" i="13"/>
  <c r="AH301" i="13"/>
  <c r="AI301" i="13"/>
  <c r="AJ301" i="13"/>
  <c r="AK301" i="13"/>
  <c r="AL301" i="13"/>
  <c r="AM301" i="13"/>
  <c r="AN301" i="13"/>
  <c r="AO301" i="13"/>
  <c r="AP301" i="13"/>
  <c r="AQ301" i="13"/>
  <c r="AR301" i="13"/>
  <c r="AS301" i="13"/>
  <c r="AT301" i="13"/>
  <c r="AU301" i="13"/>
  <c r="AV301" i="13"/>
  <c r="AW301" i="13"/>
  <c r="AX301" i="13"/>
  <c r="AY301" i="13"/>
  <c r="AZ301" i="13"/>
  <c r="BA301" i="13"/>
  <c r="BB301" i="13"/>
  <c r="BC301" i="13"/>
  <c r="BD301" i="13"/>
  <c r="BE301" i="13"/>
  <c r="BF301" i="13"/>
  <c r="BG301" i="13"/>
  <c r="BH301" i="13"/>
  <c r="BI301" i="13"/>
  <c r="BJ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O302" i="13"/>
  <c r="P302" i="13"/>
  <c r="Q302" i="13"/>
  <c r="R302" i="13"/>
  <c r="S302" i="13"/>
  <c r="T302" i="13"/>
  <c r="U302" i="13"/>
  <c r="V302" i="13"/>
  <c r="W302" i="13"/>
  <c r="X302" i="13"/>
  <c r="Y302" i="13"/>
  <c r="Z302" i="13"/>
  <c r="AA302" i="13"/>
  <c r="AB302" i="13"/>
  <c r="AC302" i="13"/>
  <c r="AD302" i="13"/>
  <c r="AE302" i="13"/>
  <c r="AF302" i="13"/>
  <c r="AG302" i="13"/>
  <c r="AH302" i="13"/>
  <c r="AI302" i="13"/>
  <c r="AJ302" i="13"/>
  <c r="AK302" i="13"/>
  <c r="AL302" i="13"/>
  <c r="AM302" i="13"/>
  <c r="AN302" i="13"/>
  <c r="AO302" i="13"/>
  <c r="AP302" i="13"/>
  <c r="AQ302" i="13"/>
  <c r="AR302" i="13"/>
  <c r="AS302" i="13"/>
  <c r="AT302" i="13"/>
  <c r="AU302" i="13"/>
  <c r="AV302" i="13"/>
  <c r="AW302" i="13"/>
  <c r="AX302" i="13"/>
  <c r="AY302" i="13"/>
  <c r="AZ302" i="13"/>
  <c r="BA302" i="13"/>
  <c r="BB302" i="13"/>
  <c r="BC302" i="13"/>
  <c r="BD302" i="13"/>
  <c r="BE302" i="13"/>
  <c r="BF302" i="13"/>
  <c r="BG302" i="13"/>
  <c r="BH302" i="13"/>
  <c r="BI302" i="13"/>
  <c r="BJ302" i="13"/>
  <c r="B301" i="13"/>
  <c r="B302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O298" i="13"/>
  <c r="P298" i="13"/>
  <c r="Q298" i="13"/>
  <c r="R298" i="13"/>
  <c r="S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J298" i="13"/>
  <c r="AK298" i="13"/>
  <c r="AL298" i="13"/>
  <c r="AM298" i="13"/>
  <c r="AN298" i="13"/>
  <c r="AO298" i="13"/>
  <c r="AP298" i="13"/>
  <c r="AQ298" i="13"/>
  <c r="AR298" i="13"/>
  <c r="AS298" i="13"/>
  <c r="AT298" i="13"/>
  <c r="AU298" i="13"/>
  <c r="AV298" i="13"/>
  <c r="AW298" i="13"/>
  <c r="AX298" i="13"/>
  <c r="AY298" i="13"/>
  <c r="AZ298" i="13"/>
  <c r="BA298" i="13"/>
  <c r="BB298" i="13"/>
  <c r="BC298" i="13"/>
  <c r="BD298" i="13"/>
  <c r="BE298" i="13"/>
  <c r="BF298" i="13"/>
  <c r="BG298" i="13"/>
  <c r="BH298" i="13"/>
  <c r="BI298" i="13"/>
  <c r="BJ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O299" i="13"/>
  <c r="P299" i="13"/>
  <c r="Q299" i="13"/>
  <c r="R299" i="13"/>
  <c r="S299" i="13"/>
  <c r="T299" i="13"/>
  <c r="U299" i="13"/>
  <c r="V299" i="13"/>
  <c r="W299" i="13"/>
  <c r="X299" i="13"/>
  <c r="Y299" i="13"/>
  <c r="Z299" i="13"/>
  <c r="AA299" i="13"/>
  <c r="AB299" i="13"/>
  <c r="AC299" i="13"/>
  <c r="AD299" i="13"/>
  <c r="AE299" i="13"/>
  <c r="AF299" i="13"/>
  <c r="AG299" i="13"/>
  <c r="AH299" i="13"/>
  <c r="AI299" i="13"/>
  <c r="AJ299" i="13"/>
  <c r="AK299" i="13"/>
  <c r="AL299" i="13"/>
  <c r="AM299" i="13"/>
  <c r="AN299" i="13"/>
  <c r="AO299" i="13"/>
  <c r="AP299" i="13"/>
  <c r="AQ299" i="13"/>
  <c r="AR299" i="13"/>
  <c r="AS299" i="13"/>
  <c r="AT299" i="13"/>
  <c r="AU299" i="13"/>
  <c r="AV299" i="13"/>
  <c r="AW299" i="13"/>
  <c r="AX299" i="13"/>
  <c r="AY299" i="13"/>
  <c r="AZ299" i="13"/>
  <c r="BA299" i="13"/>
  <c r="BB299" i="13"/>
  <c r="BC299" i="13"/>
  <c r="BD299" i="13"/>
  <c r="BE299" i="13"/>
  <c r="BF299" i="13"/>
  <c r="BG299" i="13"/>
  <c r="BH299" i="13"/>
  <c r="BI299" i="13"/>
  <c r="BJ299" i="13"/>
  <c r="B298" i="13"/>
  <c r="B299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O295" i="13"/>
  <c r="P295" i="13"/>
  <c r="Q295" i="13"/>
  <c r="R295" i="13"/>
  <c r="S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AJ295" i="13"/>
  <c r="AK295" i="13"/>
  <c r="AL295" i="13"/>
  <c r="AM295" i="13"/>
  <c r="AN295" i="13"/>
  <c r="AO295" i="13"/>
  <c r="AP295" i="13"/>
  <c r="AQ295" i="13"/>
  <c r="AR295" i="13"/>
  <c r="AS295" i="13"/>
  <c r="AT295" i="13"/>
  <c r="AU295" i="13"/>
  <c r="AV295" i="13"/>
  <c r="AW295" i="13"/>
  <c r="AX295" i="13"/>
  <c r="AY295" i="13"/>
  <c r="AZ295" i="13"/>
  <c r="BA295" i="13"/>
  <c r="BB295" i="13"/>
  <c r="BC295" i="13"/>
  <c r="BD295" i="13"/>
  <c r="BE295" i="13"/>
  <c r="BF295" i="13"/>
  <c r="BG295" i="13"/>
  <c r="BH295" i="13"/>
  <c r="BI295" i="13"/>
  <c r="BJ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O296" i="13"/>
  <c r="P296" i="13"/>
  <c r="Q296" i="13"/>
  <c r="R296" i="13"/>
  <c r="S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AJ296" i="13"/>
  <c r="AK296" i="13"/>
  <c r="AL296" i="13"/>
  <c r="AM296" i="13"/>
  <c r="AN296" i="13"/>
  <c r="AO296" i="13"/>
  <c r="AP296" i="13"/>
  <c r="AQ296" i="13"/>
  <c r="AR296" i="13"/>
  <c r="AS296" i="13"/>
  <c r="AT296" i="13"/>
  <c r="AU296" i="13"/>
  <c r="AV296" i="13"/>
  <c r="AW296" i="13"/>
  <c r="AX296" i="13"/>
  <c r="AY296" i="13"/>
  <c r="AZ296" i="13"/>
  <c r="BA296" i="13"/>
  <c r="BB296" i="13"/>
  <c r="BC296" i="13"/>
  <c r="BD296" i="13"/>
  <c r="BE296" i="13"/>
  <c r="BF296" i="13"/>
  <c r="BG296" i="13"/>
  <c r="BH296" i="13"/>
  <c r="BI296" i="13"/>
  <c r="BJ296" i="13"/>
  <c r="B296" i="13"/>
  <c r="B295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O292" i="13"/>
  <c r="P292" i="13"/>
  <c r="Q292" i="13"/>
  <c r="R292" i="13"/>
  <c r="S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AJ292" i="13"/>
  <c r="AK292" i="13"/>
  <c r="AL292" i="13"/>
  <c r="AM292" i="13"/>
  <c r="AN292" i="13"/>
  <c r="AO292" i="13"/>
  <c r="AP292" i="13"/>
  <c r="AQ292" i="13"/>
  <c r="AR292" i="13"/>
  <c r="AS292" i="13"/>
  <c r="AT292" i="13"/>
  <c r="AU292" i="13"/>
  <c r="AV292" i="13"/>
  <c r="AW292" i="13"/>
  <c r="AX292" i="13"/>
  <c r="AY292" i="13"/>
  <c r="AZ292" i="13"/>
  <c r="BA292" i="13"/>
  <c r="BB292" i="13"/>
  <c r="BC292" i="13"/>
  <c r="BD292" i="13"/>
  <c r="BE292" i="13"/>
  <c r="BF292" i="13"/>
  <c r="BG292" i="13"/>
  <c r="BH292" i="13"/>
  <c r="BI292" i="13"/>
  <c r="BJ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O293" i="13"/>
  <c r="P293" i="13"/>
  <c r="Q293" i="13"/>
  <c r="R293" i="13"/>
  <c r="S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AJ293" i="13"/>
  <c r="AK293" i="13"/>
  <c r="AL293" i="13"/>
  <c r="AM293" i="13"/>
  <c r="AN293" i="13"/>
  <c r="AO293" i="13"/>
  <c r="AP293" i="13"/>
  <c r="AQ293" i="13"/>
  <c r="AR293" i="13"/>
  <c r="AS293" i="13"/>
  <c r="AT293" i="13"/>
  <c r="AU293" i="13"/>
  <c r="AV293" i="13"/>
  <c r="AW293" i="13"/>
  <c r="AX293" i="13"/>
  <c r="AY293" i="13"/>
  <c r="AZ293" i="13"/>
  <c r="BA293" i="13"/>
  <c r="BB293" i="13"/>
  <c r="BC293" i="13"/>
  <c r="BD293" i="13"/>
  <c r="BE293" i="13"/>
  <c r="BF293" i="13"/>
  <c r="BG293" i="13"/>
  <c r="BH293" i="13"/>
  <c r="BI293" i="13"/>
  <c r="BJ293" i="13"/>
  <c r="B293" i="13"/>
  <c r="B292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O289" i="13"/>
  <c r="P289" i="13"/>
  <c r="Q289" i="13"/>
  <c r="R289" i="13"/>
  <c r="S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AJ289" i="13"/>
  <c r="AK289" i="13"/>
  <c r="AL289" i="13"/>
  <c r="AM289" i="13"/>
  <c r="AN289" i="13"/>
  <c r="AO289" i="13"/>
  <c r="AP289" i="13"/>
  <c r="AQ289" i="13"/>
  <c r="AR289" i="13"/>
  <c r="AS289" i="13"/>
  <c r="AT289" i="13"/>
  <c r="AU289" i="13"/>
  <c r="AV289" i="13"/>
  <c r="AW289" i="13"/>
  <c r="AX289" i="13"/>
  <c r="AY289" i="13"/>
  <c r="AZ289" i="13"/>
  <c r="BA289" i="13"/>
  <c r="BB289" i="13"/>
  <c r="BC289" i="13"/>
  <c r="BD289" i="13"/>
  <c r="BE289" i="13"/>
  <c r="BF289" i="13"/>
  <c r="BG289" i="13"/>
  <c r="BH289" i="13"/>
  <c r="BI289" i="13"/>
  <c r="BJ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O290" i="13"/>
  <c r="P290" i="13"/>
  <c r="Q290" i="13"/>
  <c r="R290" i="13"/>
  <c r="S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AJ290" i="13"/>
  <c r="AK290" i="13"/>
  <c r="AL290" i="13"/>
  <c r="AM290" i="13"/>
  <c r="AN290" i="13"/>
  <c r="AO290" i="13"/>
  <c r="AP290" i="13"/>
  <c r="AQ290" i="13"/>
  <c r="AR290" i="13"/>
  <c r="AS290" i="13"/>
  <c r="AT290" i="13"/>
  <c r="AU290" i="13"/>
  <c r="AV290" i="13"/>
  <c r="AW290" i="13"/>
  <c r="AX290" i="13"/>
  <c r="AY290" i="13"/>
  <c r="AZ290" i="13"/>
  <c r="BA290" i="13"/>
  <c r="BB290" i="13"/>
  <c r="BC290" i="13"/>
  <c r="BD290" i="13"/>
  <c r="BE290" i="13"/>
  <c r="BF290" i="13"/>
  <c r="BG290" i="13"/>
  <c r="BH290" i="13"/>
  <c r="BI290" i="13"/>
  <c r="BJ290" i="13"/>
  <c r="B290" i="13"/>
  <c r="B289" i="13"/>
  <c r="J281" i="13"/>
  <c r="T281" i="13"/>
  <c r="AD281" i="13"/>
  <c r="AF281" i="13"/>
  <c r="AW281" i="13"/>
  <c r="AX281" i="13"/>
  <c r="AZ281" i="13"/>
  <c r="BB281" i="13"/>
  <c r="BG281" i="13"/>
  <c r="BH281" i="13"/>
  <c r="BJ281" i="13"/>
  <c r="BI53" i="15"/>
  <c r="BI71" i="15" s="1"/>
  <c r="BE56" i="15"/>
  <c r="BE74" i="15" s="1"/>
  <c r="BF64" i="15"/>
  <c r="AG66" i="15"/>
  <c r="BE67" i="15"/>
  <c r="BI70" i="15"/>
  <c r="U158" i="15"/>
  <c r="V158" i="15"/>
  <c r="W158" i="15"/>
  <c r="X158" i="15"/>
  <c r="Y158" i="15"/>
  <c r="Z158" i="15"/>
  <c r="AA158" i="15"/>
  <c r="AB158" i="15"/>
  <c r="AC158" i="15"/>
  <c r="AD158" i="15"/>
  <c r="AE158" i="15"/>
  <c r="AF158" i="15"/>
  <c r="AG158" i="15"/>
  <c r="AH158" i="15"/>
  <c r="AI158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BB158" i="15"/>
  <c r="BC158" i="15"/>
  <c r="BD158" i="15"/>
  <c r="BE158" i="15"/>
  <c r="BF158" i="15"/>
  <c r="BG158" i="15"/>
  <c r="BH158" i="15"/>
  <c r="BI158" i="15"/>
  <c r="BJ158" i="15"/>
  <c r="BK158" i="15"/>
  <c r="U261" i="15"/>
  <c r="V261" i="15"/>
  <c r="W261" i="15"/>
  <c r="X261" i="15"/>
  <c r="Y261" i="15"/>
  <c r="Z261" i="15"/>
  <c r="AA261" i="15"/>
  <c r="AB261" i="15"/>
  <c r="AC261" i="15"/>
  <c r="AD261" i="15"/>
  <c r="AE261" i="15"/>
  <c r="AF261" i="15"/>
  <c r="AG261" i="15"/>
  <c r="AH261" i="15"/>
  <c r="AI261" i="15"/>
  <c r="AJ261" i="15"/>
  <c r="AK261" i="15"/>
  <c r="AL261" i="15"/>
  <c r="AM261" i="15"/>
  <c r="AN261" i="15"/>
  <c r="AO261" i="15"/>
  <c r="AP261" i="15"/>
  <c r="AQ261" i="15"/>
  <c r="AR261" i="15"/>
  <c r="AS261" i="15"/>
  <c r="AT261" i="15"/>
  <c r="AU261" i="15"/>
  <c r="AV261" i="15"/>
  <c r="AW261" i="15"/>
  <c r="AX261" i="15"/>
  <c r="AY261" i="15"/>
  <c r="AZ261" i="15"/>
  <c r="BA261" i="15"/>
  <c r="BB261" i="15"/>
  <c r="BC261" i="15"/>
  <c r="BD261" i="15"/>
  <c r="BE261" i="15"/>
  <c r="BF261" i="15"/>
  <c r="BG261" i="15"/>
  <c r="BH261" i="15"/>
  <c r="BI261" i="15"/>
  <c r="BJ261" i="15"/>
  <c r="BK261" i="15"/>
  <c r="BC21" i="15"/>
  <c r="BD21" i="15"/>
  <c r="BE21" i="15"/>
  <c r="BF21" i="15"/>
  <c r="BG21" i="15"/>
  <c r="BH21" i="15"/>
  <c r="BI21" i="15"/>
  <c r="BJ21" i="15"/>
  <c r="BK21" i="15"/>
  <c r="BL21" i="15"/>
  <c r="BC22" i="15"/>
  <c r="BD22" i="15"/>
  <c r="BE22" i="15"/>
  <c r="BF22" i="15"/>
  <c r="BG22" i="15"/>
  <c r="BH22" i="15"/>
  <c r="BI22" i="15"/>
  <c r="BJ22" i="15"/>
  <c r="BK22" i="15"/>
  <c r="BL22" i="15"/>
  <c r="BC23" i="15"/>
  <c r="BC42" i="15" s="1"/>
  <c r="BC60" i="15" s="1"/>
  <c r="BD23" i="15"/>
  <c r="BD42" i="15" s="1"/>
  <c r="BD60" i="15" s="1"/>
  <c r="BE23" i="15"/>
  <c r="BE42" i="15" s="1"/>
  <c r="BE60" i="15" s="1"/>
  <c r="BF23" i="15"/>
  <c r="BF42" i="15" s="1"/>
  <c r="BF60" i="15" s="1"/>
  <c r="BG23" i="15"/>
  <c r="BG42" i="15" s="1"/>
  <c r="BG60" i="15" s="1"/>
  <c r="BH23" i="15"/>
  <c r="BH42" i="15" s="1"/>
  <c r="BH60" i="15" s="1"/>
  <c r="BI23" i="15"/>
  <c r="BI42" i="15" s="1"/>
  <c r="BI60" i="15" s="1"/>
  <c r="BJ23" i="15"/>
  <c r="BJ42" i="15" s="1"/>
  <c r="BJ60" i="15" s="1"/>
  <c r="BK23" i="15"/>
  <c r="BK42" i="15" s="1"/>
  <c r="BK60" i="15" s="1"/>
  <c r="BL23" i="15"/>
  <c r="BC24" i="15"/>
  <c r="BC43" i="15" s="1"/>
  <c r="BC61" i="15" s="1"/>
  <c r="BD24" i="15"/>
  <c r="BE24" i="15"/>
  <c r="BE43" i="15" s="1"/>
  <c r="BE61" i="15" s="1"/>
  <c r="BF24" i="15"/>
  <c r="BF43" i="15" s="1"/>
  <c r="BF61" i="15" s="1"/>
  <c r="BG24" i="15"/>
  <c r="BG43" i="15" s="1"/>
  <c r="BG61" i="15" s="1"/>
  <c r="BH24" i="15"/>
  <c r="BI24" i="15"/>
  <c r="BI43" i="15" s="1"/>
  <c r="BI61" i="15" s="1"/>
  <c r="BJ24" i="15"/>
  <c r="BJ43" i="15" s="1"/>
  <c r="BJ61" i="15" s="1"/>
  <c r="BK24" i="15"/>
  <c r="BK43" i="15" s="1"/>
  <c r="BK61" i="15" s="1"/>
  <c r="BL24" i="15"/>
  <c r="BC25" i="15"/>
  <c r="BC44" i="15" s="1"/>
  <c r="BC62" i="15" s="1"/>
  <c r="BD25" i="15"/>
  <c r="BD44" i="15" s="1"/>
  <c r="BD62" i="15" s="1"/>
  <c r="BE25" i="15"/>
  <c r="BE44" i="15" s="1"/>
  <c r="BE62" i="15" s="1"/>
  <c r="BF25" i="15"/>
  <c r="BF44" i="15" s="1"/>
  <c r="BF62" i="15" s="1"/>
  <c r="BG25" i="15"/>
  <c r="BG44" i="15" s="1"/>
  <c r="BG62" i="15" s="1"/>
  <c r="BH25" i="15"/>
  <c r="BH44" i="15" s="1"/>
  <c r="BH62" i="15" s="1"/>
  <c r="BI25" i="15"/>
  <c r="BI44" i="15" s="1"/>
  <c r="BI62" i="15" s="1"/>
  <c r="BJ25" i="15"/>
  <c r="BJ44" i="15" s="1"/>
  <c r="BJ62" i="15" s="1"/>
  <c r="BK25" i="15"/>
  <c r="BK44" i="15" s="1"/>
  <c r="BK62" i="15" s="1"/>
  <c r="BL25" i="15"/>
  <c r="BC26" i="15"/>
  <c r="BC45" i="15" s="1"/>
  <c r="BC63" i="15" s="1"/>
  <c r="BD26" i="15"/>
  <c r="BD45" i="15" s="1"/>
  <c r="BD63" i="15" s="1"/>
  <c r="BE26" i="15"/>
  <c r="BE45" i="15" s="1"/>
  <c r="BE63" i="15" s="1"/>
  <c r="BF26" i="15"/>
  <c r="BF45" i="15" s="1"/>
  <c r="BF63" i="15" s="1"/>
  <c r="BG26" i="15"/>
  <c r="BG45" i="15" s="1"/>
  <c r="BG63" i="15" s="1"/>
  <c r="BH26" i="15"/>
  <c r="BH45" i="15" s="1"/>
  <c r="BH63" i="15" s="1"/>
  <c r="BI26" i="15"/>
  <c r="BI45" i="15" s="1"/>
  <c r="BI63" i="15" s="1"/>
  <c r="BJ26" i="15"/>
  <c r="BJ45" i="15" s="1"/>
  <c r="BJ63" i="15" s="1"/>
  <c r="BK26" i="15"/>
  <c r="BK45" i="15" s="1"/>
  <c r="BK63" i="15" s="1"/>
  <c r="BL26" i="15"/>
  <c r="BC27" i="15"/>
  <c r="BD27" i="15"/>
  <c r="BE27" i="15"/>
  <c r="BE47" i="15" s="1"/>
  <c r="BF27" i="15"/>
  <c r="BF46" i="15" s="1"/>
  <c r="BG27" i="15"/>
  <c r="BH27" i="15"/>
  <c r="BI27" i="15"/>
  <c r="BI46" i="15" s="1"/>
  <c r="BI64" i="15" s="1"/>
  <c r="BJ27" i="15"/>
  <c r="BJ47" i="15" s="1"/>
  <c r="BJ65" i="15" s="1"/>
  <c r="BK27" i="15"/>
  <c r="BK47" i="15" s="1"/>
  <c r="BK65" i="15" s="1"/>
  <c r="BL27" i="15"/>
  <c r="BC28" i="15"/>
  <c r="BC48" i="15" s="1"/>
  <c r="BC66" i="15" s="1"/>
  <c r="BD28" i="15"/>
  <c r="BD48" i="15" s="1"/>
  <c r="BD66" i="15" s="1"/>
  <c r="BE28" i="15"/>
  <c r="BE48" i="15" s="1"/>
  <c r="BE66" i="15" s="1"/>
  <c r="BF28" i="15"/>
  <c r="BF48" i="15" s="1"/>
  <c r="BG28" i="15"/>
  <c r="BG48" i="15" s="1"/>
  <c r="BG66" i="15" s="1"/>
  <c r="BH28" i="15"/>
  <c r="BH48" i="15" s="1"/>
  <c r="BH66" i="15" s="1"/>
  <c r="BI28" i="15"/>
  <c r="BI48" i="15" s="1"/>
  <c r="BI66" i="15" s="1"/>
  <c r="BJ28" i="15"/>
  <c r="BJ48" i="15" s="1"/>
  <c r="BK28" i="15"/>
  <c r="BK48" i="15" s="1"/>
  <c r="BK66" i="15" s="1"/>
  <c r="BL28" i="15"/>
  <c r="BC29" i="15"/>
  <c r="BC49" i="15" s="1"/>
  <c r="BD29" i="15"/>
  <c r="BD49" i="15" s="1"/>
  <c r="BD67" i="15" s="1"/>
  <c r="BE29" i="15"/>
  <c r="BE49" i="15" s="1"/>
  <c r="BF29" i="15"/>
  <c r="BF49" i="15" s="1"/>
  <c r="BF67" i="15" s="1"/>
  <c r="BG29" i="15"/>
  <c r="BG49" i="15" s="1"/>
  <c r="BH29" i="15"/>
  <c r="BH49" i="15" s="1"/>
  <c r="BH67" i="15" s="1"/>
  <c r="BI29" i="15"/>
  <c r="BI49" i="15" s="1"/>
  <c r="BI67" i="15" s="1"/>
  <c r="BJ29" i="15"/>
  <c r="BJ49" i="15" s="1"/>
  <c r="BJ67" i="15" s="1"/>
  <c r="BK29" i="15"/>
  <c r="BK49" i="15" s="1"/>
  <c r="BL29" i="15"/>
  <c r="BC30" i="15"/>
  <c r="BC50" i="15" s="1"/>
  <c r="BC68" i="15" s="1"/>
  <c r="BD30" i="15"/>
  <c r="BD50" i="15" s="1"/>
  <c r="BE30" i="15"/>
  <c r="BE50" i="15" s="1"/>
  <c r="BE68" i="15" s="1"/>
  <c r="BF30" i="15"/>
  <c r="BF50" i="15" s="1"/>
  <c r="BF68" i="15" s="1"/>
  <c r="BG30" i="15"/>
  <c r="BG50" i="15" s="1"/>
  <c r="BG68" i="15" s="1"/>
  <c r="BH30" i="15"/>
  <c r="BH50" i="15" s="1"/>
  <c r="BI30" i="15"/>
  <c r="BI50" i="15" s="1"/>
  <c r="BI68" i="15" s="1"/>
  <c r="BJ30" i="15"/>
  <c r="BJ50" i="15" s="1"/>
  <c r="BJ68" i="15" s="1"/>
  <c r="BK30" i="15"/>
  <c r="BK50" i="15" s="1"/>
  <c r="BK68" i="15" s="1"/>
  <c r="BL30" i="15"/>
  <c r="BC31" i="15"/>
  <c r="BC51" i="15" s="1"/>
  <c r="BC69" i="15" s="1"/>
  <c r="BD31" i="15"/>
  <c r="BD51" i="15" s="1"/>
  <c r="BD69" i="15" s="1"/>
  <c r="BE31" i="15"/>
  <c r="BE51" i="15" s="1"/>
  <c r="BF31" i="15"/>
  <c r="BF51" i="15" s="1"/>
  <c r="BF69" i="15" s="1"/>
  <c r="BG31" i="15"/>
  <c r="BG51" i="15" s="1"/>
  <c r="BG69" i="15" s="1"/>
  <c r="BH31" i="15"/>
  <c r="BH51" i="15" s="1"/>
  <c r="BH69" i="15" s="1"/>
  <c r="BI31" i="15"/>
  <c r="BI51" i="15" s="1"/>
  <c r="BJ31" i="15"/>
  <c r="BJ51" i="15" s="1"/>
  <c r="BJ69" i="15" s="1"/>
  <c r="BK31" i="15"/>
  <c r="BK51" i="15" s="1"/>
  <c r="BK69" i="15" s="1"/>
  <c r="BL31" i="15"/>
  <c r="BC32" i="15"/>
  <c r="BC52" i="15" s="1"/>
  <c r="BC70" i="15" s="1"/>
  <c r="BD32" i="15"/>
  <c r="BD52" i="15" s="1"/>
  <c r="BD70" i="15" s="1"/>
  <c r="BE32" i="15"/>
  <c r="BE52" i="15" s="1"/>
  <c r="BE70" i="15" s="1"/>
  <c r="BF32" i="15"/>
  <c r="BF52" i="15" s="1"/>
  <c r="BG32" i="15"/>
  <c r="BG52" i="15" s="1"/>
  <c r="BG70" i="15" s="1"/>
  <c r="BH32" i="15"/>
  <c r="BH52" i="15" s="1"/>
  <c r="BH70" i="15" s="1"/>
  <c r="BI32" i="15"/>
  <c r="BI52" i="15" s="1"/>
  <c r="BJ32" i="15"/>
  <c r="BJ52" i="15" s="1"/>
  <c r="BK32" i="15"/>
  <c r="BK52" i="15" s="1"/>
  <c r="BK70" i="15" s="1"/>
  <c r="BL32" i="15"/>
  <c r="BC33" i="15"/>
  <c r="BC53" i="15" s="1"/>
  <c r="BD33" i="15"/>
  <c r="BD53" i="15" s="1"/>
  <c r="BD71" i="15" s="1"/>
  <c r="BE33" i="15"/>
  <c r="BE53" i="15" s="1"/>
  <c r="BE71" i="15" s="1"/>
  <c r="BF33" i="15"/>
  <c r="BF53" i="15" s="1"/>
  <c r="BF71" i="15" s="1"/>
  <c r="BG33" i="15"/>
  <c r="BG53" i="15" s="1"/>
  <c r="BH33" i="15"/>
  <c r="BH53" i="15" s="1"/>
  <c r="BH71" i="15" s="1"/>
  <c r="BI33" i="15"/>
  <c r="BJ33" i="15"/>
  <c r="BJ53" i="15" s="1"/>
  <c r="BJ71" i="15" s="1"/>
  <c r="BK33" i="15"/>
  <c r="BK53" i="15" s="1"/>
  <c r="BL33" i="15"/>
  <c r="BC34" i="15"/>
  <c r="BC54" i="15" s="1"/>
  <c r="BC72" i="15" s="1"/>
  <c r="BD34" i="15"/>
  <c r="BD54" i="15" s="1"/>
  <c r="BD72" i="15" s="1"/>
  <c r="BE34" i="15"/>
  <c r="BE54" i="15" s="1"/>
  <c r="BE72" i="15" s="1"/>
  <c r="BF34" i="15"/>
  <c r="BF54" i="15" s="1"/>
  <c r="BF72" i="15" s="1"/>
  <c r="BG34" i="15"/>
  <c r="BG54" i="15" s="1"/>
  <c r="BG72" i="15" s="1"/>
  <c r="BH34" i="15"/>
  <c r="BH54" i="15" s="1"/>
  <c r="BH72" i="15" s="1"/>
  <c r="BI34" i="15"/>
  <c r="BI54" i="15" s="1"/>
  <c r="BI72" i="15" s="1"/>
  <c r="BJ34" i="15"/>
  <c r="BJ54" i="15" s="1"/>
  <c r="BJ72" i="15" s="1"/>
  <c r="BK34" i="15"/>
  <c r="BK54" i="15" s="1"/>
  <c r="BK72" i="15" s="1"/>
  <c r="BL34" i="15"/>
  <c r="BC35" i="15"/>
  <c r="BC55" i="15" s="1"/>
  <c r="BC73" i="15" s="1"/>
  <c r="BD35" i="15"/>
  <c r="BD55" i="15" s="1"/>
  <c r="BD73" i="15" s="1"/>
  <c r="BE35" i="15"/>
  <c r="BE55" i="15" s="1"/>
  <c r="BF35" i="15"/>
  <c r="BF55" i="15" s="1"/>
  <c r="BF73" i="15" s="1"/>
  <c r="BG35" i="15"/>
  <c r="BG55" i="15" s="1"/>
  <c r="BG73" i="15" s="1"/>
  <c r="BH35" i="15"/>
  <c r="BH55" i="15" s="1"/>
  <c r="BH73" i="15" s="1"/>
  <c r="BI35" i="15"/>
  <c r="BI55" i="15" s="1"/>
  <c r="BJ35" i="15"/>
  <c r="BJ55" i="15" s="1"/>
  <c r="BJ73" i="15" s="1"/>
  <c r="BK35" i="15"/>
  <c r="BK55" i="15" s="1"/>
  <c r="BK73" i="15" s="1"/>
  <c r="BL35" i="15"/>
  <c r="BC36" i="15"/>
  <c r="BC56" i="15" s="1"/>
  <c r="BC74" i="15" s="1"/>
  <c r="BD36" i="15"/>
  <c r="BD56" i="15" s="1"/>
  <c r="BD74" i="15" s="1"/>
  <c r="BE36" i="15"/>
  <c r="BF36" i="15"/>
  <c r="BF56" i="15" s="1"/>
  <c r="BG36" i="15"/>
  <c r="BG56" i="15" s="1"/>
  <c r="BG74" i="15" s="1"/>
  <c r="BH36" i="15"/>
  <c r="BH56" i="15" s="1"/>
  <c r="BH74" i="15" s="1"/>
  <c r="BI36" i="15"/>
  <c r="BI56" i="15" s="1"/>
  <c r="BI74" i="15" s="1"/>
  <c r="BJ36" i="15"/>
  <c r="BJ56" i="15" s="1"/>
  <c r="BK36" i="15"/>
  <c r="BK56" i="15" s="1"/>
  <c r="BK74" i="15" s="1"/>
  <c r="BL36" i="15"/>
  <c r="BC38" i="15"/>
  <c r="BE38" i="15"/>
  <c r="BF38" i="15"/>
  <c r="BI38" i="15"/>
  <c r="BJ38" i="15"/>
  <c r="AZ21" i="15"/>
  <c r="BA21" i="15"/>
  <c r="BB21" i="15"/>
  <c r="AZ22" i="15"/>
  <c r="BA22" i="15"/>
  <c r="BB22" i="15"/>
  <c r="AZ23" i="15"/>
  <c r="AZ42" i="15" s="1"/>
  <c r="AZ60" i="15" s="1"/>
  <c r="BA23" i="15"/>
  <c r="BA42" i="15" s="1"/>
  <c r="BA60" i="15" s="1"/>
  <c r="BB23" i="15"/>
  <c r="BB42" i="15" s="1"/>
  <c r="BB60" i="15" s="1"/>
  <c r="AZ24" i="15"/>
  <c r="AZ43" i="15" s="1"/>
  <c r="AZ61" i="15" s="1"/>
  <c r="BA24" i="15"/>
  <c r="BA43" i="15" s="1"/>
  <c r="BA61" i="15" s="1"/>
  <c r="BB24" i="15"/>
  <c r="BB43" i="15" s="1"/>
  <c r="BB61" i="15" s="1"/>
  <c r="AZ25" i="15"/>
  <c r="AZ44" i="15" s="1"/>
  <c r="AZ62" i="15" s="1"/>
  <c r="BA25" i="15"/>
  <c r="BA44" i="15" s="1"/>
  <c r="BA62" i="15" s="1"/>
  <c r="BB25" i="15"/>
  <c r="BB44" i="15" s="1"/>
  <c r="BB62" i="15" s="1"/>
  <c r="AZ26" i="15"/>
  <c r="AZ45" i="15" s="1"/>
  <c r="AZ63" i="15" s="1"/>
  <c r="BA26" i="15"/>
  <c r="BA45" i="15" s="1"/>
  <c r="BA63" i="15" s="1"/>
  <c r="BB26" i="15"/>
  <c r="BB45" i="15" s="1"/>
  <c r="BB63" i="15" s="1"/>
  <c r="AZ27" i="15"/>
  <c r="AZ47" i="15" s="1"/>
  <c r="AZ65" i="15" s="1"/>
  <c r="BA27" i="15"/>
  <c r="BB27" i="15"/>
  <c r="AZ28" i="15"/>
  <c r="AZ48" i="15" s="1"/>
  <c r="AZ66" i="15" s="1"/>
  <c r="BA28" i="15"/>
  <c r="BA48" i="15" s="1"/>
  <c r="BA66" i="15" s="1"/>
  <c r="BB28" i="15"/>
  <c r="BB48" i="15" s="1"/>
  <c r="AZ29" i="15"/>
  <c r="AZ49" i="15" s="1"/>
  <c r="AZ67" i="15" s="1"/>
  <c r="BA29" i="15"/>
  <c r="BA49" i="15" s="1"/>
  <c r="BA67" i="15" s="1"/>
  <c r="BB29" i="15"/>
  <c r="BB49" i="15" s="1"/>
  <c r="BB67" i="15" s="1"/>
  <c r="AZ30" i="15"/>
  <c r="AZ50" i="15" s="1"/>
  <c r="BA30" i="15"/>
  <c r="BA50" i="15" s="1"/>
  <c r="BA68" i="15" s="1"/>
  <c r="BB30" i="15"/>
  <c r="BB50" i="15" s="1"/>
  <c r="BB68" i="15" s="1"/>
  <c r="AZ31" i="15"/>
  <c r="AZ51" i="15" s="1"/>
  <c r="AZ69" i="15" s="1"/>
  <c r="BA31" i="15"/>
  <c r="BA51" i="15" s="1"/>
  <c r="BB31" i="15"/>
  <c r="BB51" i="15" s="1"/>
  <c r="BB69" i="15" s="1"/>
  <c r="AZ32" i="15"/>
  <c r="AZ52" i="15" s="1"/>
  <c r="AZ70" i="15" s="1"/>
  <c r="BA32" i="15"/>
  <c r="BA52" i="15" s="1"/>
  <c r="BA70" i="15" s="1"/>
  <c r="BB32" i="15"/>
  <c r="BB52" i="15" s="1"/>
  <c r="AZ33" i="15"/>
  <c r="AZ53" i="15" s="1"/>
  <c r="AZ71" i="15" s="1"/>
  <c r="BA33" i="15"/>
  <c r="BA53" i="15" s="1"/>
  <c r="BA71" i="15" s="1"/>
  <c r="BB33" i="15"/>
  <c r="BB53" i="15" s="1"/>
  <c r="BB71" i="15" s="1"/>
  <c r="AZ34" i="15"/>
  <c r="AZ54" i="15" s="1"/>
  <c r="AZ72" i="15" s="1"/>
  <c r="BA34" i="15"/>
  <c r="BA54" i="15" s="1"/>
  <c r="BA72" i="15" s="1"/>
  <c r="BB34" i="15"/>
  <c r="BB54" i="15" s="1"/>
  <c r="BB72" i="15" s="1"/>
  <c r="AZ35" i="15"/>
  <c r="AZ55" i="15" s="1"/>
  <c r="AZ73" i="15" s="1"/>
  <c r="BA35" i="15"/>
  <c r="BA55" i="15" s="1"/>
  <c r="BB35" i="15"/>
  <c r="BB55" i="15" s="1"/>
  <c r="BB73" i="15" s="1"/>
  <c r="AZ36" i="15"/>
  <c r="AZ56" i="15" s="1"/>
  <c r="AZ74" i="15" s="1"/>
  <c r="BA36" i="15"/>
  <c r="BA56" i="15" s="1"/>
  <c r="BA74" i="15" s="1"/>
  <c r="BB36" i="15"/>
  <c r="BB56" i="15" s="1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F23" i="15"/>
  <c r="AF42" i="15" s="1"/>
  <c r="AF60" i="15" s="1"/>
  <c r="AG23" i="15"/>
  <c r="AG42" i="15" s="1"/>
  <c r="AG60" i="15" s="1"/>
  <c r="AH23" i="15"/>
  <c r="AH42" i="15" s="1"/>
  <c r="AH60" i="15" s="1"/>
  <c r="AI23" i="15"/>
  <c r="AI42" i="15" s="1"/>
  <c r="AI60" i="15" s="1"/>
  <c r="AJ23" i="15"/>
  <c r="AJ42" i="15" s="1"/>
  <c r="AJ60" i="15" s="1"/>
  <c r="AK23" i="15"/>
  <c r="AK42" i="15" s="1"/>
  <c r="AK60" i="15" s="1"/>
  <c r="AL23" i="15"/>
  <c r="AL42" i="15" s="1"/>
  <c r="AL60" i="15" s="1"/>
  <c r="AM23" i="15"/>
  <c r="AM42" i="15" s="1"/>
  <c r="AM60" i="15" s="1"/>
  <c r="AN23" i="15"/>
  <c r="AN42" i="15" s="1"/>
  <c r="AN60" i="15" s="1"/>
  <c r="AO23" i="15"/>
  <c r="AO42" i="15" s="1"/>
  <c r="AO60" i="15" s="1"/>
  <c r="AP23" i="15"/>
  <c r="AP42" i="15" s="1"/>
  <c r="AP60" i="15" s="1"/>
  <c r="AQ23" i="15"/>
  <c r="AQ42" i="15" s="1"/>
  <c r="AQ60" i="15" s="1"/>
  <c r="AR23" i="15"/>
  <c r="AR42" i="15" s="1"/>
  <c r="AR60" i="15" s="1"/>
  <c r="AS23" i="15"/>
  <c r="AS42" i="15" s="1"/>
  <c r="AS60" i="15" s="1"/>
  <c r="AT23" i="15"/>
  <c r="AT42" i="15" s="1"/>
  <c r="AT60" i="15" s="1"/>
  <c r="AU23" i="15"/>
  <c r="AU42" i="15" s="1"/>
  <c r="AU60" i="15" s="1"/>
  <c r="AV23" i="15"/>
  <c r="AV42" i="15" s="1"/>
  <c r="AV60" i="15" s="1"/>
  <c r="AW23" i="15"/>
  <c r="AW42" i="15" s="1"/>
  <c r="AW60" i="15" s="1"/>
  <c r="AX23" i="15"/>
  <c r="AX42" i="15" s="1"/>
  <c r="AX60" i="15" s="1"/>
  <c r="AY23" i="15"/>
  <c r="AY42" i="15" s="1"/>
  <c r="AY60" i="15" s="1"/>
  <c r="AF24" i="15"/>
  <c r="AF43" i="15" s="1"/>
  <c r="AF61" i="15" s="1"/>
  <c r="AG24" i="15"/>
  <c r="AG43" i="15" s="1"/>
  <c r="AG61" i="15" s="1"/>
  <c r="AH24" i="15"/>
  <c r="AH43" i="15" s="1"/>
  <c r="AH61" i="15" s="1"/>
  <c r="AI24" i="15"/>
  <c r="AI43" i="15" s="1"/>
  <c r="AI61" i="15" s="1"/>
  <c r="AJ24" i="15"/>
  <c r="AJ43" i="15" s="1"/>
  <c r="AJ61" i="15" s="1"/>
  <c r="AK24" i="15"/>
  <c r="AK43" i="15" s="1"/>
  <c r="AK61" i="15" s="1"/>
  <c r="AL24" i="15"/>
  <c r="AL43" i="15" s="1"/>
  <c r="AL61" i="15" s="1"/>
  <c r="AM24" i="15"/>
  <c r="AM43" i="15" s="1"/>
  <c r="AM61" i="15" s="1"/>
  <c r="AN24" i="15"/>
  <c r="AN43" i="15" s="1"/>
  <c r="AN61" i="15" s="1"/>
  <c r="AO24" i="15"/>
  <c r="AO43" i="15" s="1"/>
  <c r="AO61" i="15" s="1"/>
  <c r="AP24" i="15"/>
  <c r="AP43" i="15" s="1"/>
  <c r="AP61" i="15" s="1"/>
  <c r="AQ24" i="15"/>
  <c r="AQ43" i="15" s="1"/>
  <c r="AQ61" i="15" s="1"/>
  <c r="AR24" i="15"/>
  <c r="AR43" i="15" s="1"/>
  <c r="AR61" i="15" s="1"/>
  <c r="AS24" i="15"/>
  <c r="AS43" i="15" s="1"/>
  <c r="AS61" i="15" s="1"/>
  <c r="AT24" i="15"/>
  <c r="AT43" i="15" s="1"/>
  <c r="AT61" i="15" s="1"/>
  <c r="AU24" i="15"/>
  <c r="AU43" i="15" s="1"/>
  <c r="AU61" i="15" s="1"/>
  <c r="AV24" i="15"/>
  <c r="AV43" i="15" s="1"/>
  <c r="AV61" i="15" s="1"/>
  <c r="AW24" i="15"/>
  <c r="AW43" i="15" s="1"/>
  <c r="AW61" i="15" s="1"/>
  <c r="AX24" i="15"/>
  <c r="AX43" i="15" s="1"/>
  <c r="AX61" i="15" s="1"/>
  <c r="AY24" i="15"/>
  <c r="AY43" i="15" s="1"/>
  <c r="AY61" i="15" s="1"/>
  <c r="AF25" i="15"/>
  <c r="AF44" i="15" s="1"/>
  <c r="AF62" i="15" s="1"/>
  <c r="AG25" i="15"/>
  <c r="AG44" i="15" s="1"/>
  <c r="AG62" i="15" s="1"/>
  <c r="AH25" i="15"/>
  <c r="AH44" i="15" s="1"/>
  <c r="AH62" i="15" s="1"/>
  <c r="AI25" i="15"/>
  <c r="AI44" i="15" s="1"/>
  <c r="AI62" i="15" s="1"/>
  <c r="AJ25" i="15"/>
  <c r="AJ44" i="15" s="1"/>
  <c r="AJ62" i="15" s="1"/>
  <c r="AK25" i="15"/>
  <c r="AK44" i="15" s="1"/>
  <c r="AK62" i="15" s="1"/>
  <c r="AL25" i="15"/>
  <c r="AL44" i="15" s="1"/>
  <c r="AL62" i="15" s="1"/>
  <c r="AM25" i="15"/>
  <c r="AM44" i="15" s="1"/>
  <c r="AM62" i="15" s="1"/>
  <c r="AN25" i="15"/>
  <c r="AN44" i="15" s="1"/>
  <c r="AN62" i="15" s="1"/>
  <c r="AO25" i="15"/>
  <c r="AO44" i="15" s="1"/>
  <c r="AO62" i="15" s="1"/>
  <c r="AP25" i="15"/>
  <c r="AP44" i="15" s="1"/>
  <c r="AP62" i="15" s="1"/>
  <c r="AQ25" i="15"/>
  <c r="AQ44" i="15" s="1"/>
  <c r="AQ62" i="15" s="1"/>
  <c r="AR25" i="15"/>
  <c r="AR44" i="15" s="1"/>
  <c r="AR62" i="15" s="1"/>
  <c r="AS25" i="15"/>
  <c r="AS44" i="15" s="1"/>
  <c r="AS62" i="15" s="1"/>
  <c r="AT25" i="15"/>
  <c r="AT44" i="15" s="1"/>
  <c r="AT62" i="15" s="1"/>
  <c r="AU25" i="15"/>
  <c r="AU44" i="15" s="1"/>
  <c r="AU62" i="15" s="1"/>
  <c r="AV25" i="15"/>
  <c r="AV44" i="15" s="1"/>
  <c r="AV62" i="15" s="1"/>
  <c r="AW25" i="15"/>
  <c r="AW44" i="15" s="1"/>
  <c r="AW62" i="15" s="1"/>
  <c r="AX25" i="15"/>
  <c r="AX44" i="15" s="1"/>
  <c r="AX62" i="15" s="1"/>
  <c r="AY25" i="15"/>
  <c r="AY44" i="15" s="1"/>
  <c r="AY62" i="15" s="1"/>
  <c r="AF26" i="15"/>
  <c r="AF45" i="15" s="1"/>
  <c r="AF63" i="15" s="1"/>
  <c r="AG26" i="15"/>
  <c r="AG45" i="15" s="1"/>
  <c r="AG63" i="15" s="1"/>
  <c r="AH26" i="15"/>
  <c r="AH45" i="15" s="1"/>
  <c r="AH63" i="15" s="1"/>
  <c r="AI26" i="15"/>
  <c r="AI45" i="15" s="1"/>
  <c r="AI63" i="15" s="1"/>
  <c r="AJ26" i="15"/>
  <c r="AJ45" i="15" s="1"/>
  <c r="AJ63" i="15" s="1"/>
  <c r="AK26" i="15"/>
  <c r="AK45" i="15" s="1"/>
  <c r="AK63" i="15" s="1"/>
  <c r="AL26" i="15"/>
  <c r="AL45" i="15" s="1"/>
  <c r="AL63" i="15" s="1"/>
  <c r="AM26" i="15"/>
  <c r="AM45" i="15" s="1"/>
  <c r="AM63" i="15" s="1"/>
  <c r="AN26" i="15"/>
  <c r="AN45" i="15" s="1"/>
  <c r="AN63" i="15" s="1"/>
  <c r="AO26" i="15"/>
  <c r="AO45" i="15" s="1"/>
  <c r="AO63" i="15" s="1"/>
  <c r="AP26" i="15"/>
  <c r="AP45" i="15" s="1"/>
  <c r="AP63" i="15" s="1"/>
  <c r="AQ26" i="15"/>
  <c r="AQ45" i="15" s="1"/>
  <c r="AQ63" i="15" s="1"/>
  <c r="AR26" i="15"/>
  <c r="AR45" i="15" s="1"/>
  <c r="AR63" i="15" s="1"/>
  <c r="AS26" i="15"/>
  <c r="AS45" i="15" s="1"/>
  <c r="AS63" i="15" s="1"/>
  <c r="AT26" i="15"/>
  <c r="AT45" i="15" s="1"/>
  <c r="AT63" i="15" s="1"/>
  <c r="AU26" i="15"/>
  <c r="AU45" i="15" s="1"/>
  <c r="AU63" i="15" s="1"/>
  <c r="AV26" i="15"/>
  <c r="AV45" i="15" s="1"/>
  <c r="AV63" i="15" s="1"/>
  <c r="AW26" i="15"/>
  <c r="AW45" i="15" s="1"/>
  <c r="AW63" i="15" s="1"/>
  <c r="AX26" i="15"/>
  <c r="AX45" i="15" s="1"/>
  <c r="AX63" i="15" s="1"/>
  <c r="AY26" i="15"/>
  <c r="AY45" i="15" s="1"/>
  <c r="AY63" i="15" s="1"/>
  <c r="AF27" i="15"/>
  <c r="AG27" i="15"/>
  <c r="AG47" i="15" s="1"/>
  <c r="AH27" i="15"/>
  <c r="AH47" i="15" s="1"/>
  <c r="AH65" i="15" s="1"/>
  <c r="AI27" i="15"/>
  <c r="AJ27" i="15"/>
  <c r="AK27" i="15"/>
  <c r="AL27" i="15"/>
  <c r="AM27" i="15"/>
  <c r="AN27" i="15"/>
  <c r="AO27" i="15"/>
  <c r="AP27" i="15"/>
  <c r="AQ27" i="15"/>
  <c r="AQ47" i="15" s="1"/>
  <c r="AQ65" i="15" s="1"/>
  <c r="AR27" i="15"/>
  <c r="AS27" i="15"/>
  <c r="AT27" i="15"/>
  <c r="AU27" i="15"/>
  <c r="AV27" i="15"/>
  <c r="AW27" i="15"/>
  <c r="AW46" i="15" s="1"/>
  <c r="AW64" i="15" s="1"/>
  <c r="AX27" i="15"/>
  <c r="AX47" i="15" s="1"/>
  <c r="AX65" i="15" s="1"/>
  <c r="AY27" i="15"/>
  <c r="AF28" i="15"/>
  <c r="AF48" i="15" s="1"/>
  <c r="AF66" i="15" s="1"/>
  <c r="AG28" i="15"/>
  <c r="AG48" i="15" s="1"/>
  <c r="AH28" i="15"/>
  <c r="AH48" i="15" s="1"/>
  <c r="AI28" i="15"/>
  <c r="AI48" i="15" s="1"/>
  <c r="AI66" i="15" s="1"/>
  <c r="AJ28" i="15"/>
  <c r="AJ48" i="15" s="1"/>
  <c r="AJ66" i="15" s="1"/>
  <c r="AK28" i="15"/>
  <c r="AK48" i="15" s="1"/>
  <c r="AK66" i="15" s="1"/>
  <c r="AL28" i="15"/>
  <c r="AL48" i="15" s="1"/>
  <c r="AM28" i="15"/>
  <c r="AM48" i="15" s="1"/>
  <c r="AM66" i="15" s="1"/>
  <c r="AN28" i="15"/>
  <c r="AN48" i="15" s="1"/>
  <c r="AN66" i="15" s="1"/>
  <c r="AO28" i="15"/>
  <c r="AO48" i="15" s="1"/>
  <c r="AO66" i="15" s="1"/>
  <c r="AP28" i="15"/>
  <c r="AP48" i="15" s="1"/>
  <c r="AQ28" i="15"/>
  <c r="AQ48" i="15" s="1"/>
  <c r="AQ66" i="15" s="1"/>
  <c r="AR28" i="15"/>
  <c r="AR48" i="15" s="1"/>
  <c r="AR66" i="15" s="1"/>
  <c r="AS28" i="15"/>
  <c r="AS48" i="15" s="1"/>
  <c r="AS66" i="15" s="1"/>
  <c r="AT28" i="15"/>
  <c r="AT48" i="15" s="1"/>
  <c r="AU28" i="15"/>
  <c r="AU48" i="15" s="1"/>
  <c r="AU66" i="15" s="1"/>
  <c r="AV28" i="15"/>
  <c r="AV48" i="15" s="1"/>
  <c r="AV66" i="15" s="1"/>
  <c r="AW28" i="15"/>
  <c r="AW48" i="15" s="1"/>
  <c r="AW66" i="15" s="1"/>
  <c r="AX28" i="15"/>
  <c r="AX48" i="15" s="1"/>
  <c r="AY28" i="15"/>
  <c r="AY48" i="15" s="1"/>
  <c r="AY66" i="15" s="1"/>
  <c r="AF29" i="15"/>
  <c r="AF49" i="15" s="1"/>
  <c r="AF67" i="15" s="1"/>
  <c r="AG29" i="15"/>
  <c r="AG49" i="15" s="1"/>
  <c r="AG67" i="15" s="1"/>
  <c r="AH29" i="15"/>
  <c r="AH49" i="15" s="1"/>
  <c r="AH67" i="15" s="1"/>
  <c r="AI29" i="15"/>
  <c r="AI49" i="15" s="1"/>
  <c r="AJ29" i="15"/>
  <c r="AJ49" i="15" s="1"/>
  <c r="AJ67" i="15" s="1"/>
  <c r="AK29" i="15"/>
  <c r="AK49" i="15" s="1"/>
  <c r="AK67" i="15" s="1"/>
  <c r="AL29" i="15"/>
  <c r="AL49" i="15" s="1"/>
  <c r="AL67" i="15" s="1"/>
  <c r="AM29" i="15"/>
  <c r="AM49" i="15" s="1"/>
  <c r="AN29" i="15"/>
  <c r="AN49" i="15" s="1"/>
  <c r="AN67" i="15" s="1"/>
  <c r="AO29" i="15"/>
  <c r="AO49" i="15" s="1"/>
  <c r="AO67" i="15" s="1"/>
  <c r="AP29" i="15"/>
  <c r="AP49" i="15" s="1"/>
  <c r="AP67" i="15" s="1"/>
  <c r="AQ29" i="15"/>
  <c r="AQ49" i="15" s="1"/>
  <c r="AR29" i="15"/>
  <c r="AR49" i="15" s="1"/>
  <c r="AR67" i="15" s="1"/>
  <c r="AS29" i="15"/>
  <c r="AS49" i="15" s="1"/>
  <c r="AS67" i="15" s="1"/>
  <c r="AT29" i="15"/>
  <c r="AT49" i="15" s="1"/>
  <c r="AT67" i="15" s="1"/>
  <c r="AU29" i="15"/>
  <c r="AU49" i="15" s="1"/>
  <c r="AV29" i="15"/>
  <c r="AV49" i="15" s="1"/>
  <c r="AV67" i="15" s="1"/>
  <c r="AW29" i="15"/>
  <c r="AW49" i="15" s="1"/>
  <c r="AW67" i="15" s="1"/>
  <c r="AX29" i="15"/>
  <c r="AX49" i="15" s="1"/>
  <c r="AX67" i="15" s="1"/>
  <c r="AY29" i="15"/>
  <c r="AY49" i="15" s="1"/>
  <c r="AF30" i="15"/>
  <c r="AF50" i="15" s="1"/>
  <c r="AG30" i="15"/>
  <c r="AG50" i="15" s="1"/>
  <c r="AG68" i="15" s="1"/>
  <c r="AH30" i="15"/>
  <c r="AH50" i="15" s="1"/>
  <c r="AH68" i="15" s="1"/>
  <c r="AI30" i="15"/>
  <c r="AI50" i="15" s="1"/>
  <c r="AI68" i="15" s="1"/>
  <c r="AJ30" i="15"/>
  <c r="AJ50" i="15" s="1"/>
  <c r="AK30" i="15"/>
  <c r="AK50" i="15" s="1"/>
  <c r="AK68" i="15" s="1"/>
  <c r="AL30" i="15"/>
  <c r="AL50" i="15" s="1"/>
  <c r="AL68" i="15" s="1"/>
  <c r="AM30" i="15"/>
  <c r="AM50" i="15" s="1"/>
  <c r="AM68" i="15" s="1"/>
  <c r="AN30" i="15"/>
  <c r="AN50" i="15" s="1"/>
  <c r="AO30" i="15"/>
  <c r="AO50" i="15" s="1"/>
  <c r="AO68" i="15" s="1"/>
  <c r="AP30" i="15"/>
  <c r="AP50" i="15" s="1"/>
  <c r="AP68" i="15" s="1"/>
  <c r="AQ30" i="15"/>
  <c r="AQ50" i="15" s="1"/>
  <c r="AQ68" i="15" s="1"/>
  <c r="AR30" i="15"/>
  <c r="AR50" i="15" s="1"/>
  <c r="AS30" i="15"/>
  <c r="AS50" i="15" s="1"/>
  <c r="AS68" i="15" s="1"/>
  <c r="AT30" i="15"/>
  <c r="AT50" i="15" s="1"/>
  <c r="AT68" i="15" s="1"/>
  <c r="AU30" i="15"/>
  <c r="AU50" i="15" s="1"/>
  <c r="AU68" i="15" s="1"/>
  <c r="AV30" i="15"/>
  <c r="AV50" i="15" s="1"/>
  <c r="AW30" i="15"/>
  <c r="AW50" i="15" s="1"/>
  <c r="AW68" i="15" s="1"/>
  <c r="AX30" i="15"/>
  <c r="AX50" i="15" s="1"/>
  <c r="AX68" i="15" s="1"/>
  <c r="AY30" i="15"/>
  <c r="AY50" i="15" s="1"/>
  <c r="AY68" i="15" s="1"/>
  <c r="AF31" i="15"/>
  <c r="AF51" i="15" s="1"/>
  <c r="AF69" i="15" s="1"/>
  <c r="AG31" i="15"/>
  <c r="AG51" i="15" s="1"/>
  <c r="AH31" i="15"/>
  <c r="AH51" i="15" s="1"/>
  <c r="AH69" i="15" s="1"/>
  <c r="AI31" i="15"/>
  <c r="AI51" i="15" s="1"/>
  <c r="AI69" i="15" s="1"/>
  <c r="AJ31" i="15"/>
  <c r="AJ51" i="15" s="1"/>
  <c r="AJ69" i="15" s="1"/>
  <c r="AK31" i="15"/>
  <c r="AK51" i="15" s="1"/>
  <c r="AL31" i="15"/>
  <c r="AL51" i="15" s="1"/>
  <c r="AL69" i="15" s="1"/>
  <c r="AM31" i="15"/>
  <c r="AM51" i="15" s="1"/>
  <c r="AM69" i="15" s="1"/>
  <c r="AN31" i="15"/>
  <c r="AN51" i="15" s="1"/>
  <c r="AN69" i="15" s="1"/>
  <c r="AO31" i="15"/>
  <c r="AO51" i="15" s="1"/>
  <c r="AP31" i="15"/>
  <c r="AP51" i="15" s="1"/>
  <c r="AP69" i="15" s="1"/>
  <c r="AQ31" i="15"/>
  <c r="AQ51" i="15" s="1"/>
  <c r="AQ69" i="15" s="1"/>
  <c r="AR31" i="15"/>
  <c r="AR51" i="15" s="1"/>
  <c r="AR69" i="15" s="1"/>
  <c r="AS31" i="15"/>
  <c r="AS51" i="15" s="1"/>
  <c r="AT31" i="15"/>
  <c r="AT51" i="15" s="1"/>
  <c r="AT69" i="15" s="1"/>
  <c r="AU31" i="15"/>
  <c r="AU51" i="15" s="1"/>
  <c r="AU69" i="15" s="1"/>
  <c r="AV31" i="15"/>
  <c r="AV51" i="15" s="1"/>
  <c r="AV69" i="15" s="1"/>
  <c r="AW31" i="15"/>
  <c r="AW51" i="15" s="1"/>
  <c r="AX31" i="15"/>
  <c r="AX51" i="15" s="1"/>
  <c r="AX69" i="15" s="1"/>
  <c r="AY31" i="15"/>
  <c r="AY51" i="15" s="1"/>
  <c r="AY69" i="15" s="1"/>
  <c r="AF32" i="15"/>
  <c r="AF52" i="15" s="1"/>
  <c r="AF70" i="15" s="1"/>
  <c r="AG32" i="15"/>
  <c r="AG52" i="15" s="1"/>
  <c r="AG70" i="15" s="1"/>
  <c r="AH32" i="15"/>
  <c r="AH52" i="15" s="1"/>
  <c r="AI32" i="15"/>
  <c r="AI52" i="15" s="1"/>
  <c r="AI70" i="15" s="1"/>
  <c r="AJ32" i="15"/>
  <c r="AJ52" i="15" s="1"/>
  <c r="AJ70" i="15" s="1"/>
  <c r="AK32" i="15"/>
  <c r="AK52" i="15" s="1"/>
  <c r="AK70" i="15" s="1"/>
  <c r="AL32" i="15"/>
  <c r="AL52" i="15" s="1"/>
  <c r="AM32" i="15"/>
  <c r="AM52" i="15" s="1"/>
  <c r="AM70" i="15" s="1"/>
  <c r="AN32" i="15"/>
  <c r="AN52" i="15" s="1"/>
  <c r="AN70" i="15" s="1"/>
  <c r="AO32" i="15"/>
  <c r="AO52" i="15" s="1"/>
  <c r="AO70" i="15" s="1"/>
  <c r="AP32" i="15"/>
  <c r="AP52" i="15" s="1"/>
  <c r="AQ32" i="15"/>
  <c r="AQ52" i="15" s="1"/>
  <c r="AQ70" i="15" s="1"/>
  <c r="AR32" i="15"/>
  <c r="AR52" i="15" s="1"/>
  <c r="AR70" i="15" s="1"/>
  <c r="AS32" i="15"/>
  <c r="AS52" i="15" s="1"/>
  <c r="AS70" i="15" s="1"/>
  <c r="AT32" i="15"/>
  <c r="AT52" i="15" s="1"/>
  <c r="AU32" i="15"/>
  <c r="AU52" i="15" s="1"/>
  <c r="AU70" i="15" s="1"/>
  <c r="AV32" i="15"/>
  <c r="AV52" i="15" s="1"/>
  <c r="AV70" i="15" s="1"/>
  <c r="AW32" i="15"/>
  <c r="AW52" i="15" s="1"/>
  <c r="AW70" i="15" s="1"/>
  <c r="AX32" i="15"/>
  <c r="AX52" i="15" s="1"/>
  <c r="AY32" i="15"/>
  <c r="AY52" i="15" s="1"/>
  <c r="AY70" i="15" s="1"/>
  <c r="AF33" i="15"/>
  <c r="AF53" i="15" s="1"/>
  <c r="AF71" i="15" s="1"/>
  <c r="AG33" i="15"/>
  <c r="AG53" i="15" s="1"/>
  <c r="AG71" i="15" s="1"/>
  <c r="AH33" i="15"/>
  <c r="AH53" i="15" s="1"/>
  <c r="AH71" i="15" s="1"/>
  <c r="AI33" i="15"/>
  <c r="AI53" i="15" s="1"/>
  <c r="AJ33" i="15"/>
  <c r="AJ53" i="15" s="1"/>
  <c r="AJ71" i="15" s="1"/>
  <c r="AK33" i="15"/>
  <c r="AK53" i="15" s="1"/>
  <c r="AK71" i="15" s="1"/>
  <c r="AL33" i="15"/>
  <c r="AL53" i="15" s="1"/>
  <c r="AL71" i="15" s="1"/>
  <c r="AM33" i="15"/>
  <c r="AM53" i="15" s="1"/>
  <c r="AN33" i="15"/>
  <c r="AN53" i="15" s="1"/>
  <c r="AN71" i="15" s="1"/>
  <c r="AO33" i="15"/>
  <c r="AO53" i="15" s="1"/>
  <c r="AO71" i="15" s="1"/>
  <c r="AP33" i="15"/>
  <c r="AP53" i="15" s="1"/>
  <c r="AP71" i="15" s="1"/>
  <c r="AQ33" i="15"/>
  <c r="AQ53" i="15" s="1"/>
  <c r="AR33" i="15"/>
  <c r="AR53" i="15" s="1"/>
  <c r="AR71" i="15" s="1"/>
  <c r="AS33" i="15"/>
  <c r="AS53" i="15" s="1"/>
  <c r="AS71" i="15" s="1"/>
  <c r="AT33" i="15"/>
  <c r="AT53" i="15" s="1"/>
  <c r="AT71" i="15" s="1"/>
  <c r="AU33" i="15"/>
  <c r="AU53" i="15" s="1"/>
  <c r="AV33" i="15"/>
  <c r="AV53" i="15" s="1"/>
  <c r="AV71" i="15" s="1"/>
  <c r="AW33" i="15"/>
  <c r="AW53" i="15" s="1"/>
  <c r="AW71" i="15" s="1"/>
  <c r="AX33" i="15"/>
  <c r="AX53" i="15" s="1"/>
  <c r="AX71" i="15" s="1"/>
  <c r="AY33" i="15"/>
  <c r="AY53" i="15" s="1"/>
  <c r="AF34" i="15"/>
  <c r="AF54" i="15" s="1"/>
  <c r="AF72" i="15" s="1"/>
  <c r="AG34" i="15"/>
  <c r="AG54" i="15" s="1"/>
  <c r="AG72" i="15" s="1"/>
  <c r="AH34" i="15"/>
  <c r="AH54" i="15" s="1"/>
  <c r="AH72" i="15" s="1"/>
  <c r="AI34" i="15"/>
  <c r="AI54" i="15" s="1"/>
  <c r="AI72" i="15" s="1"/>
  <c r="AJ34" i="15"/>
  <c r="AJ54" i="15" s="1"/>
  <c r="AJ72" i="15" s="1"/>
  <c r="AK34" i="15"/>
  <c r="AK54" i="15" s="1"/>
  <c r="AK72" i="15" s="1"/>
  <c r="AL34" i="15"/>
  <c r="AL54" i="15" s="1"/>
  <c r="AL72" i="15" s="1"/>
  <c r="AM34" i="15"/>
  <c r="AM54" i="15" s="1"/>
  <c r="AM72" i="15" s="1"/>
  <c r="AN34" i="15"/>
  <c r="AN54" i="15" s="1"/>
  <c r="AN72" i="15" s="1"/>
  <c r="AO34" i="15"/>
  <c r="AO54" i="15" s="1"/>
  <c r="AO72" i="15" s="1"/>
  <c r="AP34" i="15"/>
  <c r="AP54" i="15" s="1"/>
  <c r="AP72" i="15" s="1"/>
  <c r="AQ34" i="15"/>
  <c r="AQ54" i="15" s="1"/>
  <c r="AQ72" i="15" s="1"/>
  <c r="AR34" i="15"/>
  <c r="AR54" i="15" s="1"/>
  <c r="AR72" i="15" s="1"/>
  <c r="AS34" i="15"/>
  <c r="AS54" i="15" s="1"/>
  <c r="AS72" i="15" s="1"/>
  <c r="AT34" i="15"/>
  <c r="AT54" i="15" s="1"/>
  <c r="AT72" i="15" s="1"/>
  <c r="AU34" i="15"/>
  <c r="AU54" i="15" s="1"/>
  <c r="AU72" i="15" s="1"/>
  <c r="AV34" i="15"/>
  <c r="AV54" i="15" s="1"/>
  <c r="AV72" i="15" s="1"/>
  <c r="AW34" i="15"/>
  <c r="AW54" i="15" s="1"/>
  <c r="AW72" i="15" s="1"/>
  <c r="AX34" i="15"/>
  <c r="AX54" i="15" s="1"/>
  <c r="AX72" i="15" s="1"/>
  <c r="AY34" i="15"/>
  <c r="AY54" i="15" s="1"/>
  <c r="AY72" i="15" s="1"/>
  <c r="AF35" i="15"/>
  <c r="AF55" i="15" s="1"/>
  <c r="AF73" i="15" s="1"/>
  <c r="AG35" i="15"/>
  <c r="AG55" i="15" s="1"/>
  <c r="AH35" i="15"/>
  <c r="AH55" i="15" s="1"/>
  <c r="AH73" i="15" s="1"/>
  <c r="AI35" i="15"/>
  <c r="AI55" i="15" s="1"/>
  <c r="AI73" i="15" s="1"/>
  <c r="AJ35" i="15"/>
  <c r="AJ55" i="15" s="1"/>
  <c r="AJ73" i="15" s="1"/>
  <c r="AK35" i="15"/>
  <c r="AK55" i="15" s="1"/>
  <c r="AL35" i="15"/>
  <c r="AL55" i="15" s="1"/>
  <c r="AL73" i="15" s="1"/>
  <c r="AM35" i="15"/>
  <c r="AM55" i="15" s="1"/>
  <c r="AM73" i="15" s="1"/>
  <c r="AN35" i="15"/>
  <c r="AN55" i="15" s="1"/>
  <c r="AN73" i="15" s="1"/>
  <c r="AO35" i="15"/>
  <c r="AO55" i="15" s="1"/>
  <c r="AP35" i="15"/>
  <c r="AP55" i="15" s="1"/>
  <c r="AP73" i="15" s="1"/>
  <c r="AQ35" i="15"/>
  <c r="AQ55" i="15" s="1"/>
  <c r="AQ73" i="15" s="1"/>
  <c r="AR35" i="15"/>
  <c r="AR55" i="15" s="1"/>
  <c r="AR73" i="15" s="1"/>
  <c r="AS35" i="15"/>
  <c r="AS55" i="15" s="1"/>
  <c r="AT35" i="15"/>
  <c r="AT55" i="15" s="1"/>
  <c r="AT73" i="15" s="1"/>
  <c r="AU35" i="15"/>
  <c r="AU55" i="15" s="1"/>
  <c r="AU73" i="15" s="1"/>
  <c r="AV35" i="15"/>
  <c r="AV55" i="15" s="1"/>
  <c r="AV73" i="15" s="1"/>
  <c r="AW35" i="15"/>
  <c r="AW55" i="15" s="1"/>
  <c r="AX35" i="15"/>
  <c r="AX55" i="15" s="1"/>
  <c r="AX73" i="15" s="1"/>
  <c r="AY35" i="15"/>
  <c r="AY55" i="15" s="1"/>
  <c r="AY73" i="15" s="1"/>
  <c r="AF36" i="15"/>
  <c r="AF56" i="15" s="1"/>
  <c r="AF74" i="15" s="1"/>
  <c r="AG36" i="15"/>
  <c r="AG56" i="15" s="1"/>
  <c r="AG74" i="15" s="1"/>
  <c r="AH36" i="15"/>
  <c r="AH56" i="15" s="1"/>
  <c r="AI36" i="15"/>
  <c r="AI56" i="15" s="1"/>
  <c r="AI74" i="15" s="1"/>
  <c r="AJ36" i="15"/>
  <c r="AJ56" i="15" s="1"/>
  <c r="AJ74" i="15" s="1"/>
  <c r="AK36" i="15"/>
  <c r="AK56" i="15" s="1"/>
  <c r="AK74" i="15" s="1"/>
  <c r="AL36" i="15"/>
  <c r="AL56" i="15" s="1"/>
  <c r="AM36" i="15"/>
  <c r="AM56" i="15" s="1"/>
  <c r="AM74" i="15" s="1"/>
  <c r="AN36" i="15"/>
  <c r="AN56" i="15" s="1"/>
  <c r="AN74" i="15" s="1"/>
  <c r="AO36" i="15"/>
  <c r="AO56" i="15" s="1"/>
  <c r="AO74" i="15" s="1"/>
  <c r="AP36" i="15"/>
  <c r="AP56" i="15" s="1"/>
  <c r="AQ36" i="15"/>
  <c r="AQ56" i="15" s="1"/>
  <c r="AQ74" i="15" s="1"/>
  <c r="AR36" i="15"/>
  <c r="AR56" i="15" s="1"/>
  <c r="AR74" i="15" s="1"/>
  <c r="AS36" i="15"/>
  <c r="AS56" i="15" s="1"/>
  <c r="AS74" i="15" s="1"/>
  <c r="AT36" i="15"/>
  <c r="AT56" i="15" s="1"/>
  <c r="AU36" i="15"/>
  <c r="AU56" i="15" s="1"/>
  <c r="AU74" i="15" s="1"/>
  <c r="AV36" i="15"/>
  <c r="AV56" i="15" s="1"/>
  <c r="AV74" i="15" s="1"/>
  <c r="AW36" i="15"/>
  <c r="AW56" i="15" s="1"/>
  <c r="AW74" i="15" s="1"/>
  <c r="AX36" i="15"/>
  <c r="AX56" i="15" s="1"/>
  <c r="AY36" i="15"/>
  <c r="AY56" i="15" s="1"/>
  <c r="AY74" i="15" s="1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U21" i="15"/>
  <c r="V21" i="15"/>
  <c r="W21" i="15"/>
  <c r="X21" i="15"/>
  <c r="Y21" i="15"/>
  <c r="Z21" i="15"/>
  <c r="AA21" i="15"/>
  <c r="AB21" i="15"/>
  <c r="AC21" i="15"/>
  <c r="AD21" i="15"/>
  <c r="AE21" i="15"/>
  <c r="U22" i="15"/>
  <c r="V22" i="15"/>
  <c r="W22" i="15"/>
  <c r="X22" i="15"/>
  <c r="Y22" i="15"/>
  <c r="Z22" i="15"/>
  <c r="AA22" i="15"/>
  <c r="AB22" i="15"/>
  <c r="AC22" i="15"/>
  <c r="AD22" i="15"/>
  <c r="AE22" i="15"/>
  <c r="U23" i="15"/>
  <c r="U42" i="15" s="1"/>
  <c r="U60" i="15" s="1"/>
  <c r="V23" i="15"/>
  <c r="V42" i="15" s="1"/>
  <c r="V60" i="15" s="1"/>
  <c r="W23" i="15"/>
  <c r="W42" i="15" s="1"/>
  <c r="W60" i="15" s="1"/>
  <c r="X23" i="15"/>
  <c r="X42" i="15" s="1"/>
  <c r="X60" i="15" s="1"/>
  <c r="Y23" i="15"/>
  <c r="Y42" i="15" s="1"/>
  <c r="Y60" i="15" s="1"/>
  <c r="Z23" i="15"/>
  <c r="Z42" i="15" s="1"/>
  <c r="Z60" i="15" s="1"/>
  <c r="AA23" i="15"/>
  <c r="AA42" i="15" s="1"/>
  <c r="AA60" i="15" s="1"/>
  <c r="AB23" i="15"/>
  <c r="AB42" i="15" s="1"/>
  <c r="AB60" i="15" s="1"/>
  <c r="AC23" i="15"/>
  <c r="AC42" i="15" s="1"/>
  <c r="AC60" i="15" s="1"/>
  <c r="AD23" i="15"/>
  <c r="AD42" i="15" s="1"/>
  <c r="AD60" i="15" s="1"/>
  <c r="AE23" i="15"/>
  <c r="AE42" i="15" s="1"/>
  <c r="AE60" i="15" s="1"/>
  <c r="U24" i="15"/>
  <c r="U43" i="15" s="1"/>
  <c r="U61" i="15" s="1"/>
  <c r="V24" i="15"/>
  <c r="V43" i="15" s="1"/>
  <c r="V61" i="15" s="1"/>
  <c r="W24" i="15"/>
  <c r="W43" i="15" s="1"/>
  <c r="W61" i="15" s="1"/>
  <c r="X24" i="15"/>
  <c r="X43" i="15" s="1"/>
  <c r="X61" i="15" s="1"/>
  <c r="Y24" i="15"/>
  <c r="Y43" i="15" s="1"/>
  <c r="Y61" i="15" s="1"/>
  <c r="Z24" i="15"/>
  <c r="Z43" i="15" s="1"/>
  <c r="Z61" i="15" s="1"/>
  <c r="AA24" i="15"/>
  <c r="AA43" i="15" s="1"/>
  <c r="AA61" i="15" s="1"/>
  <c r="AB24" i="15"/>
  <c r="AB43" i="15" s="1"/>
  <c r="AB61" i="15" s="1"/>
  <c r="AC24" i="15"/>
  <c r="AC43" i="15" s="1"/>
  <c r="AC61" i="15" s="1"/>
  <c r="AD24" i="15"/>
  <c r="AD43" i="15" s="1"/>
  <c r="AD61" i="15" s="1"/>
  <c r="AE24" i="15"/>
  <c r="AE43" i="15" s="1"/>
  <c r="AE61" i="15" s="1"/>
  <c r="U25" i="15"/>
  <c r="U44" i="15" s="1"/>
  <c r="U62" i="15" s="1"/>
  <c r="V25" i="15"/>
  <c r="V44" i="15" s="1"/>
  <c r="V62" i="15" s="1"/>
  <c r="W25" i="15"/>
  <c r="W44" i="15" s="1"/>
  <c r="W62" i="15" s="1"/>
  <c r="X25" i="15"/>
  <c r="X44" i="15" s="1"/>
  <c r="X62" i="15" s="1"/>
  <c r="Y25" i="15"/>
  <c r="Y44" i="15" s="1"/>
  <c r="Y62" i="15" s="1"/>
  <c r="Z25" i="15"/>
  <c r="Z44" i="15" s="1"/>
  <c r="Z62" i="15" s="1"/>
  <c r="AA25" i="15"/>
  <c r="AA44" i="15" s="1"/>
  <c r="AA62" i="15" s="1"/>
  <c r="AB25" i="15"/>
  <c r="AB44" i="15" s="1"/>
  <c r="AB62" i="15" s="1"/>
  <c r="AC25" i="15"/>
  <c r="AC44" i="15" s="1"/>
  <c r="AC62" i="15" s="1"/>
  <c r="AD25" i="15"/>
  <c r="AD44" i="15" s="1"/>
  <c r="AD62" i="15" s="1"/>
  <c r="AE25" i="15"/>
  <c r="AE44" i="15" s="1"/>
  <c r="AE62" i="15" s="1"/>
  <c r="U26" i="15"/>
  <c r="U45" i="15" s="1"/>
  <c r="U63" i="15" s="1"/>
  <c r="V26" i="15"/>
  <c r="V45" i="15" s="1"/>
  <c r="V63" i="15" s="1"/>
  <c r="W26" i="15"/>
  <c r="W45" i="15" s="1"/>
  <c r="W63" i="15" s="1"/>
  <c r="X26" i="15"/>
  <c r="X45" i="15" s="1"/>
  <c r="X63" i="15" s="1"/>
  <c r="Y26" i="15"/>
  <c r="Y45" i="15" s="1"/>
  <c r="Y63" i="15" s="1"/>
  <c r="Z26" i="15"/>
  <c r="Z45" i="15" s="1"/>
  <c r="Z63" i="15" s="1"/>
  <c r="AA26" i="15"/>
  <c r="AA45" i="15" s="1"/>
  <c r="AA63" i="15" s="1"/>
  <c r="AB26" i="15"/>
  <c r="AB45" i="15" s="1"/>
  <c r="AB63" i="15" s="1"/>
  <c r="AC26" i="15"/>
  <c r="AC45" i="15" s="1"/>
  <c r="AC63" i="15" s="1"/>
  <c r="AD26" i="15"/>
  <c r="AD45" i="15" s="1"/>
  <c r="AD63" i="15" s="1"/>
  <c r="AE26" i="15"/>
  <c r="AE45" i="15" s="1"/>
  <c r="AE63" i="15" s="1"/>
  <c r="U27" i="15"/>
  <c r="V27" i="15"/>
  <c r="W27" i="15"/>
  <c r="W47" i="15" s="1"/>
  <c r="W65" i="15" s="1"/>
  <c r="X27" i="15"/>
  <c r="Y27" i="15"/>
  <c r="Z27" i="15"/>
  <c r="AA27" i="15"/>
  <c r="AA47" i="15" s="1"/>
  <c r="AA65" i="15" s="1"/>
  <c r="AB27" i="15"/>
  <c r="AC27" i="15"/>
  <c r="AD27" i="15"/>
  <c r="AE27" i="15"/>
  <c r="U28" i="15"/>
  <c r="U48" i="15" s="1"/>
  <c r="U66" i="15" s="1"/>
  <c r="V28" i="15"/>
  <c r="V48" i="15" s="1"/>
  <c r="W28" i="15"/>
  <c r="W48" i="15" s="1"/>
  <c r="W66" i="15" s="1"/>
  <c r="X28" i="15"/>
  <c r="X48" i="15" s="1"/>
  <c r="X66" i="15" s="1"/>
  <c r="Y28" i="15"/>
  <c r="Y48" i="15" s="1"/>
  <c r="Y66" i="15" s="1"/>
  <c r="Z28" i="15"/>
  <c r="Z48" i="15" s="1"/>
  <c r="AA28" i="15"/>
  <c r="AA48" i="15" s="1"/>
  <c r="AA66" i="15" s="1"/>
  <c r="AB28" i="15"/>
  <c r="AB48" i="15" s="1"/>
  <c r="AB66" i="15" s="1"/>
  <c r="AC28" i="15"/>
  <c r="AC48" i="15" s="1"/>
  <c r="AC66" i="15" s="1"/>
  <c r="AD28" i="15"/>
  <c r="AD48" i="15" s="1"/>
  <c r="AE28" i="15"/>
  <c r="AE48" i="15" s="1"/>
  <c r="AE66" i="15" s="1"/>
  <c r="U29" i="15"/>
  <c r="U49" i="15" s="1"/>
  <c r="U67" i="15" s="1"/>
  <c r="V29" i="15"/>
  <c r="V49" i="15" s="1"/>
  <c r="V67" i="15" s="1"/>
  <c r="W29" i="15"/>
  <c r="W49" i="15" s="1"/>
  <c r="X29" i="15"/>
  <c r="X49" i="15" s="1"/>
  <c r="X67" i="15" s="1"/>
  <c r="Y29" i="15"/>
  <c r="Y49" i="15" s="1"/>
  <c r="Y67" i="15" s="1"/>
  <c r="Z29" i="15"/>
  <c r="Z49" i="15" s="1"/>
  <c r="Z67" i="15" s="1"/>
  <c r="AA29" i="15"/>
  <c r="AA49" i="15" s="1"/>
  <c r="AB29" i="15"/>
  <c r="AB49" i="15" s="1"/>
  <c r="AB67" i="15" s="1"/>
  <c r="AC29" i="15"/>
  <c r="AC49" i="15" s="1"/>
  <c r="AC67" i="15" s="1"/>
  <c r="AD29" i="15"/>
  <c r="AD49" i="15" s="1"/>
  <c r="AD67" i="15" s="1"/>
  <c r="AE29" i="15"/>
  <c r="AE49" i="15" s="1"/>
  <c r="U30" i="15"/>
  <c r="U50" i="15" s="1"/>
  <c r="U68" i="15" s="1"/>
  <c r="V30" i="15"/>
  <c r="V50" i="15" s="1"/>
  <c r="V68" i="15" s="1"/>
  <c r="W30" i="15"/>
  <c r="W50" i="15" s="1"/>
  <c r="W68" i="15" s="1"/>
  <c r="X30" i="15"/>
  <c r="X50" i="15" s="1"/>
  <c r="Y30" i="15"/>
  <c r="Y50" i="15" s="1"/>
  <c r="Y68" i="15" s="1"/>
  <c r="Z30" i="15"/>
  <c r="Z50" i="15" s="1"/>
  <c r="Z68" i="15" s="1"/>
  <c r="AA30" i="15"/>
  <c r="AA50" i="15" s="1"/>
  <c r="AA68" i="15" s="1"/>
  <c r="AB30" i="15"/>
  <c r="AB50" i="15" s="1"/>
  <c r="AC30" i="15"/>
  <c r="AC50" i="15" s="1"/>
  <c r="AC68" i="15" s="1"/>
  <c r="AD30" i="15"/>
  <c r="AD50" i="15" s="1"/>
  <c r="AD68" i="15" s="1"/>
  <c r="AE30" i="15"/>
  <c r="AE50" i="15" s="1"/>
  <c r="AE68" i="15" s="1"/>
  <c r="U31" i="15"/>
  <c r="U51" i="15" s="1"/>
  <c r="V31" i="15"/>
  <c r="V51" i="15" s="1"/>
  <c r="V69" i="15" s="1"/>
  <c r="W31" i="15"/>
  <c r="W51" i="15" s="1"/>
  <c r="W69" i="15" s="1"/>
  <c r="X31" i="15"/>
  <c r="X51" i="15" s="1"/>
  <c r="X69" i="15" s="1"/>
  <c r="Y31" i="15"/>
  <c r="Y51" i="15" s="1"/>
  <c r="Z31" i="15"/>
  <c r="Z51" i="15" s="1"/>
  <c r="Z69" i="15" s="1"/>
  <c r="AA31" i="15"/>
  <c r="AA51" i="15" s="1"/>
  <c r="AA69" i="15" s="1"/>
  <c r="AB31" i="15"/>
  <c r="AB51" i="15" s="1"/>
  <c r="AB69" i="15" s="1"/>
  <c r="AC31" i="15"/>
  <c r="AC51" i="15" s="1"/>
  <c r="AD31" i="15"/>
  <c r="AD51" i="15" s="1"/>
  <c r="AD69" i="15" s="1"/>
  <c r="AE31" i="15"/>
  <c r="AE51" i="15" s="1"/>
  <c r="AE69" i="15" s="1"/>
  <c r="U32" i="15"/>
  <c r="U52" i="15" s="1"/>
  <c r="U70" i="15" s="1"/>
  <c r="V32" i="15"/>
  <c r="V52" i="15" s="1"/>
  <c r="W32" i="15"/>
  <c r="W52" i="15" s="1"/>
  <c r="W70" i="15" s="1"/>
  <c r="X32" i="15"/>
  <c r="X52" i="15" s="1"/>
  <c r="X70" i="15" s="1"/>
  <c r="Y32" i="15"/>
  <c r="Y52" i="15" s="1"/>
  <c r="Y70" i="15" s="1"/>
  <c r="Z32" i="15"/>
  <c r="Z52" i="15" s="1"/>
  <c r="AA32" i="15"/>
  <c r="AA52" i="15" s="1"/>
  <c r="AA70" i="15" s="1"/>
  <c r="AB32" i="15"/>
  <c r="AB52" i="15" s="1"/>
  <c r="AB70" i="15" s="1"/>
  <c r="AC32" i="15"/>
  <c r="AC52" i="15" s="1"/>
  <c r="AC70" i="15" s="1"/>
  <c r="AD32" i="15"/>
  <c r="AD52" i="15" s="1"/>
  <c r="AE32" i="15"/>
  <c r="AE52" i="15" s="1"/>
  <c r="AE70" i="15" s="1"/>
  <c r="U33" i="15"/>
  <c r="U53" i="15" s="1"/>
  <c r="U71" i="15" s="1"/>
  <c r="V33" i="15"/>
  <c r="V53" i="15" s="1"/>
  <c r="V71" i="15" s="1"/>
  <c r="W33" i="15"/>
  <c r="W53" i="15" s="1"/>
  <c r="X33" i="15"/>
  <c r="X53" i="15" s="1"/>
  <c r="X71" i="15" s="1"/>
  <c r="Y33" i="15"/>
  <c r="Y53" i="15" s="1"/>
  <c r="Y71" i="15" s="1"/>
  <c r="Z33" i="15"/>
  <c r="Z53" i="15" s="1"/>
  <c r="Z71" i="15" s="1"/>
  <c r="AA33" i="15"/>
  <c r="AA53" i="15" s="1"/>
  <c r="AB33" i="15"/>
  <c r="AB53" i="15" s="1"/>
  <c r="AB71" i="15" s="1"/>
  <c r="AC33" i="15"/>
  <c r="AC53" i="15" s="1"/>
  <c r="AC71" i="15" s="1"/>
  <c r="AD33" i="15"/>
  <c r="AD53" i="15" s="1"/>
  <c r="AD71" i="15" s="1"/>
  <c r="AE33" i="15"/>
  <c r="AE53" i="15" s="1"/>
  <c r="U34" i="15"/>
  <c r="U54" i="15" s="1"/>
  <c r="U72" i="15" s="1"/>
  <c r="V34" i="15"/>
  <c r="V54" i="15" s="1"/>
  <c r="V72" i="15" s="1"/>
  <c r="W34" i="15"/>
  <c r="W54" i="15" s="1"/>
  <c r="W72" i="15" s="1"/>
  <c r="X34" i="15"/>
  <c r="X54" i="15" s="1"/>
  <c r="X72" i="15" s="1"/>
  <c r="Y34" i="15"/>
  <c r="Y54" i="15" s="1"/>
  <c r="Y72" i="15" s="1"/>
  <c r="Z34" i="15"/>
  <c r="Z54" i="15" s="1"/>
  <c r="Z72" i="15" s="1"/>
  <c r="AA34" i="15"/>
  <c r="AA54" i="15" s="1"/>
  <c r="AA72" i="15" s="1"/>
  <c r="AB34" i="15"/>
  <c r="AB54" i="15" s="1"/>
  <c r="AB72" i="15" s="1"/>
  <c r="AC34" i="15"/>
  <c r="AC54" i="15" s="1"/>
  <c r="AC72" i="15" s="1"/>
  <c r="AD34" i="15"/>
  <c r="AD54" i="15" s="1"/>
  <c r="AD72" i="15" s="1"/>
  <c r="AE34" i="15"/>
  <c r="AE54" i="15" s="1"/>
  <c r="AE72" i="15" s="1"/>
  <c r="U35" i="15"/>
  <c r="U55" i="15" s="1"/>
  <c r="V35" i="15"/>
  <c r="V55" i="15" s="1"/>
  <c r="V73" i="15" s="1"/>
  <c r="W35" i="15"/>
  <c r="W55" i="15" s="1"/>
  <c r="W73" i="15" s="1"/>
  <c r="X35" i="15"/>
  <c r="X55" i="15" s="1"/>
  <c r="X73" i="15" s="1"/>
  <c r="Y35" i="15"/>
  <c r="Y55" i="15" s="1"/>
  <c r="Z35" i="15"/>
  <c r="Z55" i="15" s="1"/>
  <c r="Z73" i="15" s="1"/>
  <c r="AA35" i="15"/>
  <c r="AA55" i="15" s="1"/>
  <c r="AA73" i="15" s="1"/>
  <c r="AB35" i="15"/>
  <c r="AB55" i="15" s="1"/>
  <c r="AB73" i="15" s="1"/>
  <c r="AC35" i="15"/>
  <c r="AC55" i="15" s="1"/>
  <c r="AD35" i="15"/>
  <c r="AD55" i="15" s="1"/>
  <c r="AD73" i="15" s="1"/>
  <c r="AE35" i="15"/>
  <c r="AE55" i="15" s="1"/>
  <c r="AE73" i="15" s="1"/>
  <c r="U36" i="15"/>
  <c r="U56" i="15" s="1"/>
  <c r="U74" i="15" s="1"/>
  <c r="V36" i="15"/>
  <c r="V56" i="15" s="1"/>
  <c r="W36" i="15"/>
  <c r="W56" i="15" s="1"/>
  <c r="W74" i="15" s="1"/>
  <c r="X36" i="15"/>
  <c r="X56" i="15" s="1"/>
  <c r="X74" i="15" s="1"/>
  <c r="Y36" i="15"/>
  <c r="Y56" i="15" s="1"/>
  <c r="Y74" i="15" s="1"/>
  <c r="Z36" i="15"/>
  <c r="Z56" i="15" s="1"/>
  <c r="AA36" i="15"/>
  <c r="AA56" i="15" s="1"/>
  <c r="AA74" i="15" s="1"/>
  <c r="AB36" i="15"/>
  <c r="AB56" i="15" s="1"/>
  <c r="AB74" i="15" s="1"/>
  <c r="AC36" i="15"/>
  <c r="AC56" i="15" s="1"/>
  <c r="AC74" i="15" s="1"/>
  <c r="AD36" i="15"/>
  <c r="AD56" i="15" s="1"/>
  <c r="AE36" i="15"/>
  <c r="AE56" i="15" s="1"/>
  <c r="AE74" i="15" s="1"/>
  <c r="BG197" i="13"/>
  <c r="BG249" i="13" s="1"/>
  <c r="BG250" i="13" s="1"/>
  <c r="BG251" i="13" s="1"/>
  <c r="BG252" i="13" s="1"/>
  <c r="BH197" i="13"/>
  <c r="BH263" i="13" s="1"/>
  <c r="BI197" i="13"/>
  <c r="BI249" i="13" s="1"/>
  <c r="BJ197" i="13"/>
  <c r="BJ249" i="13" s="1"/>
  <c r="BG255" i="13"/>
  <c r="BG260" i="13" s="1"/>
  <c r="BG261" i="13" s="1"/>
  <c r="BI263" i="13"/>
  <c r="BJ263" i="13"/>
  <c r="BG278" i="13"/>
  <c r="BH278" i="13"/>
  <c r="BI278" i="13"/>
  <c r="BJ278" i="13"/>
  <c r="BA197" i="13"/>
  <c r="BA249" i="13" s="1"/>
  <c r="BB197" i="13"/>
  <c r="BB263" i="13" s="1"/>
  <c r="BC197" i="13"/>
  <c r="BC249" i="13" s="1"/>
  <c r="BD197" i="13"/>
  <c r="BD249" i="13" s="1"/>
  <c r="BD255" i="13"/>
  <c r="BE197" i="13"/>
  <c r="BE249" i="13" s="1"/>
  <c r="BE250" i="13" s="1"/>
  <c r="BF197" i="13"/>
  <c r="BF249" i="13" s="1"/>
  <c r="BF250" i="13" s="1"/>
  <c r="BF251" i="13" s="1"/>
  <c r="BF252" i="13" s="1"/>
  <c r="BB249" i="13"/>
  <c r="BD250" i="13"/>
  <c r="BC263" i="13"/>
  <c r="BF263" i="13"/>
  <c r="BA278" i="13"/>
  <c r="BB278" i="13"/>
  <c r="BC278" i="13"/>
  <c r="BD278" i="13"/>
  <c r="BE278" i="13"/>
  <c r="BF278" i="13"/>
  <c r="AI197" i="13"/>
  <c r="AI263" i="13" s="1"/>
  <c r="AJ197" i="13"/>
  <c r="AJ263" i="13" s="1"/>
  <c r="AK197" i="13"/>
  <c r="AK263" i="13" s="1"/>
  <c r="AL197" i="13"/>
  <c r="AL249" i="13" s="1"/>
  <c r="AL255" i="13" s="1"/>
  <c r="AM197" i="13"/>
  <c r="AN197" i="13"/>
  <c r="AN263" i="13" s="1"/>
  <c r="AO197" i="13"/>
  <c r="AO263" i="13" s="1"/>
  <c r="AP197" i="13"/>
  <c r="AQ197" i="13"/>
  <c r="AR197" i="13"/>
  <c r="AS197" i="13"/>
  <c r="AS249" i="13" s="1"/>
  <c r="AT197" i="13"/>
  <c r="AU197" i="13"/>
  <c r="AV197" i="13"/>
  <c r="AV249" i="13" s="1"/>
  <c r="AW197" i="13"/>
  <c r="AX197" i="13"/>
  <c r="AX263" i="13" s="1"/>
  <c r="AY197" i="13"/>
  <c r="AY263" i="13" s="1"/>
  <c r="AZ197" i="13"/>
  <c r="AN249" i="13"/>
  <c r="AN255" i="13" s="1"/>
  <c r="AW249" i="13"/>
  <c r="AW250" i="13"/>
  <c r="AX249" i="13"/>
  <c r="AX255" i="13" s="1"/>
  <c r="AX260" i="13" s="1"/>
  <c r="AX261" i="13" s="1"/>
  <c r="AW255" i="13"/>
  <c r="AW260" i="13" s="1"/>
  <c r="AW261" i="13" s="1"/>
  <c r="AX258" i="13"/>
  <c r="AX259" i="13" s="1"/>
  <c r="AM263" i="13"/>
  <c r="AS263" i="13"/>
  <c r="AW263" i="13"/>
  <c r="AI278" i="13"/>
  <c r="AJ278" i="13"/>
  <c r="AK278" i="13"/>
  <c r="AL278" i="13"/>
  <c r="AM278" i="13"/>
  <c r="AN278" i="13"/>
  <c r="AO278" i="13"/>
  <c r="AP278" i="13"/>
  <c r="AQ278" i="13"/>
  <c r="AR278" i="13"/>
  <c r="AS278" i="13"/>
  <c r="AT278" i="13"/>
  <c r="AU278" i="13"/>
  <c r="AV278" i="13"/>
  <c r="AW278" i="13"/>
  <c r="AX278" i="13"/>
  <c r="AY278" i="13"/>
  <c r="AZ278" i="13"/>
  <c r="U197" i="13"/>
  <c r="U249" i="13" s="1"/>
  <c r="V197" i="13"/>
  <c r="W197" i="13"/>
  <c r="W249" i="13" s="1"/>
  <c r="X197" i="13"/>
  <c r="X249" i="13" s="1"/>
  <c r="X250" i="13" s="1"/>
  <c r="Y197" i="13"/>
  <c r="Y263" i="13" s="1"/>
  <c r="Z197" i="13"/>
  <c r="AA197" i="13"/>
  <c r="AA249" i="13" s="1"/>
  <c r="AB197" i="13"/>
  <c r="AB263" i="13" s="1"/>
  <c r="AC197" i="13"/>
  <c r="AC249" i="13" s="1"/>
  <c r="AC250" i="13" s="1"/>
  <c r="AC253" i="13" s="1"/>
  <c r="AD197" i="13"/>
  <c r="AD263" i="13" s="1"/>
  <c r="AE197" i="13"/>
  <c r="AF197" i="13"/>
  <c r="AF263" i="13" s="1"/>
  <c r="AG197" i="13"/>
  <c r="AH197" i="13"/>
  <c r="Y249" i="13"/>
  <c r="Z249" i="13"/>
  <c r="Z250" i="13"/>
  <c r="Z251" i="13" s="1"/>
  <c r="Z252" i="13" s="1"/>
  <c r="AB249" i="13"/>
  <c r="AB250" i="13" s="1"/>
  <c r="AD249" i="13"/>
  <c r="AD250" i="13" s="1"/>
  <c r="AD251" i="13" s="1"/>
  <c r="AD252" i="13" s="1"/>
  <c r="AE249" i="13"/>
  <c r="AE250" i="13" s="1"/>
  <c r="AE253" i="13" s="1"/>
  <c r="AH249" i="13"/>
  <c r="AH255" i="13" s="1"/>
  <c r="AH260" i="13" s="1"/>
  <c r="AC254" i="13"/>
  <c r="X255" i="13"/>
  <c r="X256" i="13" s="1"/>
  <c r="X257" i="13" s="1"/>
  <c r="Z255" i="13"/>
  <c r="Z256" i="13" s="1"/>
  <c r="Z257" i="13" s="1"/>
  <c r="AH256" i="13"/>
  <c r="AH257" i="13" s="1"/>
  <c r="X258" i="13"/>
  <c r="X259" i="13" s="1"/>
  <c r="X260" i="13"/>
  <c r="X261" i="13" s="1"/>
  <c r="X263" i="13"/>
  <c r="Z263" i="13"/>
  <c r="AE263" i="13"/>
  <c r="AH263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BJ21" i="13"/>
  <c r="BK21" i="13"/>
  <c r="BL21" i="13"/>
  <c r="BJ22" i="13"/>
  <c r="BK22" i="13"/>
  <c r="BL22" i="13"/>
  <c r="BJ23" i="13"/>
  <c r="BJ42" i="13" s="1"/>
  <c r="BK23" i="13"/>
  <c r="BL23" i="13"/>
  <c r="BJ24" i="13"/>
  <c r="BJ43" i="13" s="1"/>
  <c r="BK24" i="13"/>
  <c r="BL24" i="13"/>
  <c r="BJ25" i="13"/>
  <c r="BJ44" i="13" s="1"/>
  <c r="BK25" i="13"/>
  <c r="BL25" i="13"/>
  <c r="BJ26" i="13"/>
  <c r="BJ45" i="13" s="1"/>
  <c r="BK26" i="13"/>
  <c r="BL26" i="13"/>
  <c r="BJ27" i="13"/>
  <c r="BJ46" i="13" s="1"/>
  <c r="BK27" i="13"/>
  <c r="BL27" i="13"/>
  <c r="BJ28" i="13"/>
  <c r="BJ47" i="13" s="1"/>
  <c r="BK28" i="13"/>
  <c r="BL28" i="13"/>
  <c r="BJ29" i="13"/>
  <c r="BJ48" i="13" s="1"/>
  <c r="BK29" i="13"/>
  <c r="BL29" i="13"/>
  <c r="BJ30" i="13"/>
  <c r="BJ49" i="13" s="1"/>
  <c r="BK30" i="13"/>
  <c r="BL30" i="13"/>
  <c r="BJ31" i="13"/>
  <c r="BJ50" i="13" s="1"/>
  <c r="BK31" i="13"/>
  <c r="BL31" i="13"/>
  <c r="BJ32" i="13"/>
  <c r="BJ51" i="13" s="1"/>
  <c r="BK32" i="13"/>
  <c r="BL32" i="13"/>
  <c r="BJ33" i="13"/>
  <c r="BJ52" i="13" s="1"/>
  <c r="BK33" i="13"/>
  <c r="BL33" i="13"/>
  <c r="BJ34" i="13"/>
  <c r="BJ53" i="13" s="1"/>
  <c r="BK34" i="13"/>
  <c r="BL34" i="13"/>
  <c r="BJ35" i="13"/>
  <c r="BJ54" i="13" s="1"/>
  <c r="BK35" i="13"/>
  <c r="BL35" i="13"/>
  <c r="BJ36" i="13"/>
  <c r="BJ55" i="13" s="1"/>
  <c r="BK36" i="13"/>
  <c r="BL36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AT22" i="13"/>
  <c r="AT281" i="13" s="1"/>
  <c r="AU22" i="13"/>
  <c r="AU281" i="13" s="1"/>
  <c r="AV22" i="13"/>
  <c r="AV281" i="13" s="1"/>
  <c r="AW22" i="13"/>
  <c r="AX22" i="13"/>
  <c r="AY22" i="13"/>
  <c r="AY281" i="13" s="1"/>
  <c r="AZ22" i="13"/>
  <c r="BA22" i="13"/>
  <c r="BA281" i="13" s="1"/>
  <c r="BB22" i="13"/>
  <c r="BC22" i="13"/>
  <c r="BC281" i="13" s="1"/>
  <c r="BD22" i="13"/>
  <c r="BD281" i="13" s="1"/>
  <c r="BE22" i="13"/>
  <c r="BE281" i="13" s="1"/>
  <c r="BF22" i="13"/>
  <c r="BF281" i="13" s="1"/>
  <c r="BG22" i="13"/>
  <c r="BH22" i="13"/>
  <c r="BI22" i="13"/>
  <c r="BI281" i="13" s="1"/>
  <c r="AT23" i="13"/>
  <c r="AT42" i="13" s="1"/>
  <c r="AU23" i="13"/>
  <c r="AU42" i="13" s="1"/>
  <c r="AV23" i="13"/>
  <c r="AV42" i="13" s="1"/>
  <c r="AW23" i="13"/>
  <c r="AW42" i="13" s="1"/>
  <c r="AX23" i="13"/>
  <c r="AX42" i="13" s="1"/>
  <c r="AY23" i="13"/>
  <c r="AY42" i="13" s="1"/>
  <c r="AZ23" i="13"/>
  <c r="AZ42" i="13" s="1"/>
  <c r="BA23" i="13"/>
  <c r="BA42" i="13" s="1"/>
  <c r="BB23" i="13"/>
  <c r="BB42" i="13" s="1"/>
  <c r="BC23" i="13"/>
  <c r="BD23" i="13"/>
  <c r="BD42" i="13" s="1"/>
  <c r="BE23" i="13"/>
  <c r="BE42" i="13" s="1"/>
  <c r="BF23" i="13"/>
  <c r="BF42" i="13" s="1"/>
  <c r="BG23" i="13"/>
  <c r="BG42" i="13" s="1"/>
  <c r="BH23" i="13"/>
  <c r="BH42" i="13" s="1"/>
  <c r="BI23" i="13"/>
  <c r="BI42" i="13" s="1"/>
  <c r="AT24" i="13"/>
  <c r="AT43" i="13" s="1"/>
  <c r="AU24" i="13"/>
  <c r="AU43" i="13" s="1"/>
  <c r="AV24" i="13"/>
  <c r="AV43" i="13" s="1"/>
  <c r="AW24" i="13"/>
  <c r="AW43" i="13" s="1"/>
  <c r="AX24" i="13"/>
  <c r="AX43" i="13" s="1"/>
  <c r="AY24" i="13"/>
  <c r="AY43" i="13" s="1"/>
  <c r="AZ24" i="13"/>
  <c r="AZ43" i="13" s="1"/>
  <c r="BA24" i="13"/>
  <c r="BA43" i="13" s="1"/>
  <c r="BB24" i="13"/>
  <c r="BB43" i="13" s="1"/>
  <c r="BC24" i="13"/>
  <c r="BC43" i="13" s="1"/>
  <c r="BD24" i="13"/>
  <c r="BD43" i="13" s="1"/>
  <c r="BE24" i="13"/>
  <c r="BE43" i="13" s="1"/>
  <c r="BF24" i="13"/>
  <c r="BF43" i="13" s="1"/>
  <c r="BG24" i="13"/>
  <c r="BG43" i="13" s="1"/>
  <c r="BH24" i="13"/>
  <c r="BH43" i="13" s="1"/>
  <c r="BI24" i="13"/>
  <c r="BI43" i="13" s="1"/>
  <c r="AT25" i="13"/>
  <c r="AT44" i="13" s="1"/>
  <c r="AU25" i="13"/>
  <c r="AU44" i="13" s="1"/>
  <c r="AV25" i="13"/>
  <c r="AV44" i="13" s="1"/>
  <c r="AW25" i="13"/>
  <c r="AW44" i="13" s="1"/>
  <c r="AX25" i="13"/>
  <c r="AX44" i="13" s="1"/>
  <c r="AY25" i="13"/>
  <c r="AY44" i="13" s="1"/>
  <c r="AZ25" i="13"/>
  <c r="AZ44" i="13" s="1"/>
  <c r="BA25" i="13"/>
  <c r="BA44" i="13" s="1"/>
  <c r="BB25" i="13"/>
  <c r="BB44" i="13" s="1"/>
  <c r="BC25" i="13"/>
  <c r="BC44" i="13" s="1"/>
  <c r="BD25" i="13"/>
  <c r="BD44" i="13" s="1"/>
  <c r="BE25" i="13"/>
  <c r="BE44" i="13" s="1"/>
  <c r="BF25" i="13"/>
  <c r="BF44" i="13" s="1"/>
  <c r="BG25" i="13"/>
  <c r="BG44" i="13" s="1"/>
  <c r="BH25" i="13"/>
  <c r="BH44" i="13" s="1"/>
  <c r="BI25" i="13"/>
  <c r="BI44" i="13" s="1"/>
  <c r="AT26" i="13"/>
  <c r="AT45" i="13" s="1"/>
  <c r="AU26" i="13"/>
  <c r="AU45" i="13" s="1"/>
  <c r="AV26" i="13"/>
  <c r="AV45" i="13" s="1"/>
  <c r="AW26" i="13"/>
  <c r="AW45" i="13" s="1"/>
  <c r="AX26" i="13"/>
  <c r="AX45" i="13" s="1"/>
  <c r="AY26" i="13"/>
  <c r="AY45" i="13" s="1"/>
  <c r="AZ26" i="13"/>
  <c r="AZ45" i="13" s="1"/>
  <c r="BA26" i="13"/>
  <c r="BA45" i="13" s="1"/>
  <c r="BB26" i="13"/>
  <c r="BB45" i="13" s="1"/>
  <c r="BC26" i="13"/>
  <c r="BC45" i="13" s="1"/>
  <c r="BD26" i="13"/>
  <c r="BD45" i="13" s="1"/>
  <c r="BE26" i="13"/>
  <c r="BE45" i="13" s="1"/>
  <c r="BF26" i="13"/>
  <c r="BF45" i="13" s="1"/>
  <c r="BG26" i="13"/>
  <c r="BG45" i="13" s="1"/>
  <c r="BH26" i="13"/>
  <c r="BH45" i="13" s="1"/>
  <c r="BI26" i="13"/>
  <c r="BI45" i="13" s="1"/>
  <c r="AT27" i="13"/>
  <c r="AT46" i="13" s="1"/>
  <c r="AU27" i="13"/>
  <c r="AU46" i="13" s="1"/>
  <c r="AV27" i="13"/>
  <c r="AV46" i="13" s="1"/>
  <c r="AW27" i="13"/>
  <c r="AW46" i="13" s="1"/>
  <c r="AX27" i="13"/>
  <c r="AX46" i="13" s="1"/>
  <c r="AY27" i="13"/>
  <c r="AY46" i="13" s="1"/>
  <c r="AZ27" i="13"/>
  <c r="AZ46" i="13" s="1"/>
  <c r="BA27" i="13"/>
  <c r="BA46" i="13" s="1"/>
  <c r="BB27" i="13"/>
  <c r="BB46" i="13" s="1"/>
  <c r="BC27" i="13"/>
  <c r="BC46" i="13" s="1"/>
  <c r="BD27" i="13"/>
  <c r="BD46" i="13" s="1"/>
  <c r="BE27" i="13"/>
  <c r="BE46" i="13" s="1"/>
  <c r="BF27" i="13"/>
  <c r="BF46" i="13" s="1"/>
  <c r="BG27" i="13"/>
  <c r="BG46" i="13" s="1"/>
  <c r="BH27" i="13"/>
  <c r="BH46" i="13" s="1"/>
  <c r="BI27" i="13"/>
  <c r="BI46" i="13" s="1"/>
  <c r="AT28" i="13"/>
  <c r="AT47" i="13" s="1"/>
  <c r="AU28" i="13"/>
  <c r="AU47" i="13" s="1"/>
  <c r="AV28" i="13"/>
  <c r="AV47" i="13" s="1"/>
  <c r="AW28" i="13"/>
  <c r="AW47" i="13" s="1"/>
  <c r="AX28" i="13"/>
  <c r="AX47" i="13" s="1"/>
  <c r="AY28" i="13"/>
  <c r="AY47" i="13" s="1"/>
  <c r="AZ28" i="13"/>
  <c r="AZ47" i="13" s="1"/>
  <c r="BA28" i="13"/>
  <c r="BA47" i="13" s="1"/>
  <c r="BB28" i="13"/>
  <c r="BB47" i="13" s="1"/>
  <c r="BC28" i="13"/>
  <c r="BC47" i="13" s="1"/>
  <c r="BD28" i="13"/>
  <c r="BD47" i="13" s="1"/>
  <c r="BE28" i="13"/>
  <c r="BE47" i="13" s="1"/>
  <c r="BF28" i="13"/>
  <c r="BF47" i="13" s="1"/>
  <c r="BG28" i="13"/>
  <c r="BG47" i="13" s="1"/>
  <c r="BH28" i="13"/>
  <c r="BH47" i="13" s="1"/>
  <c r="BI28" i="13"/>
  <c r="BI47" i="13" s="1"/>
  <c r="AT29" i="13"/>
  <c r="AT48" i="13" s="1"/>
  <c r="AU29" i="13"/>
  <c r="AU48" i="13" s="1"/>
  <c r="AV29" i="13"/>
  <c r="AV48" i="13" s="1"/>
  <c r="AW29" i="13"/>
  <c r="AW48" i="13" s="1"/>
  <c r="AX29" i="13"/>
  <c r="AX48" i="13" s="1"/>
  <c r="AY29" i="13"/>
  <c r="AY48" i="13" s="1"/>
  <c r="AZ29" i="13"/>
  <c r="AZ48" i="13" s="1"/>
  <c r="BA29" i="13"/>
  <c r="BA48" i="13" s="1"/>
  <c r="BB29" i="13"/>
  <c r="BB48" i="13" s="1"/>
  <c r="BC29" i="13"/>
  <c r="BC48" i="13" s="1"/>
  <c r="BD29" i="13"/>
  <c r="BD48" i="13" s="1"/>
  <c r="BE29" i="13"/>
  <c r="BE48" i="13" s="1"/>
  <c r="BF29" i="13"/>
  <c r="BF48" i="13" s="1"/>
  <c r="BG29" i="13"/>
  <c r="BG48" i="13" s="1"/>
  <c r="BH29" i="13"/>
  <c r="BH48" i="13" s="1"/>
  <c r="BI29" i="13"/>
  <c r="BI48" i="13" s="1"/>
  <c r="AT30" i="13"/>
  <c r="AT49" i="13" s="1"/>
  <c r="AU30" i="13"/>
  <c r="AU49" i="13" s="1"/>
  <c r="AV30" i="13"/>
  <c r="AV49" i="13" s="1"/>
  <c r="AW30" i="13"/>
  <c r="AW49" i="13" s="1"/>
  <c r="AX30" i="13"/>
  <c r="AX49" i="13" s="1"/>
  <c r="AY30" i="13"/>
  <c r="AY49" i="13" s="1"/>
  <c r="AZ30" i="13"/>
  <c r="AZ49" i="13" s="1"/>
  <c r="BA30" i="13"/>
  <c r="BA49" i="13" s="1"/>
  <c r="BB30" i="13"/>
  <c r="BB49" i="13" s="1"/>
  <c r="BC30" i="13"/>
  <c r="BC49" i="13" s="1"/>
  <c r="BD30" i="13"/>
  <c r="BD49" i="13" s="1"/>
  <c r="BE30" i="13"/>
  <c r="BE49" i="13" s="1"/>
  <c r="BF30" i="13"/>
  <c r="BF49" i="13" s="1"/>
  <c r="BG30" i="13"/>
  <c r="BG49" i="13" s="1"/>
  <c r="BH30" i="13"/>
  <c r="BH49" i="13" s="1"/>
  <c r="BI30" i="13"/>
  <c r="BI49" i="13" s="1"/>
  <c r="AT31" i="13"/>
  <c r="AT50" i="13" s="1"/>
  <c r="AU31" i="13"/>
  <c r="AU50" i="13" s="1"/>
  <c r="AV31" i="13"/>
  <c r="AV50" i="13" s="1"/>
  <c r="AW31" i="13"/>
  <c r="AW50" i="13" s="1"/>
  <c r="AX31" i="13"/>
  <c r="AX50" i="13" s="1"/>
  <c r="AY31" i="13"/>
  <c r="AY50" i="13" s="1"/>
  <c r="AZ31" i="13"/>
  <c r="AZ50" i="13" s="1"/>
  <c r="BA31" i="13"/>
  <c r="BA50" i="13" s="1"/>
  <c r="BB31" i="13"/>
  <c r="BB50" i="13" s="1"/>
  <c r="BC31" i="13"/>
  <c r="BC50" i="13" s="1"/>
  <c r="BD31" i="13"/>
  <c r="BD50" i="13" s="1"/>
  <c r="BE31" i="13"/>
  <c r="BE50" i="13" s="1"/>
  <c r="BF31" i="13"/>
  <c r="BF50" i="13" s="1"/>
  <c r="BG31" i="13"/>
  <c r="BG50" i="13" s="1"/>
  <c r="BH31" i="13"/>
  <c r="BH50" i="13" s="1"/>
  <c r="BI31" i="13"/>
  <c r="BI50" i="13" s="1"/>
  <c r="AT32" i="13"/>
  <c r="AT51" i="13" s="1"/>
  <c r="AU32" i="13"/>
  <c r="AU51" i="13" s="1"/>
  <c r="AV32" i="13"/>
  <c r="AV51" i="13" s="1"/>
  <c r="AW32" i="13"/>
  <c r="AW51" i="13" s="1"/>
  <c r="AX32" i="13"/>
  <c r="AX51" i="13" s="1"/>
  <c r="AY32" i="13"/>
  <c r="AY51" i="13" s="1"/>
  <c r="AZ32" i="13"/>
  <c r="AZ51" i="13" s="1"/>
  <c r="BA32" i="13"/>
  <c r="BA51" i="13" s="1"/>
  <c r="BB32" i="13"/>
  <c r="BB51" i="13" s="1"/>
  <c r="BC32" i="13"/>
  <c r="BC51" i="13" s="1"/>
  <c r="BD32" i="13"/>
  <c r="BD51" i="13" s="1"/>
  <c r="BE32" i="13"/>
  <c r="BE51" i="13" s="1"/>
  <c r="BF32" i="13"/>
  <c r="BF51" i="13" s="1"/>
  <c r="BG32" i="13"/>
  <c r="BG51" i="13" s="1"/>
  <c r="BH32" i="13"/>
  <c r="BH51" i="13" s="1"/>
  <c r="BI32" i="13"/>
  <c r="BI51" i="13" s="1"/>
  <c r="AT33" i="13"/>
  <c r="AT52" i="13" s="1"/>
  <c r="AU33" i="13"/>
  <c r="AU52" i="13" s="1"/>
  <c r="AV33" i="13"/>
  <c r="AV52" i="13" s="1"/>
  <c r="AW33" i="13"/>
  <c r="AW52" i="13" s="1"/>
  <c r="AX33" i="13"/>
  <c r="AX52" i="13" s="1"/>
  <c r="AY33" i="13"/>
  <c r="AY52" i="13" s="1"/>
  <c r="AZ33" i="13"/>
  <c r="AZ52" i="13" s="1"/>
  <c r="BA33" i="13"/>
  <c r="BA52" i="13" s="1"/>
  <c r="BB33" i="13"/>
  <c r="BB52" i="13" s="1"/>
  <c r="BC33" i="13"/>
  <c r="BC52" i="13" s="1"/>
  <c r="BD33" i="13"/>
  <c r="BD52" i="13" s="1"/>
  <c r="BE33" i="13"/>
  <c r="BE52" i="13" s="1"/>
  <c r="BF33" i="13"/>
  <c r="BF52" i="13" s="1"/>
  <c r="BG33" i="13"/>
  <c r="BG52" i="13" s="1"/>
  <c r="BH33" i="13"/>
  <c r="BH52" i="13" s="1"/>
  <c r="BI33" i="13"/>
  <c r="BI52" i="13" s="1"/>
  <c r="AT34" i="13"/>
  <c r="AT53" i="13" s="1"/>
  <c r="AU34" i="13"/>
  <c r="AU53" i="13" s="1"/>
  <c r="AV34" i="13"/>
  <c r="AV53" i="13" s="1"/>
  <c r="AW34" i="13"/>
  <c r="AW53" i="13" s="1"/>
  <c r="AX34" i="13"/>
  <c r="AX53" i="13" s="1"/>
  <c r="AY34" i="13"/>
  <c r="AY53" i="13" s="1"/>
  <c r="AZ34" i="13"/>
  <c r="AZ53" i="13" s="1"/>
  <c r="BA34" i="13"/>
  <c r="BA53" i="13" s="1"/>
  <c r="BB34" i="13"/>
  <c r="BB53" i="13" s="1"/>
  <c r="BC34" i="13"/>
  <c r="BC53" i="13" s="1"/>
  <c r="BD34" i="13"/>
  <c r="BD53" i="13" s="1"/>
  <c r="BE34" i="13"/>
  <c r="BE53" i="13" s="1"/>
  <c r="BF34" i="13"/>
  <c r="BF53" i="13" s="1"/>
  <c r="BG34" i="13"/>
  <c r="BG53" i="13" s="1"/>
  <c r="BH34" i="13"/>
  <c r="BH53" i="13" s="1"/>
  <c r="BI34" i="13"/>
  <c r="BI53" i="13" s="1"/>
  <c r="AT35" i="13"/>
  <c r="AT54" i="13" s="1"/>
  <c r="AU35" i="13"/>
  <c r="AU54" i="13" s="1"/>
  <c r="AV35" i="13"/>
  <c r="AV54" i="13" s="1"/>
  <c r="AW35" i="13"/>
  <c r="AW54" i="13" s="1"/>
  <c r="AX35" i="13"/>
  <c r="AX54" i="13" s="1"/>
  <c r="AY35" i="13"/>
  <c r="AY54" i="13" s="1"/>
  <c r="AZ35" i="13"/>
  <c r="AZ54" i="13" s="1"/>
  <c r="BA35" i="13"/>
  <c r="BA54" i="13" s="1"/>
  <c r="BB35" i="13"/>
  <c r="BB54" i="13" s="1"/>
  <c r="BC35" i="13"/>
  <c r="BC54" i="13" s="1"/>
  <c r="BD35" i="13"/>
  <c r="BD54" i="13" s="1"/>
  <c r="BE35" i="13"/>
  <c r="BE54" i="13" s="1"/>
  <c r="BF35" i="13"/>
  <c r="BF54" i="13" s="1"/>
  <c r="BG35" i="13"/>
  <c r="BG54" i="13" s="1"/>
  <c r="BH35" i="13"/>
  <c r="BH54" i="13" s="1"/>
  <c r="BI35" i="13"/>
  <c r="BI54" i="13" s="1"/>
  <c r="AT36" i="13"/>
  <c r="AT55" i="13" s="1"/>
  <c r="AU36" i="13"/>
  <c r="AU55" i="13" s="1"/>
  <c r="AV36" i="13"/>
  <c r="AV55" i="13" s="1"/>
  <c r="AW36" i="13"/>
  <c r="AW55" i="13" s="1"/>
  <c r="AX36" i="13"/>
  <c r="AX55" i="13" s="1"/>
  <c r="AY36" i="13"/>
  <c r="AY55" i="13" s="1"/>
  <c r="AZ36" i="13"/>
  <c r="AZ55" i="13" s="1"/>
  <c r="BA36" i="13"/>
  <c r="BA55" i="13" s="1"/>
  <c r="BB36" i="13"/>
  <c r="BB55" i="13" s="1"/>
  <c r="BC36" i="13"/>
  <c r="BC55" i="13" s="1"/>
  <c r="BD36" i="13"/>
  <c r="BD55" i="13" s="1"/>
  <c r="BE36" i="13"/>
  <c r="BE55" i="13" s="1"/>
  <c r="BF36" i="13"/>
  <c r="BF55" i="13" s="1"/>
  <c r="BG36" i="13"/>
  <c r="BG55" i="13" s="1"/>
  <c r="BH36" i="13"/>
  <c r="BH55" i="13" s="1"/>
  <c r="BI36" i="13"/>
  <c r="BI55" i="13" s="1"/>
  <c r="BA38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G22" i="13"/>
  <c r="AG281" i="13" s="1"/>
  <c r="AH22" i="13"/>
  <c r="AH281" i="13" s="1"/>
  <c r="AI22" i="13"/>
  <c r="AI281" i="13" s="1"/>
  <c r="AJ22" i="13"/>
  <c r="AJ281" i="13" s="1"/>
  <c r="AK22" i="13"/>
  <c r="AK281" i="13" s="1"/>
  <c r="AL22" i="13"/>
  <c r="AL281" i="13" s="1"/>
  <c r="AM22" i="13"/>
  <c r="AM281" i="13" s="1"/>
  <c r="AN22" i="13"/>
  <c r="AN281" i="13" s="1"/>
  <c r="AO22" i="13"/>
  <c r="AO281" i="13" s="1"/>
  <c r="AP22" i="13"/>
  <c r="AP281" i="13" s="1"/>
  <c r="AQ22" i="13"/>
  <c r="AQ281" i="13" s="1"/>
  <c r="AR22" i="13"/>
  <c r="AR281" i="13" s="1"/>
  <c r="AS22" i="13"/>
  <c r="AS281" i="13" s="1"/>
  <c r="AG23" i="13"/>
  <c r="AH23" i="13"/>
  <c r="AH42" i="13" s="1"/>
  <c r="AI23" i="13"/>
  <c r="AI42" i="13" s="1"/>
  <c r="AJ23" i="13"/>
  <c r="AJ42" i="13" s="1"/>
  <c r="AK23" i="13"/>
  <c r="AK42" i="13" s="1"/>
  <c r="AL23" i="13"/>
  <c r="AM23" i="13"/>
  <c r="AM42" i="13" s="1"/>
  <c r="AN23" i="13"/>
  <c r="AN42" i="13" s="1"/>
  <c r="AO23" i="13"/>
  <c r="AP23" i="13"/>
  <c r="AP42" i="13" s="1"/>
  <c r="AQ23" i="13"/>
  <c r="AQ42" i="13" s="1"/>
  <c r="AR23" i="13"/>
  <c r="AR42" i="13" s="1"/>
  <c r="AS23" i="13"/>
  <c r="AS42" i="13" s="1"/>
  <c r="AG24" i="13"/>
  <c r="AG43" i="13" s="1"/>
  <c r="AH24" i="13"/>
  <c r="AH43" i="13" s="1"/>
  <c r="AI24" i="13"/>
  <c r="AI43" i="13" s="1"/>
  <c r="AJ24" i="13"/>
  <c r="AJ43" i="13" s="1"/>
  <c r="AK24" i="13"/>
  <c r="AK43" i="13" s="1"/>
  <c r="AL24" i="13"/>
  <c r="AL43" i="13" s="1"/>
  <c r="AM24" i="13"/>
  <c r="AM43" i="13" s="1"/>
  <c r="AN24" i="13"/>
  <c r="AN43" i="13" s="1"/>
  <c r="AO24" i="13"/>
  <c r="AO43" i="13" s="1"/>
  <c r="AP24" i="13"/>
  <c r="AP43" i="13" s="1"/>
  <c r="AQ24" i="13"/>
  <c r="AQ43" i="13" s="1"/>
  <c r="AR24" i="13"/>
  <c r="AR43" i="13" s="1"/>
  <c r="AS24" i="13"/>
  <c r="AS43" i="13" s="1"/>
  <c r="AG25" i="13"/>
  <c r="AG44" i="13" s="1"/>
  <c r="AH25" i="13"/>
  <c r="AH44" i="13" s="1"/>
  <c r="AI25" i="13"/>
  <c r="AI44" i="13" s="1"/>
  <c r="AJ25" i="13"/>
  <c r="AJ44" i="13" s="1"/>
  <c r="AK25" i="13"/>
  <c r="AK44" i="13" s="1"/>
  <c r="AL25" i="13"/>
  <c r="AL44" i="13" s="1"/>
  <c r="AM25" i="13"/>
  <c r="AM44" i="13" s="1"/>
  <c r="AN25" i="13"/>
  <c r="AN44" i="13" s="1"/>
  <c r="AO25" i="13"/>
  <c r="AO44" i="13" s="1"/>
  <c r="AP25" i="13"/>
  <c r="AP44" i="13" s="1"/>
  <c r="AQ25" i="13"/>
  <c r="AQ44" i="13" s="1"/>
  <c r="AR25" i="13"/>
  <c r="AR44" i="13" s="1"/>
  <c r="AS25" i="13"/>
  <c r="AS44" i="13" s="1"/>
  <c r="AG26" i="13"/>
  <c r="AG45" i="13" s="1"/>
  <c r="AH26" i="13"/>
  <c r="AH45" i="13" s="1"/>
  <c r="AI26" i="13"/>
  <c r="AI45" i="13" s="1"/>
  <c r="AJ26" i="13"/>
  <c r="AJ45" i="13" s="1"/>
  <c r="AK26" i="13"/>
  <c r="AK45" i="13" s="1"/>
  <c r="AL26" i="13"/>
  <c r="AL45" i="13" s="1"/>
  <c r="AM26" i="13"/>
  <c r="AM45" i="13" s="1"/>
  <c r="AN26" i="13"/>
  <c r="AN45" i="13" s="1"/>
  <c r="AO26" i="13"/>
  <c r="AO45" i="13" s="1"/>
  <c r="AP26" i="13"/>
  <c r="AP45" i="13" s="1"/>
  <c r="AQ26" i="13"/>
  <c r="AQ45" i="13" s="1"/>
  <c r="AR26" i="13"/>
  <c r="AR45" i="13" s="1"/>
  <c r="AS26" i="13"/>
  <c r="AS45" i="13" s="1"/>
  <c r="AG27" i="13"/>
  <c r="AG46" i="13" s="1"/>
  <c r="AH27" i="13"/>
  <c r="AH46" i="13" s="1"/>
  <c r="AI27" i="13"/>
  <c r="AI46" i="13" s="1"/>
  <c r="AJ27" i="13"/>
  <c r="AJ46" i="13" s="1"/>
  <c r="AK27" i="13"/>
  <c r="AK46" i="13" s="1"/>
  <c r="AL27" i="13"/>
  <c r="AL46" i="13" s="1"/>
  <c r="AM27" i="13"/>
  <c r="AM46" i="13" s="1"/>
  <c r="AN27" i="13"/>
  <c r="AN46" i="13" s="1"/>
  <c r="AO27" i="13"/>
  <c r="AO46" i="13" s="1"/>
  <c r="AP27" i="13"/>
  <c r="AP46" i="13" s="1"/>
  <c r="AQ27" i="13"/>
  <c r="AQ46" i="13" s="1"/>
  <c r="AR27" i="13"/>
  <c r="AR46" i="13" s="1"/>
  <c r="AS27" i="13"/>
  <c r="AS46" i="13" s="1"/>
  <c r="AG28" i="13"/>
  <c r="AG47" i="13" s="1"/>
  <c r="AH28" i="13"/>
  <c r="AH47" i="13" s="1"/>
  <c r="AI28" i="13"/>
  <c r="AI47" i="13" s="1"/>
  <c r="AJ28" i="13"/>
  <c r="AJ47" i="13" s="1"/>
  <c r="AK28" i="13"/>
  <c r="AK47" i="13" s="1"/>
  <c r="AL28" i="13"/>
  <c r="AL47" i="13" s="1"/>
  <c r="AM28" i="13"/>
  <c r="AM47" i="13" s="1"/>
  <c r="AN28" i="13"/>
  <c r="AN47" i="13" s="1"/>
  <c r="AO28" i="13"/>
  <c r="AO47" i="13" s="1"/>
  <c r="AP28" i="13"/>
  <c r="AP47" i="13" s="1"/>
  <c r="AQ28" i="13"/>
  <c r="AQ47" i="13" s="1"/>
  <c r="AR28" i="13"/>
  <c r="AR47" i="13" s="1"/>
  <c r="AS28" i="13"/>
  <c r="AS47" i="13" s="1"/>
  <c r="AG29" i="13"/>
  <c r="AG48" i="13" s="1"/>
  <c r="AH29" i="13"/>
  <c r="AH48" i="13" s="1"/>
  <c r="AI29" i="13"/>
  <c r="AI48" i="13" s="1"/>
  <c r="AJ29" i="13"/>
  <c r="AJ48" i="13" s="1"/>
  <c r="AK29" i="13"/>
  <c r="AK48" i="13" s="1"/>
  <c r="AL29" i="13"/>
  <c r="AL48" i="13" s="1"/>
  <c r="AM29" i="13"/>
  <c r="AM48" i="13" s="1"/>
  <c r="AN29" i="13"/>
  <c r="AN48" i="13" s="1"/>
  <c r="AO29" i="13"/>
  <c r="AO48" i="13" s="1"/>
  <c r="AP29" i="13"/>
  <c r="AP48" i="13" s="1"/>
  <c r="AQ29" i="13"/>
  <c r="AQ48" i="13" s="1"/>
  <c r="AR29" i="13"/>
  <c r="AR48" i="13" s="1"/>
  <c r="AS29" i="13"/>
  <c r="AS48" i="13" s="1"/>
  <c r="AG30" i="13"/>
  <c r="AG49" i="13" s="1"/>
  <c r="AH30" i="13"/>
  <c r="AH49" i="13" s="1"/>
  <c r="AI30" i="13"/>
  <c r="AI49" i="13" s="1"/>
  <c r="AJ30" i="13"/>
  <c r="AJ49" i="13" s="1"/>
  <c r="AK30" i="13"/>
  <c r="AK49" i="13" s="1"/>
  <c r="AL30" i="13"/>
  <c r="AL49" i="13" s="1"/>
  <c r="AM30" i="13"/>
  <c r="AM49" i="13" s="1"/>
  <c r="AN30" i="13"/>
  <c r="AN49" i="13" s="1"/>
  <c r="AO30" i="13"/>
  <c r="AO49" i="13" s="1"/>
  <c r="AP30" i="13"/>
  <c r="AP49" i="13" s="1"/>
  <c r="AQ30" i="13"/>
  <c r="AQ49" i="13" s="1"/>
  <c r="AR30" i="13"/>
  <c r="AR49" i="13" s="1"/>
  <c r="AS30" i="13"/>
  <c r="AS49" i="13" s="1"/>
  <c r="AG31" i="13"/>
  <c r="AG50" i="13" s="1"/>
  <c r="AH31" i="13"/>
  <c r="AH50" i="13" s="1"/>
  <c r="AI31" i="13"/>
  <c r="AI50" i="13" s="1"/>
  <c r="AJ31" i="13"/>
  <c r="AJ50" i="13" s="1"/>
  <c r="AK31" i="13"/>
  <c r="AK50" i="13" s="1"/>
  <c r="AL31" i="13"/>
  <c r="AL50" i="13" s="1"/>
  <c r="AM31" i="13"/>
  <c r="AM50" i="13" s="1"/>
  <c r="AN31" i="13"/>
  <c r="AN50" i="13" s="1"/>
  <c r="AO31" i="13"/>
  <c r="AO50" i="13" s="1"/>
  <c r="AP31" i="13"/>
  <c r="AP50" i="13" s="1"/>
  <c r="AQ31" i="13"/>
  <c r="AQ50" i="13" s="1"/>
  <c r="AR31" i="13"/>
  <c r="AR50" i="13" s="1"/>
  <c r="AS31" i="13"/>
  <c r="AS50" i="13" s="1"/>
  <c r="AG32" i="13"/>
  <c r="AG51" i="13" s="1"/>
  <c r="AH32" i="13"/>
  <c r="AH51" i="13" s="1"/>
  <c r="AI32" i="13"/>
  <c r="AI51" i="13" s="1"/>
  <c r="AJ32" i="13"/>
  <c r="AJ51" i="13" s="1"/>
  <c r="AK32" i="13"/>
  <c r="AK51" i="13" s="1"/>
  <c r="AL32" i="13"/>
  <c r="AL51" i="13" s="1"/>
  <c r="AM32" i="13"/>
  <c r="AM51" i="13" s="1"/>
  <c r="AN32" i="13"/>
  <c r="AN51" i="13" s="1"/>
  <c r="AO32" i="13"/>
  <c r="AO51" i="13" s="1"/>
  <c r="AP32" i="13"/>
  <c r="AP51" i="13" s="1"/>
  <c r="AQ32" i="13"/>
  <c r="AQ51" i="13" s="1"/>
  <c r="AR32" i="13"/>
  <c r="AR51" i="13" s="1"/>
  <c r="AS32" i="13"/>
  <c r="AS51" i="13" s="1"/>
  <c r="AG33" i="13"/>
  <c r="AG52" i="13" s="1"/>
  <c r="AH33" i="13"/>
  <c r="AH52" i="13" s="1"/>
  <c r="AI33" i="13"/>
  <c r="AI52" i="13" s="1"/>
  <c r="AJ33" i="13"/>
  <c r="AJ52" i="13" s="1"/>
  <c r="AK33" i="13"/>
  <c r="AK52" i="13" s="1"/>
  <c r="AL33" i="13"/>
  <c r="AL52" i="13" s="1"/>
  <c r="AM33" i="13"/>
  <c r="AM52" i="13" s="1"/>
  <c r="AN33" i="13"/>
  <c r="AN52" i="13" s="1"/>
  <c r="AO33" i="13"/>
  <c r="AO52" i="13" s="1"/>
  <c r="AP33" i="13"/>
  <c r="AP52" i="13" s="1"/>
  <c r="AQ33" i="13"/>
  <c r="AQ52" i="13" s="1"/>
  <c r="AR33" i="13"/>
  <c r="AR52" i="13" s="1"/>
  <c r="AS33" i="13"/>
  <c r="AS52" i="13" s="1"/>
  <c r="AG34" i="13"/>
  <c r="AG53" i="13" s="1"/>
  <c r="AH34" i="13"/>
  <c r="AH53" i="13" s="1"/>
  <c r="AI34" i="13"/>
  <c r="AI53" i="13" s="1"/>
  <c r="AJ34" i="13"/>
  <c r="AJ53" i="13" s="1"/>
  <c r="AK34" i="13"/>
  <c r="AK53" i="13" s="1"/>
  <c r="AL34" i="13"/>
  <c r="AL53" i="13" s="1"/>
  <c r="AM34" i="13"/>
  <c r="AM53" i="13" s="1"/>
  <c r="AN34" i="13"/>
  <c r="AN53" i="13" s="1"/>
  <c r="AO34" i="13"/>
  <c r="AO53" i="13" s="1"/>
  <c r="AP34" i="13"/>
  <c r="AP53" i="13" s="1"/>
  <c r="AQ34" i="13"/>
  <c r="AQ53" i="13" s="1"/>
  <c r="AR34" i="13"/>
  <c r="AR53" i="13" s="1"/>
  <c r="AS34" i="13"/>
  <c r="AS53" i="13" s="1"/>
  <c r="AG35" i="13"/>
  <c r="AG54" i="13" s="1"/>
  <c r="AH35" i="13"/>
  <c r="AH54" i="13" s="1"/>
  <c r="AI35" i="13"/>
  <c r="AI54" i="13" s="1"/>
  <c r="AJ35" i="13"/>
  <c r="AJ54" i="13" s="1"/>
  <c r="AK35" i="13"/>
  <c r="AK54" i="13" s="1"/>
  <c r="AL35" i="13"/>
  <c r="AL54" i="13" s="1"/>
  <c r="AM35" i="13"/>
  <c r="AM54" i="13" s="1"/>
  <c r="AN35" i="13"/>
  <c r="AN54" i="13" s="1"/>
  <c r="AO35" i="13"/>
  <c r="AO54" i="13" s="1"/>
  <c r="AP35" i="13"/>
  <c r="AP54" i="13" s="1"/>
  <c r="AQ35" i="13"/>
  <c r="AQ54" i="13" s="1"/>
  <c r="AR35" i="13"/>
  <c r="AR54" i="13" s="1"/>
  <c r="AS35" i="13"/>
  <c r="AS54" i="13" s="1"/>
  <c r="AG36" i="13"/>
  <c r="AG55" i="13" s="1"/>
  <c r="AH36" i="13"/>
  <c r="AH55" i="13" s="1"/>
  <c r="AI36" i="13"/>
  <c r="AI55" i="13" s="1"/>
  <c r="AJ36" i="13"/>
  <c r="AJ55" i="13" s="1"/>
  <c r="AK36" i="13"/>
  <c r="AK55" i="13" s="1"/>
  <c r="AL36" i="13"/>
  <c r="AL55" i="13" s="1"/>
  <c r="AM36" i="13"/>
  <c r="AM55" i="13" s="1"/>
  <c r="AN36" i="13"/>
  <c r="AN55" i="13" s="1"/>
  <c r="AO36" i="13"/>
  <c r="AO55" i="13" s="1"/>
  <c r="AP36" i="13"/>
  <c r="AP55" i="13" s="1"/>
  <c r="AQ36" i="13"/>
  <c r="AQ55" i="13" s="1"/>
  <c r="AR36" i="13"/>
  <c r="AR55" i="13" s="1"/>
  <c r="AS36" i="13"/>
  <c r="AS55" i="13" s="1"/>
  <c r="W21" i="13"/>
  <c r="X21" i="13"/>
  <c r="Y21" i="13"/>
  <c r="Z21" i="13"/>
  <c r="AA21" i="13"/>
  <c r="AB21" i="13"/>
  <c r="AC21" i="13"/>
  <c r="AD21" i="13"/>
  <c r="AE21" i="13"/>
  <c r="AF21" i="13"/>
  <c r="W22" i="13"/>
  <c r="W281" i="13" s="1"/>
  <c r="X22" i="13"/>
  <c r="X281" i="13" s="1"/>
  <c r="Y22" i="13"/>
  <c r="Y281" i="13" s="1"/>
  <c r="Z22" i="13"/>
  <c r="Z281" i="13" s="1"/>
  <c r="AA22" i="13"/>
  <c r="AA281" i="13" s="1"/>
  <c r="AB22" i="13"/>
  <c r="AB281" i="13" s="1"/>
  <c r="AC22" i="13"/>
  <c r="AC281" i="13" s="1"/>
  <c r="AD22" i="13"/>
  <c r="AE22" i="13"/>
  <c r="AE281" i="13" s="1"/>
  <c r="AF22" i="13"/>
  <c r="W23" i="13"/>
  <c r="W42" i="13" s="1"/>
  <c r="X23" i="13"/>
  <c r="Y23" i="13"/>
  <c r="Y42" i="13" s="1"/>
  <c r="Z23" i="13"/>
  <c r="Z42" i="13" s="1"/>
  <c r="AA23" i="13"/>
  <c r="AB23" i="13"/>
  <c r="AC23" i="13"/>
  <c r="AD23" i="13"/>
  <c r="AD42" i="13" s="1"/>
  <c r="AE23" i="13"/>
  <c r="AE42" i="13" s="1"/>
  <c r="AF23" i="13"/>
  <c r="W24" i="13"/>
  <c r="W43" i="13" s="1"/>
  <c r="X24" i="13"/>
  <c r="X43" i="13" s="1"/>
  <c r="Y24" i="13"/>
  <c r="Y43" i="13" s="1"/>
  <c r="Z24" i="13"/>
  <c r="Z43" i="13" s="1"/>
  <c r="AA24" i="13"/>
  <c r="AA43" i="13" s="1"/>
  <c r="AB24" i="13"/>
  <c r="AB43" i="13" s="1"/>
  <c r="AC24" i="13"/>
  <c r="AC43" i="13" s="1"/>
  <c r="AD24" i="13"/>
  <c r="AD43" i="13" s="1"/>
  <c r="AE24" i="13"/>
  <c r="AE43" i="13" s="1"/>
  <c r="AF24" i="13"/>
  <c r="AF43" i="13" s="1"/>
  <c r="W25" i="13"/>
  <c r="W44" i="13" s="1"/>
  <c r="X25" i="13"/>
  <c r="X44" i="13" s="1"/>
  <c r="Y25" i="13"/>
  <c r="Y44" i="13" s="1"/>
  <c r="Z25" i="13"/>
  <c r="Z44" i="13" s="1"/>
  <c r="AA25" i="13"/>
  <c r="AA44" i="13" s="1"/>
  <c r="AB25" i="13"/>
  <c r="AB44" i="13" s="1"/>
  <c r="AC25" i="13"/>
  <c r="AC44" i="13" s="1"/>
  <c r="AD25" i="13"/>
  <c r="AD44" i="13" s="1"/>
  <c r="AE25" i="13"/>
  <c r="AE44" i="13" s="1"/>
  <c r="AF25" i="13"/>
  <c r="AF44" i="13" s="1"/>
  <c r="W26" i="13"/>
  <c r="W45" i="13" s="1"/>
  <c r="X26" i="13"/>
  <c r="X45" i="13" s="1"/>
  <c r="Y26" i="13"/>
  <c r="Y45" i="13" s="1"/>
  <c r="Z26" i="13"/>
  <c r="Z45" i="13" s="1"/>
  <c r="AA26" i="13"/>
  <c r="AA45" i="13" s="1"/>
  <c r="AB26" i="13"/>
  <c r="AB45" i="13" s="1"/>
  <c r="AC26" i="13"/>
  <c r="AC45" i="13" s="1"/>
  <c r="AD26" i="13"/>
  <c r="AD45" i="13" s="1"/>
  <c r="AE26" i="13"/>
  <c r="AE45" i="13" s="1"/>
  <c r="AF26" i="13"/>
  <c r="AF45" i="13" s="1"/>
  <c r="W27" i="13"/>
  <c r="W46" i="13" s="1"/>
  <c r="X27" i="13"/>
  <c r="X46" i="13" s="1"/>
  <c r="Y27" i="13"/>
  <c r="Y46" i="13" s="1"/>
  <c r="Z27" i="13"/>
  <c r="Z46" i="13" s="1"/>
  <c r="AA27" i="13"/>
  <c r="AA46" i="13" s="1"/>
  <c r="AB27" i="13"/>
  <c r="AB46" i="13" s="1"/>
  <c r="AC27" i="13"/>
  <c r="AC46" i="13" s="1"/>
  <c r="AD27" i="13"/>
  <c r="AD46" i="13" s="1"/>
  <c r="AE27" i="13"/>
  <c r="AE46" i="13" s="1"/>
  <c r="AF27" i="13"/>
  <c r="AF46" i="13" s="1"/>
  <c r="W28" i="13"/>
  <c r="W47" i="13" s="1"/>
  <c r="X28" i="13"/>
  <c r="X47" i="13" s="1"/>
  <c r="Y28" i="13"/>
  <c r="Y47" i="13" s="1"/>
  <c r="Z28" i="13"/>
  <c r="Z47" i="13" s="1"/>
  <c r="AA28" i="13"/>
  <c r="AA47" i="13" s="1"/>
  <c r="AB28" i="13"/>
  <c r="AB47" i="13" s="1"/>
  <c r="AC28" i="13"/>
  <c r="AC47" i="13" s="1"/>
  <c r="AD28" i="13"/>
  <c r="AD47" i="13" s="1"/>
  <c r="AE28" i="13"/>
  <c r="AE47" i="13" s="1"/>
  <c r="AF28" i="13"/>
  <c r="AF47" i="13" s="1"/>
  <c r="W29" i="13"/>
  <c r="W48" i="13" s="1"/>
  <c r="X29" i="13"/>
  <c r="X48" i="13" s="1"/>
  <c r="Y29" i="13"/>
  <c r="Y48" i="13" s="1"/>
  <c r="Z29" i="13"/>
  <c r="Z48" i="13" s="1"/>
  <c r="AA29" i="13"/>
  <c r="AA48" i="13" s="1"/>
  <c r="AB29" i="13"/>
  <c r="AB48" i="13" s="1"/>
  <c r="AC29" i="13"/>
  <c r="AC48" i="13" s="1"/>
  <c r="AD29" i="13"/>
  <c r="AD48" i="13" s="1"/>
  <c r="AE29" i="13"/>
  <c r="AE48" i="13" s="1"/>
  <c r="AF29" i="13"/>
  <c r="AF48" i="13" s="1"/>
  <c r="W30" i="13"/>
  <c r="W49" i="13" s="1"/>
  <c r="X30" i="13"/>
  <c r="X49" i="13" s="1"/>
  <c r="Y30" i="13"/>
  <c r="Y49" i="13" s="1"/>
  <c r="Z30" i="13"/>
  <c r="Z49" i="13" s="1"/>
  <c r="AA30" i="13"/>
  <c r="AA49" i="13" s="1"/>
  <c r="AB30" i="13"/>
  <c r="AB49" i="13" s="1"/>
  <c r="AC30" i="13"/>
  <c r="AC49" i="13" s="1"/>
  <c r="AD30" i="13"/>
  <c r="AD49" i="13" s="1"/>
  <c r="AE30" i="13"/>
  <c r="AE49" i="13" s="1"/>
  <c r="AF30" i="13"/>
  <c r="AF49" i="13" s="1"/>
  <c r="W31" i="13"/>
  <c r="W50" i="13" s="1"/>
  <c r="X31" i="13"/>
  <c r="X50" i="13" s="1"/>
  <c r="Y31" i="13"/>
  <c r="Y50" i="13" s="1"/>
  <c r="Z31" i="13"/>
  <c r="Z50" i="13" s="1"/>
  <c r="AA31" i="13"/>
  <c r="AA50" i="13" s="1"/>
  <c r="AB31" i="13"/>
  <c r="AB50" i="13" s="1"/>
  <c r="AC31" i="13"/>
  <c r="AC50" i="13" s="1"/>
  <c r="AD31" i="13"/>
  <c r="AD50" i="13" s="1"/>
  <c r="AE31" i="13"/>
  <c r="AE50" i="13" s="1"/>
  <c r="AF31" i="13"/>
  <c r="AF50" i="13" s="1"/>
  <c r="W32" i="13"/>
  <c r="W51" i="13" s="1"/>
  <c r="X32" i="13"/>
  <c r="X51" i="13" s="1"/>
  <c r="Y32" i="13"/>
  <c r="Y51" i="13" s="1"/>
  <c r="Z32" i="13"/>
  <c r="Z51" i="13" s="1"/>
  <c r="AA32" i="13"/>
  <c r="AA51" i="13" s="1"/>
  <c r="AB32" i="13"/>
  <c r="AB51" i="13" s="1"/>
  <c r="AC32" i="13"/>
  <c r="AC51" i="13" s="1"/>
  <c r="AD32" i="13"/>
  <c r="AD51" i="13" s="1"/>
  <c r="AE32" i="13"/>
  <c r="AE51" i="13" s="1"/>
  <c r="AF32" i="13"/>
  <c r="AF51" i="13" s="1"/>
  <c r="W33" i="13"/>
  <c r="W52" i="13" s="1"/>
  <c r="X33" i="13"/>
  <c r="X52" i="13" s="1"/>
  <c r="Y33" i="13"/>
  <c r="Y52" i="13" s="1"/>
  <c r="Z33" i="13"/>
  <c r="Z52" i="13" s="1"/>
  <c r="AA33" i="13"/>
  <c r="AA52" i="13" s="1"/>
  <c r="AB33" i="13"/>
  <c r="AB52" i="13" s="1"/>
  <c r="AC33" i="13"/>
  <c r="AC52" i="13" s="1"/>
  <c r="AD33" i="13"/>
  <c r="AD52" i="13" s="1"/>
  <c r="AE33" i="13"/>
  <c r="AE52" i="13" s="1"/>
  <c r="AF33" i="13"/>
  <c r="AF52" i="13" s="1"/>
  <c r="W34" i="13"/>
  <c r="W53" i="13" s="1"/>
  <c r="X34" i="13"/>
  <c r="X53" i="13" s="1"/>
  <c r="Y34" i="13"/>
  <c r="Y53" i="13" s="1"/>
  <c r="Z34" i="13"/>
  <c r="Z53" i="13" s="1"/>
  <c r="AA34" i="13"/>
  <c r="AA53" i="13" s="1"/>
  <c r="AB34" i="13"/>
  <c r="AB53" i="13" s="1"/>
  <c r="AC34" i="13"/>
  <c r="AC53" i="13" s="1"/>
  <c r="AD34" i="13"/>
  <c r="AD53" i="13" s="1"/>
  <c r="AE34" i="13"/>
  <c r="AE53" i="13" s="1"/>
  <c r="AF34" i="13"/>
  <c r="AF53" i="13" s="1"/>
  <c r="W35" i="13"/>
  <c r="W54" i="13" s="1"/>
  <c r="X35" i="13"/>
  <c r="X54" i="13" s="1"/>
  <c r="Y35" i="13"/>
  <c r="Y54" i="13" s="1"/>
  <c r="Z35" i="13"/>
  <c r="Z54" i="13" s="1"/>
  <c r="AA35" i="13"/>
  <c r="AA54" i="13" s="1"/>
  <c r="AB35" i="13"/>
  <c r="AB54" i="13" s="1"/>
  <c r="AC35" i="13"/>
  <c r="AC54" i="13" s="1"/>
  <c r="AD35" i="13"/>
  <c r="AD54" i="13" s="1"/>
  <c r="AE35" i="13"/>
  <c r="AE54" i="13" s="1"/>
  <c r="AF35" i="13"/>
  <c r="AF54" i="13" s="1"/>
  <c r="W36" i="13"/>
  <c r="W55" i="13" s="1"/>
  <c r="X36" i="13"/>
  <c r="X55" i="13" s="1"/>
  <c r="Y36" i="13"/>
  <c r="Y55" i="13" s="1"/>
  <c r="Z36" i="13"/>
  <c r="Z55" i="13" s="1"/>
  <c r="AA36" i="13"/>
  <c r="AA55" i="13" s="1"/>
  <c r="AB36" i="13"/>
  <c r="AB55" i="13" s="1"/>
  <c r="AC36" i="13"/>
  <c r="AC55" i="13" s="1"/>
  <c r="AD36" i="13"/>
  <c r="AD55" i="13" s="1"/>
  <c r="AE36" i="13"/>
  <c r="AE55" i="13" s="1"/>
  <c r="AF36" i="13"/>
  <c r="AF55" i="13" s="1"/>
  <c r="U21" i="13"/>
  <c r="V21" i="13"/>
  <c r="U22" i="13"/>
  <c r="U281" i="13" s="1"/>
  <c r="V22" i="13"/>
  <c r="V281" i="13" s="1"/>
  <c r="U23" i="13"/>
  <c r="V23" i="13"/>
  <c r="U24" i="13"/>
  <c r="U43" i="13" s="1"/>
  <c r="V24" i="13"/>
  <c r="V43" i="13" s="1"/>
  <c r="U25" i="13"/>
  <c r="U44" i="13" s="1"/>
  <c r="V25" i="13"/>
  <c r="V44" i="13" s="1"/>
  <c r="U26" i="13"/>
  <c r="U45" i="13" s="1"/>
  <c r="V26" i="13"/>
  <c r="V45" i="13" s="1"/>
  <c r="U27" i="13"/>
  <c r="U46" i="13" s="1"/>
  <c r="V27" i="13"/>
  <c r="V46" i="13" s="1"/>
  <c r="U28" i="13"/>
  <c r="U47" i="13" s="1"/>
  <c r="V28" i="13"/>
  <c r="V47" i="13" s="1"/>
  <c r="U29" i="13"/>
  <c r="U48" i="13" s="1"/>
  <c r="V29" i="13"/>
  <c r="V48" i="13" s="1"/>
  <c r="U30" i="13"/>
  <c r="U49" i="13" s="1"/>
  <c r="V30" i="13"/>
  <c r="V49" i="13" s="1"/>
  <c r="U31" i="13"/>
  <c r="U50" i="13" s="1"/>
  <c r="V31" i="13"/>
  <c r="V50" i="13" s="1"/>
  <c r="U32" i="13"/>
  <c r="U51" i="13" s="1"/>
  <c r="V32" i="13"/>
  <c r="V51" i="13" s="1"/>
  <c r="U33" i="13"/>
  <c r="U52" i="13" s="1"/>
  <c r="V33" i="13"/>
  <c r="V52" i="13" s="1"/>
  <c r="U34" i="13"/>
  <c r="U53" i="13" s="1"/>
  <c r="V34" i="13"/>
  <c r="V53" i="13" s="1"/>
  <c r="U35" i="13"/>
  <c r="U54" i="13" s="1"/>
  <c r="V35" i="13"/>
  <c r="V54" i="13" s="1"/>
  <c r="U36" i="13"/>
  <c r="U55" i="13" s="1"/>
  <c r="V36" i="13"/>
  <c r="V55" i="13" s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N42" i="1" s="1"/>
  <c r="O23" i="1"/>
  <c r="O42" i="1" s="1"/>
  <c r="P23" i="1"/>
  <c r="P42" i="1" s="1"/>
  <c r="Q23" i="1"/>
  <c r="R23" i="1"/>
  <c r="R42" i="1" s="1"/>
  <c r="S23" i="1"/>
  <c r="T23" i="1"/>
  <c r="B24" i="1"/>
  <c r="C24" i="1"/>
  <c r="D24" i="1"/>
  <c r="E24" i="1"/>
  <c r="F24" i="1"/>
  <c r="F43" i="1" s="1"/>
  <c r="G24" i="1"/>
  <c r="G43" i="1" s="1"/>
  <c r="H24" i="1"/>
  <c r="H43" i="1" s="1"/>
  <c r="I24" i="1"/>
  <c r="J24" i="1"/>
  <c r="K24" i="1"/>
  <c r="L24" i="1"/>
  <c r="M24" i="1"/>
  <c r="N24" i="1"/>
  <c r="O24" i="1"/>
  <c r="O43" i="1"/>
  <c r="P24" i="1"/>
  <c r="P43" i="1" s="1"/>
  <c r="Q24" i="1"/>
  <c r="R24" i="1"/>
  <c r="S24" i="1"/>
  <c r="S43" i="1"/>
  <c r="T24" i="1"/>
  <c r="T43" i="1" s="1"/>
  <c r="B25" i="1"/>
  <c r="C25" i="1"/>
  <c r="D25" i="1"/>
  <c r="D44" i="1" s="1"/>
  <c r="E25" i="1"/>
  <c r="E44" i="1" s="1"/>
  <c r="F25" i="1"/>
  <c r="F44" i="1" s="1"/>
  <c r="G25" i="1"/>
  <c r="H25" i="1"/>
  <c r="I25" i="1"/>
  <c r="J25" i="1"/>
  <c r="J44" i="1" s="1"/>
  <c r="K25" i="1"/>
  <c r="K44" i="1" s="1"/>
  <c r="L25" i="1"/>
  <c r="M25" i="1"/>
  <c r="N25" i="1"/>
  <c r="N44" i="1" s="1"/>
  <c r="O25" i="1"/>
  <c r="O44" i="1" s="1"/>
  <c r="O61" i="1" s="1"/>
  <c r="O78" i="1" s="1"/>
  <c r="P25" i="1"/>
  <c r="P44" i="1" s="1"/>
  <c r="Q25" i="1"/>
  <c r="R25" i="1"/>
  <c r="S25" i="1"/>
  <c r="T25" i="1"/>
  <c r="T44" i="1"/>
  <c r="B26" i="1"/>
  <c r="B45" i="1" s="1"/>
  <c r="C26" i="1"/>
  <c r="C45" i="1" s="1"/>
  <c r="D26" i="1"/>
  <c r="D45" i="1" s="1"/>
  <c r="E26" i="1"/>
  <c r="E45" i="1" s="1"/>
  <c r="F26" i="1"/>
  <c r="G26" i="1"/>
  <c r="H26" i="1"/>
  <c r="I26" i="1"/>
  <c r="J26" i="1"/>
  <c r="K26" i="1"/>
  <c r="L26" i="1"/>
  <c r="L45" i="1" s="1"/>
  <c r="M26" i="1"/>
  <c r="M45" i="1" s="1"/>
  <c r="N26" i="1"/>
  <c r="O26" i="1"/>
  <c r="O45" i="1" s="1"/>
  <c r="P26" i="1"/>
  <c r="Q26" i="1"/>
  <c r="R26" i="1"/>
  <c r="S26" i="1"/>
  <c r="T26" i="1"/>
  <c r="B27" i="1"/>
  <c r="C27" i="1"/>
  <c r="D27" i="1"/>
  <c r="D46" i="1" s="1"/>
  <c r="E27" i="1"/>
  <c r="E46" i="1" s="1"/>
  <c r="F27" i="1"/>
  <c r="F46" i="1" s="1"/>
  <c r="G27" i="1"/>
  <c r="H27" i="1"/>
  <c r="I27" i="1"/>
  <c r="J27" i="1"/>
  <c r="K27" i="1"/>
  <c r="L27" i="1"/>
  <c r="M27" i="1"/>
  <c r="N27" i="1"/>
  <c r="N46" i="1" s="1"/>
  <c r="O27" i="1"/>
  <c r="O46" i="1" s="1"/>
  <c r="P27" i="1"/>
  <c r="P46" i="1" s="1"/>
  <c r="Q27" i="1"/>
  <c r="R27" i="1"/>
  <c r="R46" i="1"/>
  <c r="S27" i="1"/>
  <c r="T27" i="1"/>
  <c r="B28" i="1"/>
  <c r="C28" i="1"/>
  <c r="D28" i="1"/>
  <c r="E28" i="1"/>
  <c r="E47" i="1" s="1"/>
  <c r="F28" i="1"/>
  <c r="F47" i="1" s="1"/>
  <c r="G28" i="1"/>
  <c r="G47" i="1" s="1"/>
  <c r="H28" i="1"/>
  <c r="I28" i="1"/>
  <c r="J28" i="1"/>
  <c r="K28" i="1"/>
  <c r="L28" i="1"/>
  <c r="M28" i="1"/>
  <c r="N28" i="1"/>
  <c r="O28" i="1"/>
  <c r="O47" i="1"/>
  <c r="O64" i="1" s="1"/>
  <c r="P28" i="1"/>
  <c r="Q28" i="1"/>
  <c r="R28" i="1"/>
  <c r="R47" i="1" s="1"/>
  <c r="S28" i="1"/>
  <c r="S47" i="1"/>
  <c r="T28" i="1"/>
  <c r="T47" i="1" s="1"/>
  <c r="B29" i="1"/>
  <c r="B48" i="1" s="1"/>
  <c r="C29" i="1"/>
  <c r="C48" i="1" s="1"/>
  <c r="D29" i="1"/>
  <c r="D48" i="1" s="1"/>
  <c r="E29" i="1"/>
  <c r="F29" i="1"/>
  <c r="G29" i="1"/>
  <c r="H29" i="1"/>
  <c r="I29" i="1"/>
  <c r="I48" i="1" s="1"/>
  <c r="J29" i="1"/>
  <c r="J48" i="1" s="1"/>
  <c r="K29" i="1"/>
  <c r="K48" i="1" s="1"/>
  <c r="L29" i="1"/>
  <c r="L48" i="1" s="1"/>
  <c r="M29" i="1"/>
  <c r="M48" i="1" s="1"/>
  <c r="N29" i="1"/>
  <c r="O29" i="1"/>
  <c r="P29" i="1"/>
  <c r="P48" i="1"/>
  <c r="Q29" i="1"/>
  <c r="R29" i="1"/>
  <c r="S29" i="1"/>
  <c r="T29" i="1"/>
  <c r="T48" i="1"/>
  <c r="B30" i="1"/>
  <c r="B49" i="1" s="1"/>
  <c r="C30" i="1"/>
  <c r="C49" i="1" s="1"/>
  <c r="D30" i="1"/>
  <c r="E30" i="1"/>
  <c r="F30" i="1"/>
  <c r="G30" i="1"/>
  <c r="H30" i="1"/>
  <c r="I30" i="1"/>
  <c r="J30" i="1"/>
  <c r="J38" i="1" s="1"/>
  <c r="K30" i="1"/>
  <c r="L30" i="1"/>
  <c r="M30" i="1"/>
  <c r="M49" i="1" s="1"/>
  <c r="M56" i="1" s="1"/>
  <c r="N30" i="1"/>
  <c r="N49" i="1" s="1"/>
  <c r="O30" i="1"/>
  <c r="P30" i="1"/>
  <c r="Q30" i="1"/>
  <c r="Q49" i="1"/>
  <c r="R30" i="1"/>
  <c r="S30" i="1"/>
  <c r="T30" i="1"/>
  <c r="B31" i="1"/>
  <c r="C31" i="1"/>
  <c r="D31" i="1"/>
  <c r="D50" i="1" s="1"/>
  <c r="E31" i="1"/>
  <c r="E50" i="1" s="1"/>
  <c r="F31" i="1"/>
  <c r="F50" i="1" s="1"/>
  <c r="G31" i="1"/>
  <c r="G50" i="1" s="1"/>
  <c r="H31" i="1"/>
  <c r="I31" i="1"/>
  <c r="I50" i="1" s="1"/>
  <c r="J31" i="1"/>
  <c r="K31" i="1"/>
  <c r="L31" i="1"/>
  <c r="M31" i="1"/>
  <c r="N31" i="1"/>
  <c r="N50" i="1" s="1"/>
  <c r="O31" i="1"/>
  <c r="O50" i="1" s="1"/>
  <c r="P31" i="1"/>
  <c r="P50" i="1" s="1"/>
  <c r="Q31" i="1"/>
  <c r="Q50" i="1" s="1"/>
  <c r="R31" i="1"/>
  <c r="R50" i="1" s="1"/>
  <c r="S31" i="1"/>
  <c r="T31" i="1"/>
  <c r="B32" i="1"/>
  <c r="C32" i="1"/>
  <c r="D32" i="1"/>
  <c r="E32" i="1"/>
  <c r="F32" i="1"/>
  <c r="F51" i="1" s="1"/>
  <c r="G32" i="1"/>
  <c r="G51" i="1" s="1"/>
  <c r="H32" i="1"/>
  <c r="H51" i="1" s="1"/>
  <c r="I32" i="1"/>
  <c r="I51" i="1" s="1"/>
  <c r="J32" i="1"/>
  <c r="K32" i="1"/>
  <c r="L32" i="1"/>
  <c r="M32" i="1"/>
  <c r="N32" i="1"/>
  <c r="O32" i="1"/>
  <c r="O51" i="1"/>
  <c r="P32" i="1"/>
  <c r="Q32" i="1"/>
  <c r="Q51" i="1" s="1"/>
  <c r="R32" i="1"/>
  <c r="R51" i="1" s="1"/>
  <c r="S32" i="1"/>
  <c r="S51" i="1" s="1"/>
  <c r="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Q52" i="1" s="1"/>
  <c r="R33" i="1"/>
  <c r="S33" i="1"/>
  <c r="T33" i="1"/>
  <c r="B34" i="1"/>
  <c r="C34" i="1"/>
  <c r="C53" i="1" s="1"/>
  <c r="D34" i="1"/>
  <c r="D53" i="1" s="1"/>
  <c r="E34" i="1"/>
  <c r="F34" i="1"/>
  <c r="G34" i="1"/>
  <c r="G53" i="1" s="1"/>
  <c r="H34" i="1"/>
  <c r="H53" i="1" s="1"/>
  <c r="I34" i="1"/>
  <c r="I53" i="1" s="1"/>
  <c r="J34" i="1"/>
  <c r="K34" i="1"/>
  <c r="L34" i="1"/>
  <c r="M34" i="1"/>
  <c r="M53" i="1" s="1"/>
  <c r="N34" i="1"/>
  <c r="N53" i="1" s="1"/>
  <c r="O34" i="1"/>
  <c r="P34" i="1"/>
  <c r="Q34" i="1"/>
  <c r="Q53" i="1" s="1"/>
  <c r="R34" i="1"/>
  <c r="R53" i="1" s="1"/>
  <c r="S34" i="1"/>
  <c r="S53" i="1" s="1"/>
  <c r="T34" i="1"/>
  <c r="B35" i="1"/>
  <c r="C35" i="1"/>
  <c r="D35" i="1"/>
  <c r="D54" i="1" s="1"/>
  <c r="E35" i="1"/>
  <c r="E54" i="1" s="1"/>
  <c r="F35" i="1"/>
  <c r="G35" i="1"/>
  <c r="H35" i="1"/>
  <c r="H54" i="1" s="1"/>
  <c r="I35" i="1"/>
  <c r="I54" i="1" s="1"/>
  <c r="J35" i="1"/>
  <c r="J54" i="1" s="1"/>
  <c r="K35" i="1"/>
  <c r="L35" i="1"/>
  <c r="M35" i="1"/>
  <c r="N35" i="1"/>
  <c r="N54" i="1" s="1"/>
  <c r="O35" i="1"/>
  <c r="O54" i="1" s="1"/>
  <c r="P35" i="1"/>
  <c r="Q35" i="1"/>
  <c r="R35" i="1"/>
  <c r="R54" i="1" s="1"/>
  <c r="S35" i="1"/>
  <c r="S54" i="1" s="1"/>
  <c r="T35" i="1"/>
  <c r="T54" i="1" s="1"/>
  <c r="B36" i="1"/>
  <c r="C36" i="1"/>
  <c r="D36" i="1"/>
  <c r="E36" i="1"/>
  <c r="E55" i="1" s="1"/>
  <c r="F36" i="1"/>
  <c r="F55" i="1" s="1"/>
  <c r="G36" i="1"/>
  <c r="H36" i="1"/>
  <c r="I36" i="1"/>
  <c r="I55" i="1" s="1"/>
  <c r="J36" i="1"/>
  <c r="J55" i="1" s="1"/>
  <c r="K36" i="1"/>
  <c r="K55" i="1" s="1"/>
  <c r="L36" i="1"/>
  <c r="M36" i="1"/>
  <c r="N36" i="1"/>
  <c r="O36" i="1"/>
  <c r="O55" i="1" s="1"/>
  <c r="P36" i="1"/>
  <c r="P55" i="1" s="1"/>
  <c r="Q36" i="1"/>
  <c r="R36" i="1"/>
  <c r="S36" i="1"/>
  <c r="S55" i="1" s="1"/>
  <c r="T36" i="1"/>
  <c r="T55" i="1" s="1"/>
  <c r="B42" i="1"/>
  <c r="C42" i="1"/>
  <c r="H42" i="1"/>
  <c r="I42" i="1"/>
  <c r="J42" i="1"/>
  <c r="K42" i="1"/>
  <c r="L42" i="1"/>
  <c r="M42" i="1"/>
  <c r="S42" i="1"/>
  <c r="T42" i="1"/>
  <c r="B43" i="1"/>
  <c r="C43" i="1"/>
  <c r="D43" i="1"/>
  <c r="E43" i="1"/>
  <c r="I43" i="1"/>
  <c r="J43" i="1"/>
  <c r="K43" i="1"/>
  <c r="L43" i="1"/>
  <c r="M43" i="1"/>
  <c r="N43" i="1"/>
  <c r="Q43" i="1"/>
  <c r="R43" i="1"/>
  <c r="B44" i="1"/>
  <c r="C44" i="1"/>
  <c r="G44" i="1"/>
  <c r="H44" i="1"/>
  <c r="I44" i="1"/>
  <c r="L44" i="1"/>
  <c r="M44" i="1"/>
  <c r="Q44" i="1"/>
  <c r="R44" i="1"/>
  <c r="S44" i="1"/>
  <c r="F45" i="1"/>
  <c r="G45" i="1"/>
  <c r="H45" i="1"/>
  <c r="I45" i="1"/>
  <c r="J45" i="1"/>
  <c r="K45" i="1"/>
  <c r="P45" i="1"/>
  <c r="R45" i="1"/>
  <c r="S45" i="1"/>
  <c r="T45" i="1"/>
  <c r="B46" i="1"/>
  <c r="C46" i="1"/>
  <c r="G46" i="1"/>
  <c r="H46" i="1"/>
  <c r="I46" i="1"/>
  <c r="J46" i="1"/>
  <c r="K46" i="1"/>
  <c r="L46" i="1"/>
  <c r="M46" i="1"/>
  <c r="Q46" i="1"/>
  <c r="S46" i="1"/>
  <c r="T46" i="1"/>
  <c r="B47" i="1"/>
  <c r="C47" i="1"/>
  <c r="D47" i="1"/>
  <c r="H47" i="1"/>
  <c r="I47" i="1"/>
  <c r="J47" i="1"/>
  <c r="K47" i="1"/>
  <c r="L47" i="1"/>
  <c r="M47" i="1"/>
  <c r="N47" i="1"/>
  <c r="P47" i="1"/>
  <c r="Q47" i="1"/>
  <c r="E48" i="1"/>
  <c r="F48" i="1"/>
  <c r="G48" i="1"/>
  <c r="H48" i="1"/>
  <c r="N48" i="1"/>
  <c r="O48" i="1"/>
  <c r="Q48" i="1"/>
  <c r="R48" i="1"/>
  <c r="S48" i="1"/>
  <c r="D49" i="1"/>
  <c r="E49" i="1"/>
  <c r="F49" i="1"/>
  <c r="G49" i="1"/>
  <c r="H49" i="1"/>
  <c r="J49" i="1"/>
  <c r="K49" i="1"/>
  <c r="L49" i="1"/>
  <c r="O49" i="1"/>
  <c r="P49" i="1"/>
  <c r="S49" i="1"/>
  <c r="T49" i="1"/>
  <c r="B50" i="1"/>
  <c r="C50" i="1"/>
  <c r="J50" i="1"/>
  <c r="K50" i="1"/>
  <c r="L50" i="1"/>
  <c r="M50" i="1"/>
  <c r="S50" i="1"/>
  <c r="T50" i="1"/>
  <c r="B51" i="1"/>
  <c r="C51" i="1"/>
  <c r="D51" i="1"/>
  <c r="E51" i="1"/>
  <c r="J51" i="1"/>
  <c r="K51" i="1"/>
  <c r="L51" i="1"/>
  <c r="M51" i="1"/>
  <c r="N51" i="1"/>
  <c r="P51" i="1"/>
  <c r="T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R52" i="1"/>
  <c r="S52" i="1"/>
  <c r="B53" i="1"/>
  <c r="E53" i="1"/>
  <c r="F53" i="1"/>
  <c r="J53" i="1"/>
  <c r="K53" i="1"/>
  <c r="L53" i="1"/>
  <c r="O53" i="1"/>
  <c r="P53" i="1"/>
  <c r="T53" i="1"/>
  <c r="B54" i="1"/>
  <c r="C54" i="1"/>
  <c r="F54" i="1"/>
  <c r="G54" i="1"/>
  <c r="K54" i="1"/>
  <c r="L54" i="1"/>
  <c r="M54" i="1"/>
  <c r="P54" i="1"/>
  <c r="Q54" i="1"/>
  <c r="B55" i="1"/>
  <c r="C55" i="1"/>
  <c r="D55" i="1"/>
  <c r="G55" i="1"/>
  <c r="H55" i="1"/>
  <c r="L55" i="1"/>
  <c r="M55" i="1"/>
  <c r="N55" i="1"/>
  <c r="Q55" i="1"/>
  <c r="R5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B22" i="13"/>
  <c r="B281" i="13" s="1"/>
  <c r="C22" i="13"/>
  <c r="C281" i="13" s="1"/>
  <c r="D22" i="13"/>
  <c r="D281" i="13" s="1"/>
  <c r="E22" i="13"/>
  <c r="E281" i="13" s="1"/>
  <c r="F22" i="13"/>
  <c r="F281" i="13" s="1"/>
  <c r="G22" i="13"/>
  <c r="G281" i="13" s="1"/>
  <c r="H22" i="13"/>
  <c r="H281" i="13" s="1"/>
  <c r="I22" i="13"/>
  <c r="I281" i="13" s="1"/>
  <c r="J22" i="13"/>
  <c r="K22" i="13"/>
  <c r="K281" i="13" s="1"/>
  <c r="L22" i="13"/>
  <c r="L281" i="13" s="1"/>
  <c r="M22" i="13"/>
  <c r="M281" i="13" s="1"/>
  <c r="N22" i="13"/>
  <c r="N281" i="13" s="1"/>
  <c r="O22" i="13"/>
  <c r="O281" i="13" s="1"/>
  <c r="P22" i="13"/>
  <c r="P281" i="13" s="1"/>
  <c r="Q22" i="13"/>
  <c r="Q281" i="13" s="1"/>
  <c r="R22" i="13"/>
  <c r="R281" i="13" s="1"/>
  <c r="S22" i="13"/>
  <c r="S281" i="13" s="1"/>
  <c r="T22" i="13"/>
  <c r="B23" i="13"/>
  <c r="B42" i="13" s="1"/>
  <c r="C23" i="13"/>
  <c r="C42" i="13" s="1"/>
  <c r="D23" i="13"/>
  <c r="E23" i="13"/>
  <c r="E42" i="13" s="1"/>
  <c r="F23" i="13"/>
  <c r="F42" i="13"/>
  <c r="G23" i="13"/>
  <c r="G42" i="13" s="1"/>
  <c r="H23" i="13"/>
  <c r="H42" i="13" s="1"/>
  <c r="I23" i="13"/>
  <c r="I42" i="13"/>
  <c r="J23" i="13"/>
  <c r="K23" i="13"/>
  <c r="K42" i="13" s="1"/>
  <c r="L23" i="13"/>
  <c r="L42" i="13" s="1"/>
  <c r="M23" i="13"/>
  <c r="M42" i="13" s="1"/>
  <c r="M56" i="13" s="1"/>
  <c r="N23" i="13"/>
  <c r="O23" i="13"/>
  <c r="P23" i="13"/>
  <c r="P42" i="13"/>
  <c r="Q23" i="13"/>
  <c r="Q42" i="13" s="1"/>
  <c r="R23" i="13"/>
  <c r="R42" i="13"/>
  <c r="S23" i="13"/>
  <c r="S42" i="13" s="1"/>
  <c r="T23" i="13"/>
  <c r="B24" i="13"/>
  <c r="B43" i="13" s="1"/>
  <c r="C24" i="13"/>
  <c r="D24" i="13"/>
  <c r="D43" i="13" s="1"/>
  <c r="E24" i="13"/>
  <c r="F24" i="13"/>
  <c r="F43" i="13"/>
  <c r="G24" i="13"/>
  <c r="G43" i="13" s="1"/>
  <c r="H24" i="13"/>
  <c r="H43" i="13"/>
  <c r="H56" i="13" s="1"/>
  <c r="I24" i="13"/>
  <c r="J24" i="13"/>
  <c r="J43" i="13" s="1"/>
  <c r="K24" i="13"/>
  <c r="K43" i="13"/>
  <c r="L24" i="13"/>
  <c r="L43" i="13" s="1"/>
  <c r="M24" i="13"/>
  <c r="N24" i="13"/>
  <c r="N43" i="13" s="1"/>
  <c r="O24" i="13"/>
  <c r="O43" i="13" s="1"/>
  <c r="P24" i="13"/>
  <c r="P38" i="13" s="1"/>
  <c r="P43" i="13"/>
  <c r="Q24" i="13"/>
  <c r="Q43" i="13" s="1"/>
  <c r="R24" i="13"/>
  <c r="R43" i="13" s="1"/>
  <c r="S24" i="13"/>
  <c r="S43" i="13"/>
  <c r="T24" i="13"/>
  <c r="T43" i="13"/>
  <c r="B25" i="13"/>
  <c r="C25" i="13"/>
  <c r="C44" i="13"/>
  <c r="D25" i="13"/>
  <c r="E25" i="13"/>
  <c r="E44" i="13" s="1"/>
  <c r="F25" i="13"/>
  <c r="G25" i="13"/>
  <c r="G44" i="13" s="1"/>
  <c r="H25" i="13"/>
  <c r="H44" i="13" s="1"/>
  <c r="I25" i="13"/>
  <c r="I38" i="13" s="1"/>
  <c r="J25" i="13"/>
  <c r="J44" i="13" s="1"/>
  <c r="K25" i="13"/>
  <c r="K44" i="13" s="1"/>
  <c r="L25" i="13"/>
  <c r="L44" i="13"/>
  <c r="M25" i="13"/>
  <c r="M44" i="13"/>
  <c r="N25" i="13"/>
  <c r="O25" i="13"/>
  <c r="O44" i="13" s="1"/>
  <c r="P25" i="13"/>
  <c r="P44" i="13" s="1"/>
  <c r="Q25" i="13"/>
  <c r="Q44" i="13"/>
  <c r="R25" i="13"/>
  <c r="R44" i="13" s="1"/>
  <c r="S25" i="13"/>
  <c r="S44" i="13"/>
  <c r="T25" i="13"/>
  <c r="T44" i="13" s="1"/>
  <c r="B26" i="13"/>
  <c r="C26" i="13"/>
  <c r="C45" i="13"/>
  <c r="D26" i="13"/>
  <c r="D45" i="13" s="1"/>
  <c r="E26" i="13"/>
  <c r="E45" i="13"/>
  <c r="F26" i="13"/>
  <c r="G26" i="13"/>
  <c r="G45" i="13" s="1"/>
  <c r="H26" i="13"/>
  <c r="H45" i="13" s="1"/>
  <c r="I26" i="13"/>
  <c r="I45" i="13" s="1"/>
  <c r="J26" i="13"/>
  <c r="J45" i="13"/>
  <c r="K26" i="13"/>
  <c r="K45" i="13"/>
  <c r="L26" i="13"/>
  <c r="L45" i="13" s="1"/>
  <c r="M26" i="13"/>
  <c r="M45" i="13"/>
  <c r="N26" i="13"/>
  <c r="N45" i="13" s="1"/>
  <c r="O26" i="13"/>
  <c r="O45" i="13" s="1"/>
  <c r="P26" i="13"/>
  <c r="P45" i="13"/>
  <c r="Q26" i="13"/>
  <c r="R26" i="13"/>
  <c r="R45" i="13" s="1"/>
  <c r="S26" i="13"/>
  <c r="S45" i="13"/>
  <c r="T26" i="13"/>
  <c r="T45" i="13" s="1"/>
  <c r="B27" i="13"/>
  <c r="B46" i="13"/>
  <c r="C27" i="13"/>
  <c r="C46" i="13"/>
  <c r="D27" i="13"/>
  <c r="E27" i="13"/>
  <c r="E46" i="13" s="1"/>
  <c r="F27" i="13"/>
  <c r="F46" i="13" s="1"/>
  <c r="G27" i="13"/>
  <c r="G46" i="13"/>
  <c r="H27" i="13"/>
  <c r="H46" i="13"/>
  <c r="I27" i="13"/>
  <c r="I46" i="13" s="1"/>
  <c r="J27" i="13"/>
  <c r="J46" i="13" s="1"/>
  <c r="K27" i="13"/>
  <c r="K46" i="13"/>
  <c r="L27" i="13"/>
  <c r="L46" i="13" s="1"/>
  <c r="M27" i="13"/>
  <c r="M46" i="13"/>
  <c r="N27" i="13"/>
  <c r="N46" i="13" s="1"/>
  <c r="O27" i="13"/>
  <c r="O46" i="13" s="1"/>
  <c r="P27" i="13"/>
  <c r="P46" i="13"/>
  <c r="Q27" i="13"/>
  <c r="Q46" i="13" s="1"/>
  <c r="R27" i="13"/>
  <c r="R46" i="13"/>
  <c r="S27" i="13"/>
  <c r="S46" i="13" s="1"/>
  <c r="T27" i="13"/>
  <c r="T46" i="13" s="1"/>
  <c r="B28" i="13"/>
  <c r="B47" i="13" s="1"/>
  <c r="C28" i="13"/>
  <c r="D28" i="13"/>
  <c r="D47" i="13"/>
  <c r="E28" i="13"/>
  <c r="E47" i="13" s="1"/>
  <c r="F28" i="13"/>
  <c r="F47" i="13" s="1"/>
  <c r="G28" i="13"/>
  <c r="H28" i="13"/>
  <c r="H47" i="13"/>
  <c r="I28" i="13"/>
  <c r="I47" i="13" s="1"/>
  <c r="J28" i="13"/>
  <c r="J47" i="13" s="1"/>
  <c r="K28" i="13"/>
  <c r="L28" i="13"/>
  <c r="L47" i="13" s="1"/>
  <c r="M28" i="13"/>
  <c r="M47" i="13" s="1"/>
  <c r="N28" i="13"/>
  <c r="N47" i="13" s="1"/>
  <c r="O28" i="13"/>
  <c r="P28" i="13"/>
  <c r="P47" i="13" s="1"/>
  <c r="Q28" i="13"/>
  <c r="Q47" i="13" s="1"/>
  <c r="R28" i="13"/>
  <c r="R47" i="13" s="1"/>
  <c r="S28" i="13"/>
  <c r="S47" i="13"/>
  <c r="T28" i="13"/>
  <c r="T47" i="13" s="1"/>
  <c r="B29" i="13"/>
  <c r="B48" i="13"/>
  <c r="C29" i="13"/>
  <c r="C48" i="13" s="1"/>
  <c r="D29" i="13"/>
  <c r="D48" i="13" s="1"/>
  <c r="E29" i="13"/>
  <c r="E48" i="13" s="1"/>
  <c r="F29" i="13"/>
  <c r="F48" i="13" s="1"/>
  <c r="G29" i="13"/>
  <c r="G48" i="13" s="1"/>
  <c r="H29" i="13"/>
  <c r="H48" i="13"/>
  <c r="I29" i="13"/>
  <c r="I48" i="13" s="1"/>
  <c r="J29" i="13"/>
  <c r="J48" i="13"/>
  <c r="K29" i="13"/>
  <c r="K48" i="13" s="1"/>
  <c r="L29" i="13"/>
  <c r="L48" i="13" s="1"/>
  <c r="M29" i="13"/>
  <c r="M48" i="13"/>
  <c r="N29" i="13"/>
  <c r="N48" i="13" s="1"/>
  <c r="O29" i="13"/>
  <c r="O48" i="13" s="1"/>
  <c r="P29" i="13"/>
  <c r="P48" i="13" s="1"/>
  <c r="Q29" i="13"/>
  <c r="Q48" i="13" s="1"/>
  <c r="R29" i="13"/>
  <c r="R48" i="13" s="1"/>
  <c r="S29" i="13"/>
  <c r="S48" i="13" s="1"/>
  <c r="T29" i="13"/>
  <c r="T48" i="13"/>
  <c r="B30" i="13"/>
  <c r="B49" i="13" s="1"/>
  <c r="C30" i="13"/>
  <c r="C49" i="13"/>
  <c r="D30" i="13"/>
  <c r="D49" i="13"/>
  <c r="E30" i="13"/>
  <c r="E49" i="13" s="1"/>
  <c r="F30" i="13"/>
  <c r="F49" i="13" s="1"/>
  <c r="G30" i="13"/>
  <c r="G49" i="13"/>
  <c r="H30" i="13"/>
  <c r="H49" i="13"/>
  <c r="I30" i="13"/>
  <c r="I49" i="13" s="1"/>
  <c r="J30" i="13"/>
  <c r="J49" i="13" s="1"/>
  <c r="K30" i="13"/>
  <c r="K49" i="13"/>
  <c r="L30" i="13"/>
  <c r="L49" i="13" s="1"/>
  <c r="M30" i="13"/>
  <c r="M49" i="13" s="1"/>
  <c r="N30" i="13"/>
  <c r="N49" i="13"/>
  <c r="O30" i="13"/>
  <c r="O49" i="13" s="1"/>
  <c r="P30" i="13"/>
  <c r="P49" i="13" s="1"/>
  <c r="Q30" i="13"/>
  <c r="Q49" i="13"/>
  <c r="R30" i="13"/>
  <c r="R49" i="13" s="1"/>
  <c r="S30" i="13"/>
  <c r="S49" i="13"/>
  <c r="T30" i="13"/>
  <c r="T49" i="13" s="1"/>
  <c r="B31" i="13"/>
  <c r="B50" i="13"/>
  <c r="C31" i="13"/>
  <c r="C50" i="13"/>
  <c r="D31" i="13"/>
  <c r="E31" i="13"/>
  <c r="F31" i="13"/>
  <c r="F50" i="13"/>
  <c r="G31" i="13"/>
  <c r="G50" i="13" s="1"/>
  <c r="H31" i="13"/>
  <c r="I31" i="13"/>
  <c r="I50" i="13" s="1"/>
  <c r="J31" i="13"/>
  <c r="J50" i="13"/>
  <c r="K31" i="13"/>
  <c r="K50" i="13" s="1"/>
  <c r="L31" i="13"/>
  <c r="L50" i="13" s="1"/>
  <c r="M31" i="13"/>
  <c r="M50" i="13"/>
  <c r="N31" i="13"/>
  <c r="N50" i="13"/>
  <c r="O31" i="13"/>
  <c r="O50" i="13"/>
  <c r="P31" i="13"/>
  <c r="P50" i="13"/>
  <c r="Q31" i="13"/>
  <c r="Q50" i="13" s="1"/>
  <c r="R31" i="13"/>
  <c r="R50" i="13"/>
  <c r="S31" i="13"/>
  <c r="S50" i="13" s="1"/>
  <c r="T31" i="13"/>
  <c r="T50" i="13" s="1"/>
  <c r="B32" i="13"/>
  <c r="B51" i="13"/>
  <c r="C32" i="13"/>
  <c r="C51" i="13" s="1"/>
  <c r="D32" i="13"/>
  <c r="D51" i="13" s="1"/>
  <c r="E32" i="13"/>
  <c r="E51" i="13"/>
  <c r="F32" i="13"/>
  <c r="F51" i="13"/>
  <c r="G32" i="13"/>
  <c r="G51" i="13"/>
  <c r="H32" i="13"/>
  <c r="H51" i="13" s="1"/>
  <c r="I32" i="13"/>
  <c r="I51" i="13" s="1"/>
  <c r="J32" i="13"/>
  <c r="J51" i="13"/>
  <c r="K32" i="13"/>
  <c r="K51" i="13" s="1"/>
  <c r="L32" i="13"/>
  <c r="L51" i="13" s="1"/>
  <c r="M32" i="13"/>
  <c r="M51" i="13" s="1"/>
  <c r="N32" i="13"/>
  <c r="N51" i="13"/>
  <c r="O32" i="13"/>
  <c r="O51" i="13" s="1"/>
  <c r="P32" i="13"/>
  <c r="P51" i="13"/>
  <c r="Q32" i="13"/>
  <c r="Q51" i="13"/>
  <c r="R32" i="13"/>
  <c r="R51" i="13" s="1"/>
  <c r="S32" i="13"/>
  <c r="S51" i="13" s="1"/>
  <c r="T32" i="13"/>
  <c r="T51" i="13"/>
  <c r="B33" i="13"/>
  <c r="B52" i="13"/>
  <c r="C33" i="13"/>
  <c r="C52" i="13" s="1"/>
  <c r="D33" i="13"/>
  <c r="D52" i="13" s="1"/>
  <c r="E33" i="13"/>
  <c r="E52" i="13" s="1"/>
  <c r="F33" i="13"/>
  <c r="F52" i="13" s="1"/>
  <c r="G33" i="13"/>
  <c r="G52" i="13" s="1"/>
  <c r="H33" i="13"/>
  <c r="H52" i="13" s="1"/>
  <c r="I33" i="13"/>
  <c r="I52" i="13" s="1"/>
  <c r="J33" i="13"/>
  <c r="J52" i="13" s="1"/>
  <c r="K33" i="13"/>
  <c r="K52" i="13"/>
  <c r="L33" i="13"/>
  <c r="L52" i="13" s="1"/>
  <c r="M33" i="13"/>
  <c r="M52" i="13"/>
  <c r="N33" i="13"/>
  <c r="N52" i="13" s="1"/>
  <c r="O33" i="13"/>
  <c r="O52" i="13" s="1"/>
  <c r="P33" i="13"/>
  <c r="P52" i="13"/>
  <c r="Q33" i="13"/>
  <c r="Q52" i="13" s="1"/>
  <c r="R33" i="13"/>
  <c r="R52" i="13"/>
  <c r="S33" i="13"/>
  <c r="S52" i="13" s="1"/>
  <c r="T33" i="13"/>
  <c r="T52" i="13" s="1"/>
  <c r="B34" i="13"/>
  <c r="B53" i="13" s="1"/>
  <c r="C34" i="13"/>
  <c r="D34" i="13"/>
  <c r="E34" i="13"/>
  <c r="E53" i="13"/>
  <c r="F34" i="13"/>
  <c r="F53" i="13" s="1"/>
  <c r="G34" i="13"/>
  <c r="G53" i="13" s="1"/>
  <c r="H34" i="13"/>
  <c r="H53" i="13"/>
  <c r="I34" i="13"/>
  <c r="I53" i="13" s="1"/>
  <c r="J34" i="13"/>
  <c r="J53" i="13" s="1"/>
  <c r="K34" i="13"/>
  <c r="K53" i="13"/>
  <c r="L34" i="13"/>
  <c r="L53" i="13" s="1"/>
  <c r="M34" i="13"/>
  <c r="M53" i="13"/>
  <c r="N34" i="13"/>
  <c r="N53" i="13" s="1"/>
  <c r="O34" i="13"/>
  <c r="O53" i="13"/>
  <c r="P34" i="13"/>
  <c r="P53" i="13" s="1"/>
  <c r="Q34" i="13"/>
  <c r="Q53" i="13" s="1"/>
  <c r="R34" i="13"/>
  <c r="R53" i="13"/>
  <c r="S34" i="13"/>
  <c r="S53" i="13" s="1"/>
  <c r="T34" i="13"/>
  <c r="T53" i="13"/>
  <c r="B35" i="13"/>
  <c r="B54" i="13"/>
  <c r="C35" i="13"/>
  <c r="C54" i="13" s="1"/>
  <c r="D35" i="13"/>
  <c r="D54" i="13" s="1"/>
  <c r="E35" i="13"/>
  <c r="E54" i="13" s="1"/>
  <c r="F35" i="13"/>
  <c r="F54" i="13"/>
  <c r="G35" i="13"/>
  <c r="G54" i="13" s="1"/>
  <c r="H35" i="13"/>
  <c r="H54" i="13" s="1"/>
  <c r="I35" i="13"/>
  <c r="I54" i="13"/>
  <c r="J35" i="13"/>
  <c r="J54" i="13" s="1"/>
  <c r="K35" i="13"/>
  <c r="K54" i="13" s="1"/>
  <c r="L35" i="13"/>
  <c r="L54" i="13" s="1"/>
  <c r="M35" i="13"/>
  <c r="M54" i="13" s="1"/>
  <c r="N35" i="13"/>
  <c r="N54" i="13" s="1"/>
  <c r="O35" i="13"/>
  <c r="O54" i="13" s="1"/>
  <c r="P35" i="13"/>
  <c r="P54" i="13"/>
  <c r="Q35" i="13"/>
  <c r="Q54" i="13"/>
  <c r="R35" i="13"/>
  <c r="R54" i="13" s="1"/>
  <c r="S35" i="13"/>
  <c r="S54" i="13"/>
  <c r="T35" i="13"/>
  <c r="T54" i="13" s="1"/>
  <c r="B36" i="13"/>
  <c r="B55" i="13"/>
  <c r="C36" i="13"/>
  <c r="C55" i="13"/>
  <c r="D36" i="13"/>
  <c r="E36" i="13"/>
  <c r="E55" i="13" s="1"/>
  <c r="F36" i="13"/>
  <c r="F55" i="13" s="1"/>
  <c r="G36" i="13"/>
  <c r="G55" i="13"/>
  <c r="H36" i="13"/>
  <c r="H55" i="13"/>
  <c r="I36" i="13"/>
  <c r="I55" i="13" s="1"/>
  <c r="J36" i="13"/>
  <c r="J55" i="13"/>
  <c r="K36" i="13"/>
  <c r="K55" i="13" s="1"/>
  <c r="L36" i="13"/>
  <c r="L55" i="13" s="1"/>
  <c r="M36" i="13"/>
  <c r="M55" i="13" s="1"/>
  <c r="N36" i="13"/>
  <c r="N55" i="13" s="1"/>
  <c r="O36" i="13"/>
  <c r="O55" i="13"/>
  <c r="P36" i="13"/>
  <c r="P55" i="13" s="1"/>
  <c r="Q36" i="13"/>
  <c r="Q55" i="13"/>
  <c r="R36" i="13"/>
  <c r="R55" i="13" s="1"/>
  <c r="S36" i="13"/>
  <c r="S55" i="13" s="1"/>
  <c r="T36" i="13"/>
  <c r="T55" i="13"/>
  <c r="D53" i="13"/>
  <c r="B197" i="13"/>
  <c r="B249" i="13"/>
  <c r="B250" i="13" s="1"/>
  <c r="B253" i="13" s="1"/>
  <c r="B254" i="13" s="1"/>
  <c r="B278" i="13"/>
  <c r="C197" i="13"/>
  <c r="C263" i="13" s="1"/>
  <c r="C264" i="13" s="1"/>
  <c r="C265" i="13" s="1"/>
  <c r="C266" i="13" s="1"/>
  <c r="C249" i="13"/>
  <c r="C278" i="13"/>
  <c r="D197" i="13"/>
  <c r="D249" i="13" s="1"/>
  <c r="D278" i="13"/>
  <c r="E197" i="13"/>
  <c r="E249" i="13"/>
  <c r="E278" i="13"/>
  <c r="F197" i="13"/>
  <c r="F278" i="13"/>
  <c r="G197" i="13"/>
  <c r="G249" i="13"/>
  <c r="G278" i="13"/>
  <c r="H197" i="13"/>
  <c r="H249" i="13"/>
  <c r="H250" i="13" s="1"/>
  <c r="H278" i="13"/>
  <c r="I197" i="13"/>
  <c r="I249" i="13" s="1"/>
  <c r="I278" i="13"/>
  <c r="J197" i="13"/>
  <c r="J263" i="13" s="1"/>
  <c r="J269" i="13" s="1"/>
  <c r="J278" i="13"/>
  <c r="K197" i="13"/>
  <c r="K249" i="13"/>
  <c r="K250" i="13" s="1"/>
  <c r="K278" i="13"/>
  <c r="L197" i="13"/>
  <c r="L278" i="13"/>
  <c r="M197" i="13"/>
  <c r="M249" i="13"/>
  <c r="M255" i="13" s="1"/>
  <c r="M258" i="13" s="1"/>
  <c r="M259" i="13" s="1"/>
  <c r="M278" i="13"/>
  <c r="N197" i="13"/>
  <c r="N249" i="13"/>
  <c r="N255" i="13" s="1"/>
  <c r="N260" i="13" s="1"/>
  <c r="N261" i="13" s="1"/>
  <c r="N278" i="13"/>
  <c r="O197" i="13"/>
  <c r="O249" i="13"/>
  <c r="O250" i="13" s="1"/>
  <c r="O251" i="13" s="1"/>
  <c r="O278" i="13"/>
  <c r="P197" i="13"/>
  <c r="P249" i="13" s="1"/>
  <c r="P255" i="13" s="1"/>
  <c r="P250" i="13"/>
  <c r="P251" i="13" s="1"/>
  <c r="P252" i="13" s="1"/>
  <c r="P278" i="13"/>
  <c r="Q197" i="13"/>
  <c r="Q249" i="13" s="1"/>
  <c r="Q278" i="13"/>
  <c r="R197" i="13"/>
  <c r="R249" i="13" s="1"/>
  <c r="R278" i="13"/>
  <c r="S197" i="13"/>
  <c r="S249" i="13" s="1"/>
  <c r="S278" i="13"/>
  <c r="T197" i="13"/>
  <c r="T263" i="13"/>
  <c r="T269" i="13" s="1"/>
  <c r="T278" i="13"/>
  <c r="BN197" i="13"/>
  <c r="BN249" i="13" s="1"/>
  <c r="BN278" i="13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B23" i="14"/>
  <c r="C23" i="14"/>
  <c r="D23" i="14"/>
  <c r="E23" i="14"/>
  <c r="E42" i="14"/>
  <c r="F23" i="14"/>
  <c r="F42" i="14" s="1"/>
  <c r="G23" i="14"/>
  <c r="V23" i="14" s="1"/>
  <c r="H23" i="14"/>
  <c r="H42" i="14" s="1"/>
  <c r="I23" i="14"/>
  <c r="J23" i="14"/>
  <c r="K23" i="14"/>
  <c r="L23" i="14"/>
  <c r="L42" i="14" s="1"/>
  <c r="M23" i="14"/>
  <c r="N23" i="14"/>
  <c r="N42" i="14" s="1"/>
  <c r="O23" i="14"/>
  <c r="P23" i="14"/>
  <c r="P42" i="14" s="1"/>
  <c r="Q23" i="14"/>
  <c r="Q38" i="14" s="1"/>
  <c r="R23" i="14"/>
  <c r="S23" i="14"/>
  <c r="T23" i="14"/>
  <c r="B24" i="14"/>
  <c r="C24" i="14"/>
  <c r="D24" i="14"/>
  <c r="E24" i="14"/>
  <c r="F24" i="14"/>
  <c r="F43" i="14" s="1"/>
  <c r="G24" i="14"/>
  <c r="G43" i="14" s="1"/>
  <c r="H24" i="14"/>
  <c r="I24" i="14"/>
  <c r="J24" i="14"/>
  <c r="K24" i="14"/>
  <c r="L24" i="14"/>
  <c r="M24" i="14"/>
  <c r="N24" i="14"/>
  <c r="O24" i="14"/>
  <c r="P24" i="14"/>
  <c r="P38" i="14" s="1"/>
  <c r="P43" i="14"/>
  <c r="Q24" i="14"/>
  <c r="R24" i="14"/>
  <c r="S24" i="14"/>
  <c r="T24" i="14"/>
  <c r="T43" i="14"/>
  <c r="B25" i="14"/>
  <c r="C25" i="14"/>
  <c r="D25" i="14"/>
  <c r="D44" i="14" s="1"/>
  <c r="E25" i="14"/>
  <c r="E44" i="14" s="1"/>
  <c r="F25" i="14"/>
  <c r="F44" i="14" s="1"/>
  <c r="G25" i="14"/>
  <c r="H25" i="14"/>
  <c r="I25" i="14"/>
  <c r="J25" i="14"/>
  <c r="K25" i="14"/>
  <c r="L25" i="14"/>
  <c r="M25" i="14"/>
  <c r="M44" i="14" s="1"/>
  <c r="N25" i="14"/>
  <c r="O25" i="14"/>
  <c r="O44" i="14" s="1"/>
  <c r="P25" i="14"/>
  <c r="Q25" i="14"/>
  <c r="R25" i="14"/>
  <c r="R44" i="14" s="1"/>
  <c r="S25" i="14"/>
  <c r="S44" i="14" s="1"/>
  <c r="T25" i="14"/>
  <c r="T44" i="14" s="1"/>
  <c r="B26" i="14"/>
  <c r="C26" i="14"/>
  <c r="C45" i="14" s="1"/>
  <c r="D26" i="14"/>
  <c r="D45" i="14" s="1"/>
  <c r="E26" i="14"/>
  <c r="F26" i="14"/>
  <c r="G26" i="14"/>
  <c r="H26" i="14"/>
  <c r="I26" i="14"/>
  <c r="J26" i="14"/>
  <c r="K26" i="14"/>
  <c r="L26" i="14"/>
  <c r="M26" i="14"/>
  <c r="M45" i="14" s="1"/>
  <c r="N26" i="14"/>
  <c r="O26" i="14"/>
  <c r="O45" i="14" s="1"/>
  <c r="P26" i="14"/>
  <c r="Q26" i="14"/>
  <c r="R26" i="14"/>
  <c r="S26" i="14"/>
  <c r="T26" i="14"/>
  <c r="B27" i="14"/>
  <c r="C27" i="14"/>
  <c r="C46" i="14" s="1"/>
  <c r="D27" i="14"/>
  <c r="U27" i="14"/>
  <c r="U46" i="14" s="1"/>
  <c r="E27" i="14"/>
  <c r="F27" i="14"/>
  <c r="G27" i="14"/>
  <c r="H27" i="14"/>
  <c r="H46" i="14" s="1"/>
  <c r="I27" i="14"/>
  <c r="I46" i="14"/>
  <c r="J27" i="14"/>
  <c r="J46" i="14" s="1"/>
  <c r="K27" i="14"/>
  <c r="K46" i="14" s="1"/>
  <c r="L27" i="14"/>
  <c r="L46" i="14" s="1"/>
  <c r="M27" i="14"/>
  <c r="M46" i="14" s="1"/>
  <c r="N27" i="14"/>
  <c r="O27" i="14"/>
  <c r="P27" i="14"/>
  <c r="P46" i="14" s="1"/>
  <c r="Q27" i="14"/>
  <c r="R27" i="14"/>
  <c r="S27" i="14"/>
  <c r="T27" i="14"/>
  <c r="T46" i="14" s="1"/>
  <c r="B28" i="14"/>
  <c r="C28" i="14"/>
  <c r="D28" i="14"/>
  <c r="D47" i="14" s="1"/>
  <c r="E28" i="14"/>
  <c r="E47" i="14" s="1"/>
  <c r="F28" i="14"/>
  <c r="F47" i="14"/>
  <c r="G28" i="14"/>
  <c r="G47" i="14" s="1"/>
  <c r="H28" i="14"/>
  <c r="H47" i="14" s="1"/>
  <c r="I28" i="14"/>
  <c r="I47" i="14" s="1"/>
  <c r="J28" i="14"/>
  <c r="J47" i="14" s="1"/>
  <c r="K28" i="14"/>
  <c r="L28" i="14"/>
  <c r="M28" i="14"/>
  <c r="N28" i="14"/>
  <c r="N47" i="14"/>
  <c r="O28" i="14"/>
  <c r="O47" i="14"/>
  <c r="P28" i="14"/>
  <c r="P47" i="14" s="1"/>
  <c r="Q28" i="14"/>
  <c r="R28" i="14"/>
  <c r="S28" i="14"/>
  <c r="S47" i="14"/>
  <c r="T28" i="14"/>
  <c r="T47" i="14" s="1"/>
  <c r="B29" i="14"/>
  <c r="B48" i="14" s="1"/>
  <c r="C29" i="14"/>
  <c r="D29" i="14"/>
  <c r="D48" i="14" s="1"/>
  <c r="E29" i="14"/>
  <c r="E48" i="14" s="1"/>
  <c r="F29" i="14"/>
  <c r="G29" i="14"/>
  <c r="G48" i="14"/>
  <c r="H29" i="14"/>
  <c r="I29" i="14"/>
  <c r="J29" i="14"/>
  <c r="K29" i="14"/>
  <c r="K48" i="14"/>
  <c r="L29" i="14"/>
  <c r="M29" i="14"/>
  <c r="N29" i="14"/>
  <c r="O29" i="14"/>
  <c r="O48" i="14"/>
  <c r="P29" i="14"/>
  <c r="P48" i="14" s="1"/>
  <c r="Q29" i="14"/>
  <c r="Q48" i="14" s="1"/>
  <c r="R29" i="14"/>
  <c r="R48" i="14"/>
  <c r="S29" i="14"/>
  <c r="S48" i="14" s="1"/>
  <c r="T29" i="14"/>
  <c r="T48" i="14" s="1"/>
  <c r="T56" i="14" s="1"/>
  <c r="B30" i="14"/>
  <c r="B49" i="14" s="1"/>
  <c r="C30" i="14"/>
  <c r="D30" i="14"/>
  <c r="E30" i="14"/>
  <c r="E49" i="14"/>
  <c r="F30" i="14"/>
  <c r="G30" i="14"/>
  <c r="H30" i="14"/>
  <c r="H49" i="14" s="1"/>
  <c r="I30" i="14"/>
  <c r="I49" i="14"/>
  <c r="J30" i="14"/>
  <c r="J49" i="14" s="1"/>
  <c r="K30" i="14"/>
  <c r="K49" i="14" s="1"/>
  <c r="L30" i="14"/>
  <c r="M30" i="14"/>
  <c r="M49" i="14"/>
  <c r="N30" i="14"/>
  <c r="O30" i="14"/>
  <c r="P30" i="14"/>
  <c r="Q30" i="14"/>
  <c r="Q49" i="14"/>
  <c r="R30" i="14"/>
  <c r="S30" i="14"/>
  <c r="T30" i="14"/>
  <c r="T49" i="14"/>
  <c r="B31" i="14"/>
  <c r="C31" i="14"/>
  <c r="C50" i="14" s="1"/>
  <c r="D31" i="14"/>
  <c r="D50" i="14" s="1"/>
  <c r="E31" i="14"/>
  <c r="E50" i="14" s="1"/>
  <c r="F31" i="14"/>
  <c r="F50" i="14" s="1"/>
  <c r="G31" i="14"/>
  <c r="G50" i="14" s="1"/>
  <c r="H31" i="14"/>
  <c r="I31" i="14"/>
  <c r="J31" i="14"/>
  <c r="K31" i="14"/>
  <c r="K50" i="14" s="1"/>
  <c r="L31" i="14"/>
  <c r="M31" i="14"/>
  <c r="N31" i="14"/>
  <c r="O31" i="14"/>
  <c r="O50" i="14" s="1"/>
  <c r="P31" i="14"/>
  <c r="P50" i="14"/>
  <c r="Q31" i="14"/>
  <c r="R31" i="14"/>
  <c r="R50" i="14" s="1"/>
  <c r="S31" i="14"/>
  <c r="S50" i="14" s="1"/>
  <c r="T31" i="14"/>
  <c r="T50" i="14"/>
  <c r="B32" i="14"/>
  <c r="C32" i="14"/>
  <c r="D32" i="14"/>
  <c r="E32" i="14"/>
  <c r="F32" i="14"/>
  <c r="G32" i="14"/>
  <c r="H32" i="14"/>
  <c r="H51" i="14"/>
  <c r="I32" i="14"/>
  <c r="I51" i="14" s="1"/>
  <c r="J32" i="14"/>
  <c r="K32" i="14"/>
  <c r="L32" i="14"/>
  <c r="L51" i="14"/>
  <c r="M32" i="14"/>
  <c r="N32" i="14"/>
  <c r="N51" i="14" s="1"/>
  <c r="O32" i="14"/>
  <c r="O51" i="14"/>
  <c r="P32" i="14"/>
  <c r="P51" i="14" s="1"/>
  <c r="Q32" i="14"/>
  <c r="Q51" i="14" s="1"/>
  <c r="R32" i="14"/>
  <c r="S32" i="14"/>
  <c r="S51" i="14"/>
  <c r="T32" i="14"/>
  <c r="B33" i="14"/>
  <c r="C33" i="14"/>
  <c r="D33" i="14"/>
  <c r="E33" i="14"/>
  <c r="V33" i="14" s="1"/>
  <c r="F33" i="14"/>
  <c r="G33" i="14"/>
  <c r="H33" i="14"/>
  <c r="I33" i="14"/>
  <c r="I52" i="14" s="1"/>
  <c r="J33" i="14"/>
  <c r="J52" i="14" s="1"/>
  <c r="K33" i="14"/>
  <c r="K52" i="14" s="1"/>
  <c r="L33" i="14"/>
  <c r="L52" i="14" s="1"/>
  <c r="M33" i="14"/>
  <c r="M52" i="14" s="1"/>
  <c r="N33" i="14"/>
  <c r="O33" i="14"/>
  <c r="P33" i="14"/>
  <c r="Q33" i="14"/>
  <c r="Q52" i="14" s="1"/>
  <c r="R33" i="14"/>
  <c r="S33" i="14"/>
  <c r="T33" i="14"/>
  <c r="T52" i="14" s="1"/>
  <c r="U33" i="14"/>
  <c r="U52" i="14" s="1"/>
  <c r="B34" i="14"/>
  <c r="C34" i="14"/>
  <c r="D34" i="14"/>
  <c r="D53" i="14"/>
  <c r="E34" i="14"/>
  <c r="E53" i="14" s="1"/>
  <c r="F34" i="14"/>
  <c r="G34" i="14"/>
  <c r="H34" i="14"/>
  <c r="V34" i="14" s="1"/>
  <c r="I34" i="14"/>
  <c r="I53" i="14" s="1"/>
  <c r="J34" i="14"/>
  <c r="K34" i="14"/>
  <c r="L34" i="14"/>
  <c r="L53" i="14"/>
  <c r="M34" i="14"/>
  <c r="N34" i="14"/>
  <c r="O34" i="14"/>
  <c r="O53" i="14" s="1"/>
  <c r="P34" i="14"/>
  <c r="P53" i="14" s="1"/>
  <c r="Q34" i="14"/>
  <c r="Q53" i="14" s="1"/>
  <c r="R34" i="14"/>
  <c r="R53" i="14" s="1"/>
  <c r="S34" i="14"/>
  <c r="T34" i="14"/>
  <c r="T53" i="14"/>
  <c r="B35" i="14"/>
  <c r="C35" i="14"/>
  <c r="D35" i="14"/>
  <c r="D54" i="14" s="1"/>
  <c r="E35" i="14"/>
  <c r="E54" i="14" s="1"/>
  <c r="F35" i="14"/>
  <c r="G35" i="14"/>
  <c r="G54" i="14"/>
  <c r="H35" i="14"/>
  <c r="I35" i="14"/>
  <c r="J35" i="14"/>
  <c r="J54" i="14" s="1"/>
  <c r="K35" i="14"/>
  <c r="K54" i="14"/>
  <c r="L35" i="14"/>
  <c r="L54" i="14" s="1"/>
  <c r="M35" i="14"/>
  <c r="M54" i="14" s="1"/>
  <c r="N35" i="14"/>
  <c r="O35" i="14"/>
  <c r="O54" i="14"/>
  <c r="P35" i="14"/>
  <c r="Q35" i="14"/>
  <c r="Q54" i="14" s="1"/>
  <c r="R35" i="14"/>
  <c r="S35" i="14"/>
  <c r="S54" i="14"/>
  <c r="T35" i="14"/>
  <c r="B36" i="14"/>
  <c r="B55" i="14" s="1"/>
  <c r="C36" i="14"/>
  <c r="D36" i="14"/>
  <c r="E36" i="14"/>
  <c r="F36" i="14"/>
  <c r="F55" i="14" s="1"/>
  <c r="G36" i="14"/>
  <c r="G55" i="14" s="1"/>
  <c r="H36" i="14"/>
  <c r="H55" i="14" s="1"/>
  <c r="I36" i="14"/>
  <c r="I55" i="14" s="1"/>
  <c r="J36" i="14"/>
  <c r="J55" i="14"/>
  <c r="K36" i="14"/>
  <c r="L36" i="14"/>
  <c r="M36" i="14"/>
  <c r="N36" i="14"/>
  <c r="N55" i="14" s="1"/>
  <c r="O36" i="14"/>
  <c r="P36" i="14"/>
  <c r="Q36" i="14"/>
  <c r="R36" i="14"/>
  <c r="R55" i="14"/>
  <c r="S36" i="14"/>
  <c r="T36" i="14"/>
  <c r="B42" i="14"/>
  <c r="C42" i="14"/>
  <c r="D42" i="14"/>
  <c r="J42" i="14"/>
  <c r="K42" i="14"/>
  <c r="O42" i="14"/>
  <c r="R42" i="14"/>
  <c r="S42" i="14"/>
  <c r="B43" i="14"/>
  <c r="C43" i="14"/>
  <c r="E43" i="14"/>
  <c r="I43" i="14"/>
  <c r="J43" i="14"/>
  <c r="K43" i="14"/>
  <c r="M43" i="14"/>
  <c r="N43" i="14"/>
  <c r="Q43" i="14"/>
  <c r="R43" i="14"/>
  <c r="R56" i="14" s="1"/>
  <c r="B44" i="14"/>
  <c r="H44" i="14"/>
  <c r="I44" i="14"/>
  <c r="J44" i="14"/>
  <c r="L44" i="14"/>
  <c r="N44" i="14"/>
  <c r="P44" i="14"/>
  <c r="Q44" i="14"/>
  <c r="E45" i="14"/>
  <c r="G45" i="14"/>
  <c r="H45" i="14"/>
  <c r="I45" i="14"/>
  <c r="K45" i="14"/>
  <c r="L45" i="14"/>
  <c r="P45" i="14"/>
  <c r="S45" i="14"/>
  <c r="T45" i="14"/>
  <c r="B46" i="14"/>
  <c r="D46" i="14"/>
  <c r="F46" i="14"/>
  <c r="G46" i="14"/>
  <c r="N46" i="14"/>
  <c r="O46" i="14"/>
  <c r="Q46" i="14"/>
  <c r="R46" i="14"/>
  <c r="S46" i="14"/>
  <c r="C47" i="14"/>
  <c r="K47" i="14"/>
  <c r="L47" i="14"/>
  <c r="M47" i="14"/>
  <c r="Q47" i="14"/>
  <c r="R47" i="14"/>
  <c r="F48" i="14"/>
  <c r="H48" i="14"/>
  <c r="I48" i="14"/>
  <c r="J48" i="14"/>
  <c r="L48" i="14"/>
  <c r="M48" i="14"/>
  <c r="N48" i="14"/>
  <c r="C49" i="14"/>
  <c r="D49" i="14"/>
  <c r="F49" i="14"/>
  <c r="G49" i="14"/>
  <c r="L49" i="14"/>
  <c r="N49" i="14"/>
  <c r="O49" i="14"/>
  <c r="P49" i="14"/>
  <c r="R49" i="14"/>
  <c r="S49" i="14"/>
  <c r="B50" i="14"/>
  <c r="H50" i="14"/>
  <c r="I50" i="14"/>
  <c r="J50" i="14"/>
  <c r="L50" i="14"/>
  <c r="M50" i="14"/>
  <c r="N50" i="14"/>
  <c r="Q50" i="14"/>
  <c r="B51" i="14"/>
  <c r="C51" i="14"/>
  <c r="E51" i="14"/>
  <c r="F51" i="14"/>
  <c r="G51" i="14"/>
  <c r="J51" i="14"/>
  <c r="K51" i="14"/>
  <c r="M51" i="14"/>
  <c r="R51" i="14"/>
  <c r="T51" i="14"/>
  <c r="B52" i="14"/>
  <c r="C52" i="14"/>
  <c r="D52" i="14"/>
  <c r="F52" i="14"/>
  <c r="G52" i="14"/>
  <c r="H52" i="14"/>
  <c r="N52" i="14"/>
  <c r="O52" i="14"/>
  <c r="P52" i="14"/>
  <c r="R52" i="14"/>
  <c r="S52" i="14"/>
  <c r="B53" i="14"/>
  <c r="C53" i="14"/>
  <c r="F53" i="14"/>
  <c r="G53" i="14"/>
  <c r="J53" i="14"/>
  <c r="K53" i="14"/>
  <c r="M53" i="14"/>
  <c r="N53" i="14"/>
  <c r="S53" i="14"/>
  <c r="B54" i="14"/>
  <c r="F54" i="14"/>
  <c r="H54" i="14"/>
  <c r="I54" i="14"/>
  <c r="N54" i="14"/>
  <c r="P54" i="14"/>
  <c r="R54" i="14"/>
  <c r="T54" i="14"/>
  <c r="C55" i="14"/>
  <c r="D55" i="14"/>
  <c r="E55" i="14"/>
  <c r="K55" i="14"/>
  <c r="L55" i="14"/>
  <c r="M55" i="14"/>
  <c r="O55" i="14"/>
  <c r="P55" i="14"/>
  <c r="Q55" i="14"/>
  <c r="S55" i="14"/>
  <c r="T55" i="14"/>
  <c r="B278" i="14"/>
  <c r="C278" i="14"/>
  <c r="D278" i="14"/>
  <c r="E278" i="14"/>
  <c r="F278" i="14"/>
  <c r="G278" i="14"/>
  <c r="H278" i="14"/>
  <c r="I278" i="14"/>
  <c r="J278" i="14"/>
  <c r="K278" i="14"/>
  <c r="L278" i="14"/>
  <c r="M278" i="14"/>
  <c r="N278" i="14"/>
  <c r="O278" i="14"/>
  <c r="P278" i="14"/>
  <c r="Q278" i="14"/>
  <c r="R278" i="14"/>
  <c r="S278" i="14"/>
  <c r="T278" i="14"/>
  <c r="U278" i="14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B23" i="15"/>
  <c r="B42" i="15" s="1"/>
  <c r="B60" i="15" s="1"/>
  <c r="C23" i="15"/>
  <c r="D23" i="15"/>
  <c r="D42" i="15" s="1"/>
  <c r="D60" i="15" s="1"/>
  <c r="E23" i="15"/>
  <c r="E42" i="15" s="1"/>
  <c r="E60" i="15" s="1"/>
  <c r="F23" i="15"/>
  <c r="F42" i="15" s="1"/>
  <c r="F60" i="15" s="1"/>
  <c r="G23" i="15"/>
  <c r="H23" i="15"/>
  <c r="H42" i="15" s="1"/>
  <c r="H60" i="15" s="1"/>
  <c r="I23" i="15"/>
  <c r="I42" i="15" s="1"/>
  <c r="I60" i="15" s="1"/>
  <c r="J23" i="15"/>
  <c r="J42" i="15" s="1"/>
  <c r="J60" i="15" s="1"/>
  <c r="K23" i="15"/>
  <c r="K42" i="15" s="1"/>
  <c r="K60" i="15" s="1"/>
  <c r="L23" i="15"/>
  <c r="L42" i="15" s="1"/>
  <c r="L60" i="15" s="1"/>
  <c r="M23" i="15"/>
  <c r="M42" i="15" s="1"/>
  <c r="M60" i="15" s="1"/>
  <c r="N23" i="15"/>
  <c r="N42" i="15" s="1"/>
  <c r="N60" i="15" s="1"/>
  <c r="O23" i="15"/>
  <c r="O42" i="15" s="1"/>
  <c r="O60" i="15" s="1"/>
  <c r="P23" i="15"/>
  <c r="Q23" i="15"/>
  <c r="Q42" i="15" s="1"/>
  <c r="Q60" i="15" s="1"/>
  <c r="R23" i="15"/>
  <c r="R42" i="15" s="1"/>
  <c r="R60" i="15" s="1"/>
  <c r="S23" i="15"/>
  <c r="S42" i="15" s="1"/>
  <c r="S60" i="15" s="1"/>
  <c r="T23" i="15"/>
  <c r="T42" i="15" s="1"/>
  <c r="T60" i="15" s="1"/>
  <c r="B24" i="15"/>
  <c r="B43" i="15" s="1"/>
  <c r="B61" i="15" s="1"/>
  <c r="C24" i="15"/>
  <c r="C43" i="15" s="1"/>
  <c r="C61" i="15" s="1"/>
  <c r="D24" i="15"/>
  <c r="E24" i="15"/>
  <c r="E43" i="15" s="1"/>
  <c r="E61" i="15" s="1"/>
  <c r="F24" i="15"/>
  <c r="F43" i="15" s="1"/>
  <c r="F61" i="15" s="1"/>
  <c r="G24" i="15"/>
  <c r="G43" i="15" s="1"/>
  <c r="G61" i="15" s="1"/>
  <c r="H24" i="15"/>
  <c r="H43" i="15" s="1"/>
  <c r="H61" i="15" s="1"/>
  <c r="I24" i="15"/>
  <c r="I43" i="15" s="1"/>
  <c r="I61" i="15" s="1"/>
  <c r="J24" i="15"/>
  <c r="J43" i="15" s="1"/>
  <c r="J61" i="15" s="1"/>
  <c r="K24" i="15"/>
  <c r="K43" i="15" s="1"/>
  <c r="K61" i="15" s="1"/>
  <c r="L24" i="15"/>
  <c r="M24" i="15"/>
  <c r="M43" i="15" s="1"/>
  <c r="M61" i="15" s="1"/>
  <c r="N24" i="15"/>
  <c r="N43" i="15" s="1"/>
  <c r="N61" i="15" s="1"/>
  <c r="O24" i="15"/>
  <c r="O43" i="15" s="1"/>
  <c r="O61" i="15" s="1"/>
  <c r="P24" i="15"/>
  <c r="P43" i="15" s="1"/>
  <c r="P61" i="15" s="1"/>
  <c r="Q24" i="15"/>
  <c r="R24" i="15"/>
  <c r="R43" i="15" s="1"/>
  <c r="R61" i="15" s="1"/>
  <c r="S24" i="15"/>
  <c r="S43" i="15" s="1"/>
  <c r="S61" i="15" s="1"/>
  <c r="T24" i="15"/>
  <c r="T43" i="15" s="1"/>
  <c r="B25" i="15"/>
  <c r="B44" i="15" s="1"/>
  <c r="B62" i="15" s="1"/>
  <c r="C25" i="15"/>
  <c r="C44" i="15" s="1"/>
  <c r="C62" i="15" s="1"/>
  <c r="D25" i="15"/>
  <c r="D44" i="15" s="1"/>
  <c r="D62" i="15" s="1"/>
  <c r="E25" i="15"/>
  <c r="E44" i="15" s="1"/>
  <c r="E62" i="15" s="1"/>
  <c r="F25" i="15"/>
  <c r="F44" i="15" s="1"/>
  <c r="F62" i="15" s="1"/>
  <c r="G25" i="15"/>
  <c r="G44" i="15" s="1"/>
  <c r="G62" i="15" s="1"/>
  <c r="H25" i="15"/>
  <c r="H44" i="15" s="1"/>
  <c r="H62" i="15" s="1"/>
  <c r="I25" i="15"/>
  <c r="J25" i="15"/>
  <c r="J44" i="15" s="1"/>
  <c r="J62" i="15" s="1"/>
  <c r="K25" i="15"/>
  <c r="K44" i="15" s="1"/>
  <c r="K62" i="15" s="1"/>
  <c r="L25" i="15"/>
  <c r="L44" i="15" s="1"/>
  <c r="L62" i="15" s="1"/>
  <c r="M25" i="15"/>
  <c r="M44" i="15" s="1"/>
  <c r="M62" i="15" s="1"/>
  <c r="N25" i="15"/>
  <c r="N44" i="15" s="1"/>
  <c r="N62" i="15" s="1"/>
  <c r="O25" i="15"/>
  <c r="O44" i="15" s="1"/>
  <c r="O62" i="15" s="1"/>
  <c r="P25" i="15"/>
  <c r="P44" i="15" s="1"/>
  <c r="P62" i="15" s="1"/>
  <c r="Q25" i="15"/>
  <c r="Q44" i="15" s="1"/>
  <c r="Q62" i="15" s="1"/>
  <c r="R25" i="15"/>
  <c r="R44" i="15" s="1"/>
  <c r="R62" i="15" s="1"/>
  <c r="S25" i="15"/>
  <c r="S44" i="15" s="1"/>
  <c r="S62" i="15" s="1"/>
  <c r="T25" i="15"/>
  <c r="T44" i="15" s="1"/>
  <c r="T62" i="15" s="1"/>
  <c r="B26" i="15"/>
  <c r="B45" i="15" s="1"/>
  <c r="B63" i="15" s="1"/>
  <c r="C26" i="15"/>
  <c r="C45" i="15" s="1"/>
  <c r="C63" i="15" s="1"/>
  <c r="D26" i="15"/>
  <c r="D45" i="15" s="1"/>
  <c r="D63" i="15" s="1"/>
  <c r="E26" i="15"/>
  <c r="F26" i="15"/>
  <c r="F45" i="15" s="1"/>
  <c r="G26" i="15"/>
  <c r="G45" i="15" s="1"/>
  <c r="G63" i="15" s="1"/>
  <c r="H26" i="15"/>
  <c r="H45" i="15" s="1"/>
  <c r="H63" i="15" s="1"/>
  <c r="I26" i="15"/>
  <c r="I45" i="15" s="1"/>
  <c r="I63" i="15" s="1"/>
  <c r="J26" i="15"/>
  <c r="J45" i="15" s="1"/>
  <c r="J63" i="15" s="1"/>
  <c r="K26" i="15"/>
  <c r="K45" i="15" s="1"/>
  <c r="K63" i="15" s="1"/>
  <c r="L26" i="15"/>
  <c r="L45" i="15" s="1"/>
  <c r="L63" i="15" s="1"/>
  <c r="M26" i="15"/>
  <c r="M45" i="15" s="1"/>
  <c r="M63" i="15" s="1"/>
  <c r="N26" i="15"/>
  <c r="N45" i="15" s="1"/>
  <c r="N63" i="15" s="1"/>
  <c r="O26" i="15"/>
  <c r="O45" i="15" s="1"/>
  <c r="O63" i="15" s="1"/>
  <c r="P26" i="15"/>
  <c r="P45" i="15" s="1"/>
  <c r="P63" i="15" s="1"/>
  <c r="Q26" i="15"/>
  <c r="Q45" i="15" s="1"/>
  <c r="Q63" i="15" s="1"/>
  <c r="R26" i="15"/>
  <c r="R45" i="15" s="1"/>
  <c r="R63" i="15" s="1"/>
  <c r="S26" i="15"/>
  <c r="S45" i="15" s="1"/>
  <c r="S63" i="15" s="1"/>
  <c r="T26" i="15"/>
  <c r="T45" i="15" s="1"/>
  <c r="T63" i="15" s="1"/>
  <c r="B27" i="15"/>
  <c r="C27" i="15"/>
  <c r="D27" i="15"/>
  <c r="D47" i="15" s="1"/>
  <c r="D65" i="15" s="1"/>
  <c r="E27" i="15"/>
  <c r="E46" i="15" s="1"/>
  <c r="E64" i="15" s="1"/>
  <c r="F27" i="15"/>
  <c r="F46" i="15" s="1"/>
  <c r="F64" i="15" s="1"/>
  <c r="G27" i="15"/>
  <c r="G46" i="15" s="1"/>
  <c r="G64" i="15" s="1"/>
  <c r="H27" i="15"/>
  <c r="H46" i="15" s="1"/>
  <c r="H64" i="15" s="1"/>
  <c r="I27" i="15"/>
  <c r="I47" i="15" s="1"/>
  <c r="I65" i="15" s="1"/>
  <c r="J27" i="15"/>
  <c r="J46" i="15" s="1"/>
  <c r="J64" i="15" s="1"/>
  <c r="K27" i="15"/>
  <c r="K46" i="15" s="1"/>
  <c r="K64" i="15" s="1"/>
  <c r="L27" i="15"/>
  <c r="L47" i="15" s="1"/>
  <c r="L65" i="15" s="1"/>
  <c r="M27" i="15"/>
  <c r="M46" i="15" s="1"/>
  <c r="M64" i="15" s="1"/>
  <c r="N27" i="15"/>
  <c r="N46" i="15" s="1"/>
  <c r="N64" i="15" s="1"/>
  <c r="O27" i="15"/>
  <c r="O47" i="15" s="1"/>
  <c r="O65" i="15" s="1"/>
  <c r="P27" i="15"/>
  <c r="P46" i="15" s="1"/>
  <c r="P64" i="15" s="1"/>
  <c r="Q27" i="15"/>
  <c r="Q46" i="15" s="1"/>
  <c r="Q64" i="15" s="1"/>
  <c r="R27" i="15"/>
  <c r="R46" i="15" s="1"/>
  <c r="R64" i="15" s="1"/>
  <c r="S27" i="15"/>
  <c r="S46" i="15" s="1"/>
  <c r="S64" i="15" s="1"/>
  <c r="T27" i="15"/>
  <c r="T47" i="15" s="1"/>
  <c r="T65" i="15" s="1"/>
  <c r="B28" i="15"/>
  <c r="B48" i="15" s="1"/>
  <c r="B66" i="15" s="1"/>
  <c r="C28" i="15"/>
  <c r="C48" i="15" s="1"/>
  <c r="C66" i="15" s="1"/>
  <c r="D28" i="15"/>
  <c r="D48" i="15" s="1"/>
  <c r="D66" i="15" s="1"/>
  <c r="E28" i="15"/>
  <c r="E48" i="15" s="1"/>
  <c r="E66" i="15" s="1"/>
  <c r="F28" i="15"/>
  <c r="F48" i="15" s="1"/>
  <c r="F66" i="15" s="1"/>
  <c r="G28" i="15"/>
  <c r="G48" i="15" s="1"/>
  <c r="G66" i="15" s="1"/>
  <c r="H28" i="15"/>
  <c r="H48" i="15" s="1"/>
  <c r="H66" i="15" s="1"/>
  <c r="I28" i="15"/>
  <c r="I48" i="15" s="1"/>
  <c r="I66" i="15" s="1"/>
  <c r="J28" i="15"/>
  <c r="J48" i="15" s="1"/>
  <c r="K28" i="15"/>
  <c r="K48" i="15" s="1"/>
  <c r="K66" i="15" s="1"/>
  <c r="L28" i="15"/>
  <c r="L48" i="15" s="1"/>
  <c r="L66" i="15" s="1"/>
  <c r="M28" i="15"/>
  <c r="M48" i="15" s="1"/>
  <c r="M66" i="15" s="1"/>
  <c r="N28" i="15"/>
  <c r="N48" i="15" s="1"/>
  <c r="N66" i="15" s="1"/>
  <c r="O28" i="15"/>
  <c r="O48" i="15" s="1"/>
  <c r="O66" i="15" s="1"/>
  <c r="P28" i="15"/>
  <c r="P48" i="15" s="1"/>
  <c r="P66" i="15" s="1"/>
  <c r="Q28" i="15"/>
  <c r="Q48" i="15" s="1"/>
  <c r="Q66" i="15" s="1"/>
  <c r="R28" i="15"/>
  <c r="R48" i="15" s="1"/>
  <c r="R66" i="15" s="1"/>
  <c r="S28" i="15"/>
  <c r="S48" i="15" s="1"/>
  <c r="S66" i="15" s="1"/>
  <c r="T28" i="15"/>
  <c r="T48" i="15" s="1"/>
  <c r="T66" i="15" s="1"/>
  <c r="B29" i="15"/>
  <c r="C29" i="15"/>
  <c r="C49" i="15" s="1"/>
  <c r="C67" i="15" s="1"/>
  <c r="D29" i="15"/>
  <c r="E29" i="15"/>
  <c r="E49" i="15" s="1"/>
  <c r="E67" i="15" s="1"/>
  <c r="F29" i="15"/>
  <c r="F49" i="15" s="1"/>
  <c r="F67" i="15" s="1"/>
  <c r="G29" i="15"/>
  <c r="G49" i="15" s="1"/>
  <c r="G67" i="15" s="1"/>
  <c r="H29" i="15"/>
  <c r="H49" i="15" s="1"/>
  <c r="H67" i="15" s="1"/>
  <c r="I29" i="15"/>
  <c r="I49" i="15" s="1"/>
  <c r="I67" i="15" s="1"/>
  <c r="J29" i="15"/>
  <c r="J49" i="15" s="1"/>
  <c r="J67" i="15" s="1"/>
  <c r="K29" i="15"/>
  <c r="K49" i="15" s="1"/>
  <c r="K67" i="15" s="1"/>
  <c r="L29" i="15"/>
  <c r="L49" i="15" s="1"/>
  <c r="L67" i="15" s="1"/>
  <c r="M29" i="15"/>
  <c r="M49" i="15" s="1"/>
  <c r="M67" i="15" s="1"/>
  <c r="N29" i="15"/>
  <c r="N49" i="15" s="1"/>
  <c r="N67" i="15" s="1"/>
  <c r="O29" i="15"/>
  <c r="O49" i="15" s="1"/>
  <c r="O67" i="15" s="1"/>
  <c r="P29" i="15"/>
  <c r="P49" i="15" s="1"/>
  <c r="P67" i="15" s="1"/>
  <c r="Q29" i="15"/>
  <c r="Q49" i="15" s="1"/>
  <c r="Q67" i="15" s="1"/>
  <c r="R29" i="15"/>
  <c r="R49" i="15" s="1"/>
  <c r="R67" i="15" s="1"/>
  <c r="S29" i="15"/>
  <c r="S49" i="15" s="1"/>
  <c r="S67" i="15" s="1"/>
  <c r="T29" i="15"/>
  <c r="T49" i="15" s="1"/>
  <c r="T67" i="15" s="1"/>
  <c r="B30" i="15"/>
  <c r="B50" i="15" s="1"/>
  <c r="B68" i="15" s="1"/>
  <c r="C30" i="15"/>
  <c r="C50" i="15" s="1"/>
  <c r="C68" i="15" s="1"/>
  <c r="D30" i="15"/>
  <c r="D50" i="15" s="1"/>
  <c r="E30" i="15"/>
  <c r="E50" i="15" s="1"/>
  <c r="E68" i="15" s="1"/>
  <c r="F30" i="15"/>
  <c r="F50" i="15" s="1"/>
  <c r="F68" i="15" s="1"/>
  <c r="G30" i="15"/>
  <c r="G50" i="15" s="1"/>
  <c r="G68" i="15" s="1"/>
  <c r="H30" i="15"/>
  <c r="H50" i="15" s="1"/>
  <c r="H68" i="15" s="1"/>
  <c r="I30" i="15"/>
  <c r="I50" i="15" s="1"/>
  <c r="I68" i="15" s="1"/>
  <c r="J30" i="15"/>
  <c r="J50" i="15" s="1"/>
  <c r="J68" i="15" s="1"/>
  <c r="K30" i="15"/>
  <c r="K50" i="15" s="1"/>
  <c r="L30" i="15"/>
  <c r="L50" i="15" s="1"/>
  <c r="L68" i="15" s="1"/>
  <c r="M30" i="15"/>
  <c r="M50" i="15" s="1"/>
  <c r="M68" i="15" s="1"/>
  <c r="N30" i="15"/>
  <c r="N50" i="15" s="1"/>
  <c r="N68" i="15" s="1"/>
  <c r="O30" i="15"/>
  <c r="O50" i="15" s="1"/>
  <c r="O68" i="15" s="1"/>
  <c r="P30" i="15"/>
  <c r="P50" i="15" s="1"/>
  <c r="P68" i="15" s="1"/>
  <c r="Q30" i="15"/>
  <c r="Q50" i="15" s="1"/>
  <c r="Q68" i="15" s="1"/>
  <c r="R30" i="15"/>
  <c r="R50" i="15" s="1"/>
  <c r="R68" i="15" s="1"/>
  <c r="S30" i="15"/>
  <c r="S50" i="15" s="1"/>
  <c r="S68" i="15" s="1"/>
  <c r="T30" i="15"/>
  <c r="T50" i="15" s="1"/>
  <c r="T68" i="15" s="1"/>
  <c r="B31" i="15"/>
  <c r="B51" i="15" s="1"/>
  <c r="B69" i="15" s="1"/>
  <c r="C31" i="15"/>
  <c r="C51" i="15" s="1"/>
  <c r="C69" i="15" s="1"/>
  <c r="D31" i="15"/>
  <c r="D51" i="15" s="1"/>
  <c r="D69" i="15" s="1"/>
  <c r="E31" i="15"/>
  <c r="E51" i="15" s="1"/>
  <c r="E69" i="15" s="1"/>
  <c r="F31" i="15"/>
  <c r="F51" i="15" s="1"/>
  <c r="F69" i="15" s="1"/>
  <c r="G31" i="15"/>
  <c r="G51" i="15" s="1"/>
  <c r="H31" i="15"/>
  <c r="H51" i="15" s="1"/>
  <c r="H69" i="15" s="1"/>
  <c r="I31" i="15"/>
  <c r="I51" i="15" s="1"/>
  <c r="J31" i="15"/>
  <c r="J51" i="15" s="1"/>
  <c r="J69" i="15" s="1"/>
  <c r="K31" i="15"/>
  <c r="K51" i="15" s="1"/>
  <c r="K69" i="15" s="1"/>
  <c r="L31" i="15"/>
  <c r="L51" i="15" s="1"/>
  <c r="M31" i="15"/>
  <c r="M51" i="15" s="1"/>
  <c r="M69" i="15" s="1"/>
  <c r="N31" i="15"/>
  <c r="N51" i="15" s="1"/>
  <c r="N69" i="15" s="1"/>
  <c r="O31" i="15"/>
  <c r="O51" i="15" s="1"/>
  <c r="O69" i="15" s="1"/>
  <c r="P31" i="15"/>
  <c r="P51" i="15" s="1"/>
  <c r="P69" i="15" s="1"/>
  <c r="Q31" i="15"/>
  <c r="Q51" i="15" s="1"/>
  <c r="Q69" i="15" s="1"/>
  <c r="R31" i="15"/>
  <c r="R51" i="15" s="1"/>
  <c r="R69" i="15" s="1"/>
  <c r="S31" i="15"/>
  <c r="S51" i="15" s="1"/>
  <c r="T31" i="15"/>
  <c r="T51" i="15" s="1"/>
  <c r="T69" i="15" s="1"/>
  <c r="B32" i="15"/>
  <c r="B52" i="15" s="1"/>
  <c r="B70" i="15" s="1"/>
  <c r="C32" i="15"/>
  <c r="C52" i="15" s="1"/>
  <c r="C70" i="15" s="1"/>
  <c r="D32" i="15"/>
  <c r="D52" i="15" s="1"/>
  <c r="D70" i="15" s="1"/>
  <c r="E32" i="15"/>
  <c r="E52" i="15" s="1"/>
  <c r="E70" i="15" s="1"/>
  <c r="F32" i="15"/>
  <c r="F52" i="15" s="1"/>
  <c r="F70" i="15" s="1"/>
  <c r="G32" i="15"/>
  <c r="G52" i="15" s="1"/>
  <c r="G70" i="15" s="1"/>
  <c r="H32" i="15"/>
  <c r="H52" i="15" s="1"/>
  <c r="H70" i="15" s="1"/>
  <c r="I32" i="15"/>
  <c r="I52" i="15" s="1"/>
  <c r="I70" i="15" s="1"/>
  <c r="J32" i="15"/>
  <c r="J52" i="15" s="1"/>
  <c r="J70" i="15" s="1"/>
  <c r="K32" i="15"/>
  <c r="K52" i="15" s="1"/>
  <c r="K70" i="15" s="1"/>
  <c r="L32" i="15"/>
  <c r="L52" i="15" s="1"/>
  <c r="L70" i="15" s="1"/>
  <c r="M32" i="15"/>
  <c r="M52" i="15" s="1"/>
  <c r="M70" i="15" s="1"/>
  <c r="N32" i="15"/>
  <c r="N52" i="15" s="1"/>
  <c r="N70" i="15" s="1"/>
  <c r="O32" i="15"/>
  <c r="O52" i="15" s="1"/>
  <c r="O70" i="15" s="1"/>
  <c r="P32" i="15"/>
  <c r="P52" i="15" s="1"/>
  <c r="P70" i="15" s="1"/>
  <c r="Q32" i="15"/>
  <c r="Q52" i="15" s="1"/>
  <c r="Q70" i="15" s="1"/>
  <c r="R32" i="15"/>
  <c r="R52" i="15" s="1"/>
  <c r="R70" i="15" s="1"/>
  <c r="S32" i="15"/>
  <c r="S52" i="15" s="1"/>
  <c r="S70" i="15" s="1"/>
  <c r="T32" i="15"/>
  <c r="T52" i="15" s="1"/>
  <c r="T70" i="15" s="1"/>
  <c r="B33" i="15"/>
  <c r="B53" i="15" s="1"/>
  <c r="B71" i="15" s="1"/>
  <c r="C33" i="15"/>
  <c r="C53" i="15" s="1"/>
  <c r="C71" i="15" s="1"/>
  <c r="D33" i="15"/>
  <c r="D53" i="15" s="1"/>
  <c r="D71" i="15" s="1"/>
  <c r="E33" i="15"/>
  <c r="E53" i="15" s="1"/>
  <c r="E71" i="15" s="1"/>
  <c r="F33" i="15"/>
  <c r="F53" i="15" s="1"/>
  <c r="F71" i="15" s="1"/>
  <c r="G33" i="15"/>
  <c r="G53" i="15" s="1"/>
  <c r="G71" i="15" s="1"/>
  <c r="H33" i="15"/>
  <c r="H53" i="15" s="1"/>
  <c r="H71" i="15" s="1"/>
  <c r="I33" i="15"/>
  <c r="I53" i="15" s="1"/>
  <c r="I71" i="15" s="1"/>
  <c r="J33" i="15"/>
  <c r="J53" i="15" s="1"/>
  <c r="J71" i="15" s="1"/>
  <c r="K33" i="15"/>
  <c r="K53" i="15" s="1"/>
  <c r="K71" i="15" s="1"/>
  <c r="L33" i="15"/>
  <c r="L53" i="15" s="1"/>
  <c r="L71" i="15" s="1"/>
  <c r="M33" i="15"/>
  <c r="M53" i="15" s="1"/>
  <c r="M71" i="15" s="1"/>
  <c r="N33" i="15"/>
  <c r="N53" i="15" s="1"/>
  <c r="O33" i="15"/>
  <c r="O53" i="15" s="1"/>
  <c r="O71" i="15" s="1"/>
  <c r="P33" i="15"/>
  <c r="P53" i="15" s="1"/>
  <c r="P71" i="15" s="1"/>
  <c r="Q33" i="15"/>
  <c r="Q53" i="15" s="1"/>
  <c r="Q71" i="15" s="1"/>
  <c r="R33" i="15"/>
  <c r="R53" i="15" s="1"/>
  <c r="R71" i="15" s="1"/>
  <c r="S33" i="15"/>
  <c r="S53" i="15" s="1"/>
  <c r="S71" i="15" s="1"/>
  <c r="T33" i="15"/>
  <c r="T53" i="15" s="1"/>
  <c r="T71" i="15" s="1"/>
  <c r="B34" i="15"/>
  <c r="B54" i="15" s="1"/>
  <c r="B72" i="15" s="1"/>
  <c r="C34" i="15"/>
  <c r="C54" i="15" s="1"/>
  <c r="C72" i="15" s="1"/>
  <c r="D34" i="15"/>
  <c r="D54" i="15" s="1"/>
  <c r="D72" i="15" s="1"/>
  <c r="E34" i="15"/>
  <c r="E54" i="15" s="1"/>
  <c r="E72" i="15" s="1"/>
  <c r="F34" i="15"/>
  <c r="F54" i="15" s="1"/>
  <c r="F72" i="15" s="1"/>
  <c r="G34" i="15"/>
  <c r="G54" i="15" s="1"/>
  <c r="G72" i="15" s="1"/>
  <c r="H34" i="15"/>
  <c r="H54" i="15" s="1"/>
  <c r="H72" i="15" s="1"/>
  <c r="I34" i="15"/>
  <c r="I54" i="15" s="1"/>
  <c r="I72" i="15" s="1"/>
  <c r="J34" i="15"/>
  <c r="J54" i="15" s="1"/>
  <c r="J72" i="15" s="1"/>
  <c r="K34" i="15"/>
  <c r="K54" i="15" s="1"/>
  <c r="K72" i="15" s="1"/>
  <c r="L34" i="15"/>
  <c r="L54" i="15" s="1"/>
  <c r="L72" i="15" s="1"/>
  <c r="M34" i="15"/>
  <c r="M54" i="15" s="1"/>
  <c r="N34" i="15"/>
  <c r="N54" i="15" s="1"/>
  <c r="N72" i="15" s="1"/>
  <c r="O34" i="15"/>
  <c r="O54" i="15" s="1"/>
  <c r="O72" i="15" s="1"/>
  <c r="P34" i="15"/>
  <c r="P54" i="15" s="1"/>
  <c r="P72" i="15" s="1"/>
  <c r="Q34" i="15"/>
  <c r="Q54" i="15" s="1"/>
  <c r="Q72" i="15" s="1"/>
  <c r="R34" i="15"/>
  <c r="R54" i="15" s="1"/>
  <c r="R72" i="15" s="1"/>
  <c r="S34" i="15"/>
  <c r="S54" i="15" s="1"/>
  <c r="S72" i="15" s="1"/>
  <c r="T34" i="15"/>
  <c r="T54" i="15" s="1"/>
  <c r="T72" i="15" s="1"/>
  <c r="B35" i="15"/>
  <c r="B55" i="15" s="1"/>
  <c r="B73" i="15" s="1"/>
  <c r="C35" i="15"/>
  <c r="C55" i="15" s="1"/>
  <c r="C73" i="15" s="1"/>
  <c r="D35" i="15"/>
  <c r="E35" i="15"/>
  <c r="E55" i="15" s="1"/>
  <c r="E73" i="15" s="1"/>
  <c r="F35" i="15"/>
  <c r="F55" i="15" s="1"/>
  <c r="F73" i="15" s="1"/>
  <c r="G35" i="15"/>
  <c r="G55" i="15" s="1"/>
  <c r="G73" i="15" s="1"/>
  <c r="H35" i="15"/>
  <c r="H55" i="15" s="1"/>
  <c r="H73" i="15" s="1"/>
  <c r="I35" i="15"/>
  <c r="I55" i="15" s="1"/>
  <c r="I73" i="15" s="1"/>
  <c r="J35" i="15"/>
  <c r="J55" i="15" s="1"/>
  <c r="J73" i="15" s="1"/>
  <c r="K35" i="15"/>
  <c r="K55" i="15" s="1"/>
  <c r="K73" i="15" s="1"/>
  <c r="L35" i="15"/>
  <c r="L55" i="15" s="1"/>
  <c r="L73" i="15" s="1"/>
  <c r="M35" i="15"/>
  <c r="M55" i="15" s="1"/>
  <c r="M73" i="15" s="1"/>
  <c r="N35" i="15"/>
  <c r="N55" i="15" s="1"/>
  <c r="N73" i="15" s="1"/>
  <c r="O35" i="15"/>
  <c r="O55" i="15" s="1"/>
  <c r="P35" i="15"/>
  <c r="P55" i="15" s="1"/>
  <c r="Q35" i="15"/>
  <c r="Q55" i="15" s="1"/>
  <c r="Q73" i="15" s="1"/>
  <c r="R35" i="15"/>
  <c r="R55" i="15" s="1"/>
  <c r="R73" i="15" s="1"/>
  <c r="S35" i="15"/>
  <c r="S55" i="15" s="1"/>
  <c r="S73" i="15" s="1"/>
  <c r="T35" i="15"/>
  <c r="T55" i="15" s="1"/>
  <c r="T73" i="15" s="1"/>
  <c r="B36" i="15"/>
  <c r="B56" i="15" s="1"/>
  <c r="B74" i="15" s="1"/>
  <c r="C36" i="15"/>
  <c r="C56" i="15" s="1"/>
  <c r="C74" i="15" s="1"/>
  <c r="D36" i="15"/>
  <c r="E36" i="15"/>
  <c r="E56" i="15" s="1"/>
  <c r="E74" i="15" s="1"/>
  <c r="F36" i="15"/>
  <c r="F56" i="15" s="1"/>
  <c r="F74" i="15" s="1"/>
  <c r="G36" i="15"/>
  <c r="G56" i="15" s="1"/>
  <c r="G74" i="15" s="1"/>
  <c r="H36" i="15"/>
  <c r="H56" i="15" s="1"/>
  <c r="H74" i="15" s="1"/>
  <c r="I36" i="15"/>
  <c r="I56" i="15" s="1"/>
  <c r="I74" i="15" s="1"/>
  <c r="J36" i="15"/>
  <c r="J56" i="15" s="1"/>
  <c r="J74" i="15" s="1"/>
  <c r="K36" i="15"/>
  <c r="K56" i="15" s="1"/>
  <c r="K74" i="15" s="1"/>
  <c r="L36" i="15"/>
  <c r="L56" i="15" s="1"/>
  <c r="L74" i="15" s="1"/>
  <c r="M36" i="15"/>
  <c r="M56" i="15" s="1"/>
  <c r="M74" i="15" s="1"/>
  <c r="N36" i="15"/>
  <c r="N56" i="15" s="1"/>
  <c r="N74" i="15" s="1"/>
  <c r="O36" i="15"/>
  <c r="O56" i="15" s="1"/>
  <c r="O74" i="15" s="1"/>
  <c r="P36" i="15"/>
  <c r="P56" i="15" s="1"/>
  <c r="P74" i="15" s="1"/>
  <c r="Q36" i="15"/>
  <c r="Q56" i="15" s="1"/>
  <c r="Q74" i="15" s="1"/>
  <c r="R36" i="15"/>
  <c r="R56" i="15" s="1"/>
  <c r="S36" i="15"/>
  <c r="S56" i="15" s="1"/>
  <c r="S74" i="15" s="1"/>
  <c r="T36" i="15"/>
  <c r="T56" i="15" s="1"/>
  <c r="T74" i="15" s="1"/>
  <c r="P42" i="15"/>
  <c r="P60" i="15" s="1"/>
  <c r="B49" i="15"/>
  <c r="B67" i="15" s="1"/>
  <c r="B158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Q158" i="15"/>
  <c r="R158" i="15"/>
  <c r="S158" i="15"/>
  <c r="T158" i="15"/>
  <c r="BM158" i="15"/>
  <c r="B261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O261" i="15"/>
  <c r="P261" i="15"/>
  <c r="Q261" i="15"/>
  <c r="R261" i="15"/>
  <c r="S261" i="15"/>
  <c r="T261" i="15"/>
  <c r="BM261" i="15"/>
  <c r="B14" i="16"/>
  <c r="C14" i="16"/>
  <c r="D14" i="16"/>
  <c r="E14" i="16"/>
  <c r="F14" i="16"/>
  <c r="G14" i="16"/>
  <c r="B17" i="6"/>
  <c r="C17" i="6"/>
  <c r="D17" i="6"/>
  <c r="E17" i="6"/>
  <c r="F17" i="6"/>
  <c r="G17" i="6"/>
  <c r="H17" i="6"/>
  <c r="I17" i="6"/>
  <c r="T52" i="1"/>
  <c r="T38" i="1"/>
  <c r="P52" i="1"/>
  <c r="T56" i="1"/>
  <c r="T70" i="1" s="1"/>
  <c r="T87" i="1" s="1"/>
  <c r="S56" i="1"/>
  <c r="S64" i="1" s="1"/>
  <c r="O56" i="1"/>
  <c r="O68" i="1" s="1"/>
  <c r="Q45" i="14"/>
  <c r="S38" i="14"/>
  <c r="S43" i="14"/>
  <c r="O38" i="14"/>
  <c r="O43" i="14"/>
  <c r="O56" i="14" s="1"/>
  <c r="T38" i="14"/>
  <c r="T42" i="14"/>
  <c r="S38" i="1"/>
  <c r="O38" i="1"/>
  <c r="Q45" i="1"/>
  <c r="O71" i="1"/>
  <c r="O109" i="1" s="1"/>
  <c r="O127" i="1" s="1"/>
  <c r="O62" i="1"/>
  <c r="S59" i="1"/>
  <c r="S76" i="1" s="1"/>
  <c r="BD251" i="13"/>
  <c r="BD252" i="13" s="1"/>
  <c r="BD253" i="13"/>
  <c r="BD254" i="13" s="1"/>
  <c r="BE255" i="13"/>
  <c r="BE256" i="13" s="1"/>
  <c r="BE257" i="13" s="1"/>
  <c r="AW258" i="13"/>
  <c r="AW259" i="13" s="1"/>
  <c r="AW253" i="13"/>
  <c r="AW254" i="13" s="1"/>
  <c r="AW251" i="13"/>
  <c r="AW252" i="13" s="1"/>
  <c r="AV62" i="13"/>
  <c r="AV79" i="13" s="1"/>
  <c r="AZ56" i="13"/>
  <c r="AZ60" i="13" s="1"/>
  <c r="AV56" i="13"/>
  <c r="AV68" i="13" s="1"/>
  <c r="AX56" i="13"/>
  <c r="AT56" i="13"/>
  <c r="AT67" i="13"/>
  <c r="AN256" i="13"/>
  <c r="AN257" i="13" s="1"/>
  <c r="AY249" i="13"/>
  <c r="AM249" i="13"/>
  <c r="AM255" i="13" s="1"/>
  <c r="AM256" i="13" s="1"/>
  <c r="AM257" i="13" s="1"/>
  <c r="AI249" i="13"/>
  <c r="X251" i="13"/>
  <c r="X252" i="13" s="1"/>
  <c r="X253" i="13"/>
  <c r="X254" i="13" s="1"/>
  <c r="AE251" i="13"/>
  <c r="AE252" i="13" s="1"/>
  <c r="AE254" i="13"/>
  <c r="AB251" i="13"/>
  <c r="AB252" i="13" s="1"/>
  <c r="AB253" i="13"/>
  <c r="AB254" i="13" s="1"/>
  <c r="AH261" i="13"/>
  <c r="Z260" i="13"/>
  <c r="Z261" i="13" s="1"/>
  <c r="AH258" i="13"/>
  <c r="AH259" i="13" s="1"/>
  <c r="Z258" i="13"/>
  <c r="Z259" i="13" s="1"/>
  <c r="AD38" i="13"/>
  <c r="Y38" i="13"/>
  <c r="Z38" i="13"/>
  <c r="AE38" i="13"/>
  <c r="W38" i="13"/>
  <c r="P263" i="13"/>
  <c r="P264" i="13" s="1"/>
  <c r="O263" i="13"/>
  <c r="O269" i="13" s="1"/>
  <c r="T249" i="13"/>
  <c r="K263" i="13"/>
  <c r="K264" i="13" s="1"/>
  <c r="B263" i="13"/>
  <c r="B255" i="13"/>
  <c r="B258" i="13" s="1"/>
  <c r="B259" i="13" s="1"/>
  <c r="N44" i="13"/>
  <c r="F44" i="13"/>
  <c r="B44" i="13"/>
  <c r="Q263" i="13"/>
  <c r="H263" i="13"/>
  <c r="H269" i="13" s="1"/>
  <c r="BN32" i="13"/>
  <c r="BN51" i="13" s="1"/>
  <c r="D263" i="13"/>
  <c r="D264" i="13" s="1"/>
  <c r="S255" i="13"/>
  <c r="S250" i="13"/>
  <c r="S251" i="13" s="1"/>
  <c r="N250" i="13"/>
  <c r="D255" i="13"/>
  <c r="D258" i="13" s="1"/>
  <c r="D250" i="13"/>
  <c r="P253" i="13"/>
  <c r="P254" i="13" s="1"/>
  <c r="O253" i="13"/>
  <c r="O254" i="13" s="1"/>
  <c r="O252" i="13"/>
  <c r="K255" i="13"/>
  <c r="I250" i="13"/>
  <c r="I255" i="13"/>
  <c r="I260" i="13" s="1"/>
  <c r="I261" i="13" s="1"/>
  <c r="M250" i="13"/>
  <c r="H251" i="13"/>
  <c r="H252" i="13" s="1"/>
  <c r="H253" i="13"/>
  <c r="H254" i="13"/>
  <c r="S263" i="13"/>
  <c r="O255" i="13"/>
  <c r="N263" i="13"/>
  <c r="N269" i="13" s="1"/>
  <c r="N272" i="13" s="1"/>
  <c r="N273" i="13" s="1"/>
  <c r="M263" i="13"/>
  <c r="I263" i="13"/>
  <c r="H255" i="13"/>
  <c r="BO32" i="13"/>
  <c r="BN263" i="13"/>
  <c r="G263" i="13"/>
  <c r="G264" i="13" s="1"/>
  <c r="G267" i="13" s="1"/>
  <c r="G268" i="13" s="1"/>
  <c r="E263" i="13"/>
  <c r="E269" i="13" s="1"/>
  <c r="BO26" i="13"/>
  <c r="BN27" i="13"/>
  <c r="BN46" i="13" s="1"/>
  <c r="S96" i="1"/>
  <c r="T61" i="1"/>
  <c r="T60" i="1"/>
  <c r="T63" i="1"/>
  <c r="T62" i="1"/>
  <c r="T66" i="1"/>
  <c r="T64" i="1"/>
  <c r="T71" i="1"/>
  <c r="T65" i="1"/>
  <c r="T68" i="1"/>
  <c r="T59" i="1"/>
  <c r="O72" i="14"/>
  <c r="O89" i="14" s="1"/>
  <c r="O59" i="14"/>
  <c r="O96" i="14" s="1"/>
  <c r="T59" i="14"/>
  <c r="T76" i="14" s="1"/>
  <c r="T72" i="1"/>
  <c r="S63" i="1"/>
  <c r="S70" i="1"/>
  <c r="S87" i="1" s="1"/>
  <c r="T69" i="1"/>
  <c r="C48" i="14"/>
  <c r="V29" i="14"/>
  <c r="O60" i="1"/>
  <c r="O65" i="1"/>
  <c r="U36" i="14"/>
  <c r="U55" i="14" s="1"/>
  <c r="M42" i="14"/>
  <c r="M38" i="14"/>
  <c r="I42" i="14"/>
  <c r="I38" i="14"/>
  <c r="U34" i="14"/>
  <c r="U53" i="14"/>
  <c r="U32" i="14"/>
  <c r="U51" i="14" s="1"/>
  <c r="D51" i="14"/>
  <c r="U28" i="14"/>
  <c r="U47" i="14" s="1"/>
  <c r="V28" i="14"/>
  <c r="B47" i="14"/>
  <c r="R38" i="14"/>
  <c r="N38" i="14"/>
  <c r="N45" i="14"/>
  <c r="J45" i="14"/>
  <c r="F38" i="14"/>
  <c r="F45" i="14"/>
  <c r="B45" i="14"/>
  <c r="U26" i="14"/>
  <c r="U45" i="14" s="1"/>
  <c r="L38" i="14"/>
  <c r="H38" i="14"/>
  <c r="D38" i="14"/>
  <c r="O47" i="13"/>
  <c r="K47" i="13"/>
  <c r="G47" i="13"/>
  <c r="BO28" i="13"/>
  <c r="C38" i="13"/>
  <c r="C47" i="13"/>
  <c r="BN28" i="13"/>
  <c r="BN47" i="13" s="1"/>
  <c r="R45" i="14"/>
  <c r="L43" i="14"/>
  <c r="H43" i="14"/>
  <c r="D43" i="14"/>
  <c r="C54" i="14"/>
  <c r="U30" i="14"/>
  <c r="U49" i="14" s="1"/>
  <c r="V27" i="14"/>
  <c r="E46" i="14"/>
  <c r="E56" i="14" s="1"/>
  <c r="E60" i="14" s="1"/>
  <c r="V26" i="14"/>
  <c r="B56" i="14"/>
  <c r="V32" i="14"/>
  <c r="K38" i="14"/>
  <c r="K44" i="14"/>
  <c r="G44" i="14"/>
  <c r="C38" i="14"/>
  <c r="C44" i="14"/>
  <c r="C61" i="14" s="1"/>
  <c r="V25" i="14"/>
  <c r="V30" i="14"/>
  <c r="U25" i="14"/>
  <c r="U44" i="14" s="1"/>
  <c r="V24" i="14"/>
  <c r="BN35" i="13"/>
  <c r="BN54" i="13" s="1"/>
  <c r="BO33" i="13"/>
  <c r="H50" i="13"/>
  <c r="BO35" i="13"/>
  <c r="D46" i="13"/>
  <c r="C53" i="13"/>
  <c r="BO34" i="13"/>
  <c r="BN33" i="13"/>
  <c r="BN52" i="13" s="1"/>
  <c r="M43" i="13"/>
  <c r="I43" i="13"/>
  <c r="E43" i="13"/>
  <c r="BN24" i="13"/>
  <c r="BN43" i="13"/>
  <c r="BO29" i="13"/>
  <c r="BN23" i="13"/>
  <c r="BN29" i="13"/>
  <c r="BN48" i="13" s="1"/>
  <c r="R38" i="13"/>
  <c r="B69" i="1"/>
  <c r="L56" i="1"/>
  <c r="H56" i="1"/>
  <c r="H65" i="1"/>
  <c r="J56" i="1"/>
  <c r="B56" i="1"/>
  <c r="B67" i="1" s="1"/>
  <c r="B105" i="1" s="1"/>
  <c r="K56" i="1"/>
  <c r="K60" i="1"/>
  <c r="K97" i="1" s="1"/>
  <c r="C56" i="1"/>
  <c r="H72" i="1"/>
  <c r="J67" i="1"/>
  <c r="J84" i="1" s="1"/>
  <c r="BE260" i="13"/>
  <c r="BE261" i="13" s="1"/>
  <c r="AT65" i="13"/>
  <c r="AY255" i="13"/>
  <c r="AY250" i="13"/>
  <c r="AY251" i="13" s="1"/>
  <c r="AY252" i="13" s="1"/>
  <c r="AV59" i="13"/>
  <c r="AV63" i="13"/>
  <c r="AV69" i="13"/>
  <c r="AV61" i="13"/>
  <c r="AV67" i="13"/>
  <c r="AV66" i="13"/>
  <c r="AZ72" i="13"/>
  <c r="AT66" i="13"/>
  <c r="AT72" i="13"/>
  <c r="AT89" i="13" s="1"/>
  <c r="AT62" i="13"/>
  <c r="AT70" i="13"/>
  <c r="AT87" i="13"/>
  <c r="AT68" i="13"/>
  <c r="AT85" i="13" s="1"/>
  <c r="AT61" i="13"/>
  <c r="AT59" i="13"/>
  <c r="AZ59" i="13"/>
  <c r="AZ67" i="13"/>
  <c r="AZ105" i="13" s="1"/>
  <c r="AZ124" i="13" s="1"/>
  <c r="AZ65" i="13"/>
  <c r="AZ103" i="13" s="1"/>
  <c r="AZ122" i="13" s="1"/>
  <c r="AV99" i="13"/>
  <c r="AV118" i="13" s="1"/>
  <c r="AV287" i="13" s="1"/>
  <c r="AT63" i="13"/>
  <c r="AV70" i="13"/>
  <c r="AV87" i="13"/>
  <c r="AT71" i="13"/>
  <c r="C269" i="13"/>
  <c r="C272" i="13" s="1"/>
  <c r="C273" i="13" s="1"/>
  <c r="C267" i="13"/>
  <c r="C268" i="13" s="1"/>
  <c r="P269" i="13"/>
  <c r="B260" i="13"/>
  <c r="B261" i="13" s="1"/>
  <c r="H264" i="13"/>
  <c r="H265" i="13" s="1"/>
  <c r="H266" i="13" s="1"/>
  <c r="Q269" i="13"/>
  <c r="Q272" i="13" s="1"/>
  <c r="Q273" i="13" s="1"/>
  <c r="Q264" i="13"/>
  <c r="M253" i="13"/>
  <c r="M254" i="13" s="1"/>
  <c r="M251" i="13"/>
  <c r="M252" i="13" s="1"/>
  <c r="I258" i="13"/>
  <c r="I259" i="13" s="1"/>
  <c r="I256" i="13"/>
  <c r="I257" i="13" s="1"/>
  <c r="D251" i="13"/>
  <c r="D252" i="13"/>
  <c r="D253" i="13"/>
  <c r="D254" i="13" s="1"/>
  <c r="N258" i="13"/>
  <c r="N259" i="13" s="1"/>
  <c r="G269" i="13"/>
  <c r="S264" i="13"/>
  <c r="S269" i="13"/>
  <c r="S270" i="13" s="1"/>
  <c r="S271" i="13" s="1"/>
  <c r="I251" i="13"/>
  <c r="I252" i="13" s="1"/>
  <c r="I253" i="13"/>
  <c r="I254" i="13" s="1"/>
  <c r="D259" i="13"/>
  <c r="D260" i="13"/>
  <c r="D261" i="13"/>
  <c r="D256" i="13"/>
  <c r="D257" i="13"/>
  <c r="I264" i="13"/>
  <c r="I265" i="13" s="1"/>
  <c r="I266" i="13" s="1"/>
  <c r="I269" i="13"/>
  <c r="N264" i="13"/>
  <c r="N265" i="13" s="1"/>
  <c r="N266" i="13" s="1"/>
  <c r="K258" i="13"/>
  <c r="K259" i="13" s="1"/>
  <c r="K260" i="13"/>
  <c r="K261" i="13" s="1"/>
  <c r="K256" i="13"/>
  <c r="K257" i="13"/>
  <c r="S253" i="13"/>
  <c r="S254" i="13" s="1"/>
  <c r="S252" i="13"/>
  <c r="P260" i="13"/>
  <c r="P261" i="13" s="1"/>
  <c r="P256" i="13"/>
  <c r="P257" i="13" s="1"/>
  <c r="P258" i="13"/>
  <c r="P259" i="13" s="1"/>
  <c r="H256" i="13"/>
  <c r="H257" i="13" s="1"/>
  <c r="H258" i="13"/>
  <c r="H259" i="13" s="1"/>
  <c r="H260" i="13"/>
  <c r="H261" i="13" s="1"/>
  <c r="O260" i="13"/>
  <c r="O261" i="13" s="1"/>
  <c r="O256" i="13"/>
  <c r="O257" i="13" s="1"/>
  <c r="O258" i="13"/>
  <c r="O259" i="13" s="1"/>
  <c r="K251" i="13"/>
  <c r="K252" i="13" s="1"/>
  <c r="K253" i="13"/>
  <c r="K254" i="13" s="1"/>
  <c r="S258" i="13"/>
  <c r="S259" i="13" s="1"/>
  <c r="K77" i="1"/>
  <c r="H82" i="1"/>
  <c r="H103" i="1"/>
  <c r="H121" i="1"/>
  <c r="M63" i="1"/>
  <c r="M71" i="1"/>
  <c r="M60" i="1"/>
  <c r="M68" i="1"/>
  <c r="M72" i="1"/>
  <c r="M66" i="1"/>
  <c r="M65" i="1"/>
  <c r="M64" i="1"/>
  <c r="M67" i="1"/>
  <c r="B86" i="1"/>
  <c r="B107" i="1"/>
  <c r="B125" i="1" s="1"/>
  <c r="BN42" i="13"/>
  <c r="B61" i="14"/>
  <c r="B67" i="14"/>
  <c r="B69" i="14"/>
  <c r="B66" i="14"/>
  <c r="B70" i="14"/>
  <c r="B87" i="14" s="1"/>
  <c r="B68" i="14"/>
  <c r="B60" i="14"/>
  <c r="R60" i="14"/>
  <c r="R59" i="14"/>
  <c r="R65" i="14"/>
  <c r="R64" i="14"/>
  <c r="R63" i="14"/>
  <c r="R68" i="14"/>
  <c r="R72" i="14"/>
  <c r="R71" i="14"/>
  <c r="F56" i="14"/>
  <c r="N56" i="14"/>
  <c r="B72" i="14"/>
  <c r="O76" i="14"/>
  <c r="T96" i="1"/>
  <c r="T76" i="1"/>
  <c r="T80" i="1"/>
  <c r="S171" i="1"/>
  <c r="S114" i="1"/>
  <c r="B66" i="1"/>
  <c r="B83" i="1" s="1"/>
  <c r="B70" i="1"/>
  <c r="B87" i="1" s="1"/>
  <c r="B59" i="1"/>
  <c r="B63" i="1"/>
  <c r="B60" i="1"/>
  <c r="B68" i="1"/>
  <c r="B64" i="1"/>
  <c r="J62" i="1"/>
  <c r="J66" i="1"/>
  <c r="J70" i="1"/>
  <c r="J87" i="1"/>
  <c r="J59" i="1"/>
  <c r="J63" i="1"/>
  <c r="J60" i="1"/>
  <c r="J68" i="1"/>
  <c r="J64" i="1"/>
  <c r="K63" i="1"/>
  <c r="L60" i="1"/>
  <c r="L64" i="1"/>
  <c r="L68" i="1"/>
  <c r="L61" i="1"/>
  <c r="L69" i="1"/>
  <c r="L59" i="1"/>
  <c r="L67" i="1"/>
  <c r="L66" i="1"/>
  <c r="L72" i="1"/>
  <c r="L62" i="1"/>
  <c r="L71" i="1"/>
  <c r="L88" i="1" s="1"/>
  <c r="L70" i="1"/>
  <c r="L87" i="1" s="1"/>
  <c r="L63" i="1"/>
  <c r="K66" i="1"/>
  <c r="C68" i="1"/>
  <c r="J71" i="1"/>
  <c r="K72" i="1"/>
  <c r="D56" i="14"/>
  <c r="D60" i="14"/>
  <c r="D77" i="14" s="1"/>
  <c r="R62" i="14"/>
  <c r="I56" i="14"/>
  <c r="O82" i="1"/>
  <c r="O103" i="1"/>
  <c r="O121" i="1"/>
  <c r="S80" i="1"/>
  <c r="T64" i="14"/>
  <c r="T69" i="14"/>
  <c r="T72" i="14"/>
  <c r="T60" i="14"/>
  <c r="T65" i="14"/>
  <c r="T70" i="14"/>
  <c r="T87" i="14"/>
  <c r="T66" i="14"/>
  <c r="T67" i="14"/>
  <c r="T68" i="14"/>
  <c r="T85" i="14" s="1"/>
  <c r="T71" i="14"/>
  <c r="T62" i="14"/>
  <c r="O110" i="14"/>
  <c r="O129" i="14" s="1"/>
  <c r="T106" i="1"/>
  <c r="T85" i="1"/>
  <c r="T102" i="1"/>
  <c r="T81" i="1"/>
  <c r="T77" i="1"/>
  <c r="T97" i="1"/>
  <c r="J105" i="1"/>
  <c r="B84" i="1"/>
  <c r="M62" i="1"/>
  <c r="L65" i="1"/>
  <c r="J69" i="1"/>
  <c r="M70" i="1"/>
  <c r="M87" i="1"/>
  <c r="C56" i="14"/>
  <c r="K56" i="14"/>
  <c r="B63" i="14"/>
  <c r="H56" i="14"/>
  <c r="J56" i="14"/>
  <c r="O77" i="1"/>
  <c r="O97" i="1"/>
  <c r="T83" i="1"/>
  <c r="T104" i="1"/>
  <c r="T98" i="1"/>
  <c r="T78" i="1"/>
  <c r="H89" i="1"/>
  <c r="H110" i="1"/>
  <c r="H128" i="1" s="1"/>
  <c r="C61" i="1"/>
  <c r="C65" i="1"/>
  <c r="C70" i="1"/>
  <c r="C87" i="1"/>
  <c r="C64" i="1"/>
  <c r="C71" i="1"/>
  <c r="C59" i="1"/>
  <c r="C67" i="1"/>
  <c r="K61" i="1"/>
  <c r="K65" i="1"/>
  <c r="K69" i="1"/>
  <c r="K62" i="1"/>
  <c r="K70" i="1"/>
  <c r="K87" i="1"/>
  <c r="K64" i="1"/>
  <c r="K71" i="1"/>
  <c r="K67" i="1"/>
  <c r="K59" i="1"/>
  <c r="H60" i="1"/>
  <c r="H64" i="1"/>
  <c r="H68" i="1"/>
  <c r="H61" i="1"/>
  <c r="H69" i="1"/>
  <c r="H63" i="1"/>
  <c r="H71" i="1"/>
  <c r="H88" i="1" s="1"/>
  <c r="H62" i="1"/>
  <c r="H70" i="1"/>
  <c r="H87" i="1"/>
  <c r="H66" i="1"/>
  <c r="H59" i="1"/>
  <c r="C66" i="1"/>
  <c r="K68" i="1"/>
  <c r="C72" i="1"/>
  <c r="L56" i="14"/>
  <c r="L60" i="14"/>
  <c r="B62" i="14"/>
  <c r="B64" i="14"/>
  <c r="B59" i="14"/>
  <c r="B65" i="14"/>
  <c r="M56" i="14"/>
  <c r="B71" i="14"/>
  <c r="O98" i="1"/>
  <c r="O102" i="1"/>
  <c r="O81" i="1"/>
  <c r="T89" i="1"/>
  <c r="T110" i="1"/>
  <c r="T128" i="1" s="1"/>
  <c r="T82" i="1"/>
  <c r="T103" i="1"/>
  <c r="T121" i="1" s="1"/>
  <c r="T99" i="1"/>
  <c r="T79" i="1"/>
  <c r="AT80" i="13"/>
  <c r="AZ82" i="13"/>
  <c r="AM260" i="13"/>
  <c r="AM261" i="13" s="1"/>
  <c r="AZ110" i="13"/>
  <c r="AZ89" i="13"/>
  <c r="AV80" i="13"/>
  <c r="AZ84" i="13"/>
  <c r="AT76" i="13"/>
  <c r="AT96" i="13"/>
  <c r="AT78" i="13"/>
  <c r="AT98" i="13"/>
  <c r="AT152" i="13" s="1"/>
  <c r="AV83" i="13"/>
  <c r="AV104" i="13"/>
  <c r="AV78" i="13"/>
  <c r="AV98" i="13"/>
  <c r="AV117" i="13" s="1"/>
  <c r="AZ76" i="13"/>
  <c r="AZ96" i="13"/>
  <c r="AT83" i="13"/>
  <c r="AT104" i="13"/>
  <c r="AV76" i="13"/>
  <c r="AV96" i="13"/>
  <c r="C270" i="13"/>
  <c r="C271" i="13"/>
  <c r="C274" i="13"/>
  <c r="C275" i="13" s="1"/>
  <c r="P274" i="13"/>
  <c r="P275" i="13" s="1"/>
  <c r="D265" i="13"/>
  <c r="D266" i="13" s="1"/>
  <c r="D267" i="13"/>
  <c r="D268" i="13"/>
  <c r="Q265" i="13"/>
  <c r="Q266" i="13"/>
  <c r="Q267" i="13"/>
  <c r="Q268" i="13" s="1"/>
  <c r="H272" i="13"/>
  <c r="H273" i="13" s="1"/>
  <c r="H274" i="13"/>
  <c r="H275" i="13"/>
  <c r="H270" i="13"/>
  <c r="H271" i="13"/>
  <c r="H267" i="13"/>
  <c r="H268" i="13" s="1"/>
  <c r="E270" i="13"/>
  <c r="E271" i="13" s="1"/>
  <c r="I270" i="13"/>
  <c r="I271" i="13" s="1"/>
  <c r="S272" i="13"/>
  <c r="S273" i="13" s="1"/>
  <c r="S274" i="13"/>
  <c r="S275" i="13" s="1"/>
  <c r="I267" i="13"/>
  <c r="I268" i="13" s="1"/>
  <c r="N274" i="13"/>
  <c r="N275" i="13" s="1"/>
  <c r="N267" i="13"/>
  <c r="N268" i="13" s="1"/>
  <c r="G265" i="13"/>
  <c r="G266" i="13" s="1"/>
  <c r="K86" i="1"/>
  <c r="K107" i="1"/>
  <c r="K125" i="1"/>
  <c r="O115" i="1"/>
  <c r="O151" i="1"/>
  <c r="O198" i="1"/>
  <c r="K60" i="14"/>
  <c r="K62" i="14"/>
  <c r="K64" i="14"/>
  <c r="K68" i="14"/>
  <c r="K70" i="14"/>
  <c r="K87" i="14"/>
  <c r="K72" i="14"/>
  <c r="K59" i="14"/>
  <c r="K63" i="14"/>
  <c r="K65" i="14"/>
  <c r="K71" i="14"/>
  <c r="K69" i="14"/>
  <c r="K66" i="14"/>
  <c r="K67" i="14"/>
  <c r="J86" i="1"/>
  <c r="J107" i="1"/>
  <c r="J125" i="1"/>
  <c r="T124" i="1"/>
  <c r="T88" i="14"/>
  <c r="T109" i="14"/>
  <c r="T97" i="14"/>
  <c r="T77" i="14"/>
  <c r="R79" i="14"/>
  <c r="R99" i="14"/>
  <c r="M68" i="13"/>
  <c r="M85" i="13" s="1"/>
  <c r="J88" i="1"/>
  <c r="J109" i="1"/>
  <c r="L80" i="1"/>
  <c r="L89" i="1"/>
  <c r="L110" i="1"/>
  <c r="L128" i="1" s="1"/>
  <c r="L130" i="1" s="1"/>
  <c r="L107" i="1"/>
  <c r="L125" i="1" s="1"/>
  <c r="L86" i="1"/>
  <c r="J80" i="1"/>
  <c r="J79" i="1"/>
  <c r="J99" i="1"/>
  <c r="B85" i="1"/>
  <c r="B106" i="1"/>
  <c r="T197" i="1"/>
  <c r="T134" i="1"/>
  <c r="T159" i="1"/>
  <c r="T114" i="1"/>
  <c r="T171" i="1"/>
  <c r="R102" i="14"/>
  <c r="R81" i="14"/>
  <c r="B83" i="14"/>
  <c r="B104" i="14"/>
  <c r="M105" i="1"/>
  <c r="M84" i="1"/>
  <c r="M109" i="1"/>
  <c r="M88" i="1"/>
  <c r="H76" i="1"/>
  <c r="H96" i="1"/>
  <c r="H85" i="1"/>
  <c r="H106" i="1"/>
  <c r="B81" i="14"/>
  <c r="B102" i="14"/>
  <c r="H83" i="1"/>
  <c r="H104" i="1"/>
  <c r="K81" i="1"/>
  <c r="K102" i="1"/>
  <c r="T122" i="1"/>
  <c r="T89" i="14"/>
  <c r="T110" i="14"/>
  <c r="T129" i="14"/>
  <c r="D97" i="14"/>
  <c r="L83" i="1"/>
  <c r="L104" i="1"/>
  <c r="L78" i="1"/>
  <c r="L98" i="1"/>
  <c r="K80" i="1"/>
  <c r="J96" i="1"/>
  <c r="J76" i="1"/>
  <c r="B77" i="1"/>
  <c r="B97" i="1"/>
  <c r="B104" i="1"/>
  <c r="F69" i="14"/>
  <c r="F60" i="14"/>
  <c r="B77" i="14"/>
  <c r="B97" i="14"/>
  <c r="B107" i="14"/>
  <c r="B126" i="14"/>
  <c r="B86" i="14"/>
  <c r="M82" i="1"/>
  <c r="M103" i="1"/>
  <c r="M121" i="1" s="1"/>
  <c r="M110" i="1"/>
  <c r="M128" i="1"/>
  <c r="M89" i="1"/>
  <c r="M80" i="1"/>
  <c r="H80" i="1"/>
  <c r="K82" i="1"/>
  <c r="K103" i="1"/>
  <c r="K121" i="1"/>
  <c r="J61" i="14"/>
  <c r="J67" i="14"/>
  <c r="J69" i="14"/>
  <c r="J60" i="14"/>
  <c r="J68" i="14"/>
  <c r="J66" i="14"/>
  <c r="J73" i="14" s="1"/>
  <c r="J72" i="14"/>
  <c r="J64" i="14"/>
  <c r="J65" i="14"/>
  <c r="J59" i="14"/>
  <c r="J70" i="14"/>
  <c r="J87" i="14"/>
  <c r="J63" i="14"/>
  <c r="J71" i="14"/>
  <c r="I65" i="14"/>
  <c r="I67" i="14"/>
  <c r="I71" i="14"/>
  <c r="I60" i="14"/>
  <c r="I64" i="14"/>
  <c r="I70" i="14"/>
  <c r="I87" i="14"/>
  <c r="I72" i="14"/>
  <c r="I110" i="14" s="1"/>
  <c r="I66" i="14"/>
  <c r="I69" i="14"/>
  <c r="I68" i="14"/>
  <c r="I62" i="14"/>
  <c r="I63" i="14"/>
  <c r="I61" i="14"/>
  <c r="B79" i="14"/>
  <c r="B99" i="14"/>
  <c r="C104" i="1"/>
  <c r="C83" i="1"/>
  <c r="H86" i="1"/>
  <c r="H107" i="1"/>
  <c r="H125" i="1"/>
  <c r="K76" i="1"/>
  <c r="K96" i="1"/>
  <c r="K78" i="1"/>
  <c r="K98" i="1"/>
  <c r="C82" i="1"/>
  <c r="C103" i="1"/>
  <c r="C121" i="1"/>
  <c r="E65" i="14"/>
  <c r="E67" i="14"/>
  <c r="E71" i="14"/>
  <c r="E64" i="14"/>
  <c r="E70" i="14"/>
  <c r="E87" i="14"/>
  <c r="E72" i="14"/>
  <c r="E59" i="14"/>
  <c r="E66" i="14"/>
  <c r="E68" i="14"/>
  <c r="E62" i="14"/>
  <c r="C60" i="14"/>
  <c r="C62" i="14"/>
  <c r="C64" i="14"/>
  <c r="C102" i="14" s="1"/>
  <c r="C68" i="14"/>
  <c r="C70" i="14"/>
  <c r="C87" i="14" s="1"/>
  <c r="C72" i="14"/>
  <c r="C59" i="14"/>
  <c r="C63" i="14"/>
  <c r="C67" i="14"/>
  <c r="C66" i="14"/>
  <c r="C69" i="14"/>
  <c r="M79" i="1"/>
  <c r="M99" i="1"/>
  <c r="T120" i="1"/>
  <c r="C65" i="14"/>
  <c r="B89" i="14"/>
  <c r="B110" i="14"/>
  <c r="B129" i="14"/>
  <c r="N61" i="14"/>
  <c r="N67" i="14"/>
  <c r="N69" i="14"/>
  <c r="N60" i="14"/>
  <c r="N68" i="14"/>
  <c r="N66" i="14"/>
  <c r="N72" i="14"/>
  <c r="N71" i="14"/>
  <c r="N64" i="14"/>
  <c r="N63" i="14"/>
  <c r="N73" i="14" s="1"/>
  <c r="N70" i="14"/>
  <c r="N87" i="14"/>
  <c r="N59" i="14"/>
  <c r="N65" i="14"/>
  <c r="N82" i="14" s="1"/>
  <c r="R109" i="14"/>
  <c r="R88" i="14"/>
  <c r="R106" i="14"/>
  <c r="R85" i="14"/>
  <c r="R82" i="14"/>
  <c r="R103" i="14"/>
  <c r="R122" i="14" s="1"/>
  <c r="B85" i="14"/>
  <c r="B106" i="14"/>
  <c r="B84" i="14"/>
  <c r="B105" i="14"/>
  <c r="M83" i="1"/>
  <c r="M104" i="1"/>
  <c r="M85" i="1"/>
  <c r="M106" i="1"/>
  <c r="B88" i="14"/>
  <c r="B109" i="14"/>
  <c r="M65" i="14"/>
  <c r="M67" i="14"/>
  <c r="M71" i="14"/>
  <c r="M60" i="14"/>
  <c r="M68" i="14"/>
  <c r="M61" i="14"/>
  <c r="M78" i="14" s="1"/>
  <c r="M63" i="14"/>
  <c r="M62" i="14"/>
  <c r="M99" i="14" s="1"/>
  <c r="M66" i="14"/>
  <c r="M69" i="14"/>
  <c r="H72" i="13"/>
  <c r="H110" i="13" s="1"/>
  <c r="H59" i="13"/>
  <c r="H96" i="13" s="1"/>
  <c r="H283" i="13" s="1"/>
  <c r="H69" i="13"/>
  <c r="H107" i="13" s="1"/>
  <c r="H126" i="13" s="1"/>
  <c r="O120" i="1"/>
  <c r="H81" i="1"/>
  <c r="H102" i="1"/>
  <c r="C78" i="14"/>
  <c r="C98" i="14"/>
  <c r="J164" i="1"/>
  <c r="J123" i="1"/>
  <c r="T117" i="1"/>
  <c r="T135" i="1"/>
  <c r="L77" i="14"/>
  <c r="L97" i="14"/>
  <c r="H97" i="1"/>
  <c r="H77" i="1"/>
  <c r="C81" i="1"/>
  <c r="C102" i="1"/>
  <c r="J62" i="14"/>
  <c r="B80" i="14"/>
  <c r="T86" i="14"/>
  <c r="T107" i="14"/>
  <c r="T126" i="14" s="1"/>
  <c r="I59" i="14"/>
  <c r="D62" i="14"/>
  <c r="D67" i="14"/>
  <c r="D65" i="14"/>
  <c r="D63" i="14"/>
  <c r="D71" i="14"/>
  <c r="D61" i="14"/>
  <c r="D78" i="14" s="1"/>
  <c r="D69" i="14"/>
  <c r="D64" i="14"/>
  <c r="C85" i="1"/>
  <c r="C106" i="1"/>
  <c r="L109" i="1"/>
  <c r="L84" i="1"/>
  <c r="L105" i="1"/>
  <c r="L85" i="1"/>
  <c r="L106" i="1"/>
  <c r="J85" i="1"/>
  <c r="J106" i="1"/>
  <c r="B80" i="1"/>
  <c r="O116" i="1"/>
  <c r="O149" i="1"/>
  <c r="B76" i="14"/>
  <c r="B96" i="14"/>
  <c r="L62" i="14"/>
  <c r="L66" i="14"/>
  <c r="L72" i="14"/>
  <c r="L63" i="14"/>
  <c r="L71" i="14"/>
  <c r="L61" i="14"/>
  <c r="L69" i="14"/>
  <c r="L59" i="14"/>
  <c r="L67" i="14"/>
  <c r="L65" i="14"/>
  <c r="L64" i="14"/>
  <c r="L102" i="14" s="1"/>
  <c r="L70" i="14"/>
  <c r="L87" i="14" s="1"/>
  <c r="L68" i="14"/>
  <c r="K85" i="1"/>
  <c r="K106" i="1"/>
  <c r="H79" i="1"/>
  <c r="H99" i="1"/>
  <c r="H78" i="1"/>
  <c r="H98" i="1"/>
  <c r="H116" i="1" s="1"/>
  <c r="K84" i="1"/>
  <c r="K79" i="1"/>
  <c r="K99" i="1"/>
  <c r="C84" i="1"/>
  <c r="C105" i="1"/>
  <c r="C78" i="1"/>
  <c r="C98" i="1"/>
  <c r="H59" i="14"/>
  <c r="K61" i="14"/>
  <c r="L82" i="1"/>
  <c r="L103" i="1"/>
  <c r="L121" i="1"/>
  <c r="T115" i="1"/>
  <c r="T151" i="1"/>
  <c r="T167" i="1" s="1"/>
  <c r="T198" i="1"/>
  <c r="T99" i="14"/>
  <c r="T79" i="14"/>
  <c r="T83" i="14"/>
  <c r="T104" i="14"/>
  <c r="T82" i="14"/>
  <c r="T103" i="14"/>
  <c r="T122" i="14"/>
  <c r="T81" i="14"/>
  <c r="T102" i="14"/>
  <c r="K89" i="1"/>
  <c r="K110" i="1"/>
  <c r="K128" i="1"/>
  <c r="K83" i="1"/>
  <c r="K104" i="1"/>
  <c r="L79" i="1"/>
  <c r="L99" i="1"/>
  <c r="L73" i="1"/>
  <c r="L76" i="1"/>
  <c r="L96" i="1"/>
  <c r="L197" i="1" s="1"/>
  <c r="L81" i="1"/>
  <c r="L102" i="1"/>
  <c r="L120" i="1" s="1"/>
  <c r="J81" i="1"/>
  <c r="J102" i="1"/>
  <c r="J120" i="1" s="1"/>
  <c r="J77" i="1"/>
  <c r="J97" i="1"/>
  <c r="J151" i="1" s="1"/>
  <c r="J83" i="1"/>
  <c r="J104" i="1"/>
  <c r="B81" i="1"/>
  <c r="B102" i="1"/>
  <c r="B76" i="1"/>
  <c r="B96" i="1"/>
  <c r="B197" i="1" s="1"/>
  <c r="O174" i="14"/>
  <c r="N62" i="14"/>
  <c r="R110" i="14"/>
  <c r="R129" i="14"/>
  <c r="R89" i="14"/>
  <c r="R80" i="14"/>
  <c r="C71" i="14"/>
  <c r="B78" i="14"/>
  <c r="B98" i="14"/>
  <c r="B117" i="14" s="1"/>
  <c r="M102" i="1"/>
  <c r="M81" i="1"/>
  <c r="M77" i="1"/>
  <c r="M97" i="1"/>
  <c r="K151" i="1"/>
  <c r="K115" i="1"/>
  <c r="K198" i="1"/>
  <c r="AT123" i="13"/>
  <c r="AT174" i="13"/>
  <c r="AT200" i="13"/>
  <c r="AV115" i="13"/>
  <c r="AV174" i="13"/>
  <c r="AV136" i="13"/>
  <c r="AV137" i="13" s="1"/>
  <c r="AV200" i="13"/>
  <c r="AZ115" i="13"/>
  <c r="AZ174" i="13"/>
  <c r="AZ167" i="13"/>
  <c r="AZ196" i="13"/>
  <c r="AZ204" i="13" s="1"/>
  <c r="AV123" i="13"/>
  <c r="K122" i="1"/>
  <c r="K117" i="1"/>
  <c r="K135" i="1"/>
  <c r="L88" i="14"/>
  <c r="L109" i="14"/>
  <c r="L79" i="14"/>
  <c r="L99" i="14"/>
  <c r="M80" i="14"/>
  <c r="B124" i="14"/>
  <c r="B167" i="14"/>
  <c r="N103" i="14"/>
  <c r="N122" i="14"/>
  <c r="N85" i="14"/>
  <c r="N106" i="14"/>
  <c r="C80" i="14"/>
  <c r="E88" i="14"/>
  <c r="E109" i="14"/>
  <c r="I84" i="14"/>
  <c r="I105" i="14"/>
  <c r="M123" i="1"/>
  <c r="M164" i="1"/>
  <c r="T201" i="14"/>
  <c r="T116" i="14"/>
  <c r="T154" i="14"/>
  <c r="K83" i="14"/>
  <c r="K104" i="14"/>
  <c r="K80" i="14"/>
  <c r="K85" i="14"/>
  <c r="K106" i="14"/>
  <c r="M115" i="1"/>
  <c r="M151" i="1"/>
  <c r="M198" i="1"/>
  <c r="B152" i="14"/>
  <c r="T118" i="14"/>
  <c r="K78" i="14"/>
  <c r="K98" i="14"/>
  <c r="L76" i="14"/>
  <c r="L96" i="14"/>
  <c r="L73" i="14"/>
  <c r="L80" i="14"/>
  <c r="J124" i="1"/>
  <c r="L123" i="1"/>
  <c r="L164" i="1"/>
  <c r="C124" i="1"/>
  <c r="D86" i="14"/>
  <c r="D107" i="14"/>
  <c r="D126" i="14"/>
  <c r="D82" i="14"/>
  <c r="D103" i="14"/>
  <c r="D122" i="14"/>
  <c r="H115" i="1"/>
  <c r="H151" i="1"/>
  <c r="H167" i="1" s="1"/>
  <c r="H198" i="1"/>
  <c r="H89" i="13"/>
  <c r="M86" i="14"/>
  <c r="M107" i="14"/>
  <c r="M126" i="14" s="1"/>
  <c r="M98" i="14"/>
  <c r="M82" i="14"/>
  <c r="M103" i="14"/>
  <c r="M122" i="14" s="1"/>
  <c r="M122" i="1"/>
  <c r="R125" i="14"/>
  <c r="R141" i="14"/>
  <c r="R197" i="14"/>
  <c r="R142" i="14"/>
  <c r="N76" i="14"/>
  <c r="N96" i="14"/>
  <c r="N88" i="14"/>
  <c r="N109" i="14"/>
  <c r="N77" i="14"/>
  <c r="N97" i="14"/>
  <c r="C86" i="14"/>
  <c r="C107" i="14"/>
  <c r="C126" i="14" s="1"/>
  <c r="C76" i="14"/>
  <c r="C96" i="14"/>
  <c r="C73" i="14"/>
  <c r="E85" i="14"/>
  <c r="E106" i="14"/>
  <c r="E84" i="14"/>
  <c r="E105" i="14"/>
  <c r="K134" i="1"/>
  <c r="K167" i="1" s="1"/>
  <c r="K114" i="1"/>
  <c r="K171" i="1"/>
  <c r="K159" i="1"/>
  <c r="K197" i="1"/>
  <c r="C122" i="1"/>
  <c r="B118" i="14"/>
  <c r="B137" i="14"/>
  <c r="I78" i="14"/>
  <c r="I98" i="14"/>
  <c r="I86" i="14"/>
  <c r="I107" i="14"/>
  <c r="I126" i="14" s="1"/>
  <c r="I81" i="14"/>
  <c r="I102" i="14"/>
  <c r="I82" i="14"/>
  <c r="I103" i="14"/>
  <c r="I122" i="14"/>
  <c r="J89" i="14"/>
  <c r="J110" i="14"/>
  <c r="J129" i="14"/>
  <c r="J107" i="14"/>
  <c r="J126" i="14" s="1"/>
  <c r="J86" i="14"/>
  <c r="F77" i="14"/>
  <c r="F97" i="14"/>
  <c r="F201" i="14" s="1"/>
  <c r="J114" i="1"/>
  <c r="J159" i="1"/>
  <c r="J134" i="1"/>
  <c r="J135" i="1" s="1"/>
  <c r="J197" i="1"/>
  <c r="J171" i="1"/>
  <c r="L116" i="1"/>
  <c r="L149" i="1"/>
  <c r="D201" i="14"/>
  <c r="D116" i="14"/>
  <c r="D154" i="14"/>
  <c r="H122" i="1"/>
  <c r="R121" i="14"/>
  <c r="K86" i="14"/>
  <c r="K107" i="14"/>
  <c r="K126" i="14"/>
  <c r="K76" i="14"/>
  <c r="K96" i="14"/>
  <c r="K73" i="14"/>
  <c r="K81" i="14"/>
  <c r="K102" i="14"/>
  <c r="K121" i="14" s="1"/>
  <c r="B114" i="1"/>
  <c r="J122" i="1"/>
  <c r="L84" i="14"/>
  <c r="L105" i="14"/>
  <c r="D80" i="14"/>
  <c r="N81" i="14"/>
  <c r="N102" i="14"/>
  <c r="C85" i="14"/>
  <c r="C106" i="14"/>
  <c r="E89" i="14"/>
  <c r="E110" i="14"/>
  <c r="E129" i="14"/>
  <c r="E131" i="14" s="1"/>
  <c r="I85" i="14"/>
  <c r="I106" i="14"/>
  <c r="J80" i="14"/>
  <c r="J77" i="14"/>
  <c r="J97" i="14"/>
  <c r="B116" i="14"/>
  <c r="B154" i="14"/>
  <c r="B201" i="14"/>
  <c r="B115" i="1"/>
  <c r="B151" i="1"/>
  <c r="B198" i="1"/>
  <c r="H124" i="1"/>
  <c r="J117" i="1"/>
  <c r="M120" i="1"/>
  <c r="B120" i="1"/>
  <c r="J115" i="1"/>
  <c r="J198" i="1"/>
  <c r="L117" i="1"/>
  <c r="T121" i="14"/>
  <c r="T123" i="14"/>
  <c r="H76" i="14"/>
  <c r="H96" i="14"/>
  <c r="C164" i="1"/>
  <c r="C123" i="1"/>
  <c r="H117" i="1"/>
  <c r="K124" i="1"/>
  <c r="L81" i="14"/>
  <c r="L86" i="14"/>
  <c r="L107" i="14"/>
  <c r="L126" i="14" s="1"/>
  <c r="L89" i="14"/>
  <c r="L110" i="14"/>
  <c r="L129" i="14"/>
  <c r="B174" i="14"/>
  <c r="B200" i="14"/>
  <c r="B115" i="14"/>
  <c r="B136" i="14"/>
  <c r="B162" i="14"/>
  <c r="D98" i="14"/>
  <c r="D84" i="14"/>
  <c r="D105" i="14"/>
  <c r="D99" i="14"/>
  <c r="D79" i="14"/>
  <c r="C120" i="1"/>
  <c r="L201" i="14"/>
  <c r="L116" i="14"/>
  <c r="L154" i="14"/>
  <c r="C152" i="14"/>
  <c r="C117" i="14"/>
  <c r="H120" i="1"/>
  <c r="M83" i="14"/>
  <c r="M104" i="14"/>
  <c r="M85" i="14"/>
  <c r="M106" i="14"/>
  <c r="M77" i="14"/>
  <c r="M97" i="14"/>
  <c r="B108" i="14"/>
  <c r="B127" i="14"/>
  <c r="B128" i="14"/>
  <c r="B131" i="14" s="1"/>
  <c r="B141" i="14"/>
  <c r="B197" i="14" s="1"/>
  <c r="B263" i="14" s="1"/>
  <c r="B196" i="14"/>
  <c r="B204" i="14" s="1"/>
  <c r="B125" i="14"/>
  <c r="N89" i="14"/>
  <c r="N110" i="14"/>
  <c r="N129" i="14"/>
  <c r="N107" i="14"/>
  <c r="N126" i="14" s="1"/>
  <c r="N86" i="14"/>
  <c r="M117" i="1"/>
  <c r="C83" i="14"/>
  <c r="C104" i="14"/>
  <c r="C89" i="14"/>
  <c r="C110" i="14"/>
  <c r="C129" i="14" s="1"/>
  <c r="C131" i="14" s="1"/>
  <c r="C79" i="14"/>
  <c r="C99" i="14"/>
  <c r="E83" i="14"/>
  <c r="E104" i="14"/>
  <c r="E81" i="14"/>
  <c r="E102" i="14"/>
  <c r="E82" i="14"/>
  <c r="E103" i="14"/>
  <c r="E122" i="14" s="1"/>
  <c r="K116" i="1"/>
  <c r="K149" i="1"/>
  <c r="K90" i="1"/>
  <c r="K92" i="1"/>
  <c r="I80" i="14"/>
  <c r="I83" i="14"/>
  <c r="I104" i="14"/>
  <c r="I77" i="14"/>
  <c r="I97" i="14"/>
  <c r="J76" i="14"/>
  <c r="J96" i="14"/>
  <c r="J83" i="14"/>
  <c r="J105" i="14"/>
  <c r="J84" i="14"/>
  <c r="F86" i="14"/>
  <c r="F107" i="14"/>
  <c r="F126" i="14"/>
  <c r="B122" i="1"/>
  <c r="B121" i="14"/>
  <c r="H134" i="1"/>
  <c r="H135" i="1" s="1"/>
  <c r="H171" i="1"/>
  <c r="H197" i="1"/>
  <c r="H159" i="1"/>
  <c r="H114" i="1"/>
  <c r="M127" i="1"/>
  <c r="M130" i="1"/>
  <c r="M108" i="1"/>
  <c r="M126" i="1"/>
  <c r="B124" i="1"/>
  <c r="J127" i="1"/>
  <c r="K88" i="14"/>
  <c r="K109" i="14"/>
  <c r="K89" i="14"/>
  <c r="K110" i="14"/>
  <c r="K129" i="14"/>
  <c r="K79" i="14"/>
  <c r="K99" i="14"/>
  <c r="C116" i="1"/>
  <c r="C149" i="1"/>
  <c r="L106" i="14"/>
  <c r="L85" i="14"/>
  <c r="D102" i="14"/>
  <c r="D81" i="14"/>
  <c r="M84" i="14"/>
  <c r="M105" i="14"/>
  <c r="N78" i="14"/>
  <c r="N98" i="14"/>
  <c r="J81" i="14"/>
  <c r="J102" i="14"/>
  <c r="C88" i="14"/>
  <c r="C109" i="14"/>
  <c r="N79" i="14"/>
  <c r="N99" i="14"/>
  <c r="L134" i="1"/>
  <c r="L135" i="1" s="1"/>
  <c r="L114" i="1"/>
  <c r="L171" i="1"/>
  <c r="L159" i="1"/>
  <c r="L82" i="14"/>
  <c r="L103" i="14"/>
  <c r="L122" i="14" s="1"/>
  <c r="L78" i="14"/>
  <c r="L98" i="14"/>
  <c r="L104" i="14"/>
  <c r="L83" i="14"/>
  <c r="L124" i="1"/>
  <c r="L127" i="1"/>
  <c r="L108" i="1"/>
  <c r="L126" i="1" s="1"/>
  <c r="D88" i="14"/>
  <c r="D109" i="14"/>
  <c r="I73" i="14"/>
  <c r="I76" i="14"/>
  <c r="I96" i="14"/>
  <c r="M88" i="14"/>
  <c r="M109" i="14"/>
  <c r="M124" i="1"/>
  <c r="R128" i="14"/>
  <c r="R131" i="14" s="1"/>
  <c r="R108" i="14"/>
  <c r="R127" i="14"/>
  <c r="N80" i="14"/>
  <c r="N83" i="14"/>
  <c r="N104" i="14"/>
  <c r="N105" i="14"/>
  <c r="N84" i="14"/>
  <c r="C82" i="14"/>
  <c r="C103" i="14"/>
  <c r="C122" i="14" s="1"/>
  <c r="C84" i="14"/>
  <c r="C105" i="14"/>
  <c r="C77" i="14"/>
  <c r="C97" i="14"/>
  <c r="C154" i="14" s="1"/>
  <c r="E79" i="14"/>
  <c r="E99" i="14"/>
  <c r="E76" i="14"/>
  <c r="E96" i="14"/>
  <c r="E200" i="14" s="1"/>
  <c r="E77" i="14"/>
  <c r="E97" i="14"/>
  <c r="I79" i="14"/>
  <c r="I99" i="14"/>
  <c r="I89" i="14"/>
  <c r="I129" i="14"/>
  <c r="I88" i="14"/>
  <c r="I109" i="14"/>
  <c r="J88" i="14"/>
  <c r="J109" i="14"/>
  <c r="J103" i="14"/>
  <c r="J122" i="14" s="1"/>
  <c r="J82" i="14"/>
  <c r="J85" i="14"/>
  <c r="J106" i="14"/>
  <c r="J78" i="14"/>
  <c r="J98" i="14"/>
  <c r="L122" i="1"/>
  <c r="K120" i="1"/>
  <c r="B123" i="14"/>
  <c r="R118" i="14"/>
  <c r="T128" i="14"/>
  <c r="T131" i="14"/>
  <c r="T108" i="14"/>
  <c r="T127" i="14"/>
  <c r="K84" i="14"/>
  <c r="K105" i="14"/>
  <c r="K82" i="14"/>
  <c r="K103" i="14"/>
  <c r="K122" i="14"/>
  <c r="K77" i="14"/>
  <c r="K97" i="14"/>
  <c r="AX269" i="13"/>
  <c r="AX270" i="13" s="1"/>
  <c r="AX271" i="13" s="1"/>
  <c r="AZ210" i="13"/>
  <c r="B205" i="14"/>
  <c r="B206" i="14"/>
  <c r="N118" i="14"/>
  <c r="I121" i="14"/>
  <c r="I124" i="14"/>
  <c r="I167" i="14"/>
  <c r="L118" i="14"/>
  <c r="K201" i="14"/>
  <c r="K116" i="14"/>
  <c r="K154" i="14"/>
  <c r="K124" i="14"/>
  <c r="K167" i="14"/>
  <c r="J141" i="14"/>
  <c r="J197" i="14"/>
  <c r="J125" i="14"/>
  <c r="J142" i="14"/>
  <c r="J143" i="14" s="1"/>
  <c r="J198" i="14" s="1"/>
  <c r="J108" i="14"/>
  <c r="J127" i="14" s="1"/>
  <c r="J128" i="14"/>
  <c r="J131" i="14" s="1"/>
  <c r="E115" i="14"/>
  <c r="E136" i="14"/>
  <c r="E137" i="14" s="1"/>
  <c r="E162" i="14"/>
  <c r="E174" i="14"/>
  <c r="J121" i="14"/>
  <c r="N152" i="14"/>
  <c r="N117" i="14"/>
  <c r="K118" i="14"/>
  <c r="K128" i="14"/>
  <c r="K131" i="14" s="1"/>
  <c r="K108" i="14"/>
  <c r="K127" i="14" s="1"/>
  <c r="I123" i="14"/>
  <c r="M201" i="14"/>
  <c r="M154" i="14"/>
  <c r="M116" i="14"/>
  <c r="M123" i="14"/>
  <c r="E125" i="14"/>
  <c r="E141" i="14"/>
  <c r="E197" i="14"/>
  <c r="N116" i="14"/>
  <c r="N154" i="14"/>
  <c r="N170" i="14"/>
  <c r="N201" i="14"/>
  <c r="N174" i="14"/>
  <c r="N115" i="14"/>
  <c r="N136" i="14"/>
  <c r="N137" i="14"/>
  <c r="N162" i="14"/>
  <c r="N200" i="14"/>
  <c r="M117" i="14"/>
  <c r="M152" i="14"/>
  <c r="E108" i="14"/>
  <c r="E127" i="14" s="1"/>
  <c r="E128" i="14"/>
  <c r="E121" i="14"/>
  <c r="B142" i="14"/>
  <c r="B143" i="14"/>
  <c r="B198" i="14" s="1"/>
  <c r="L121" i="14"/>
  <c r="C141" i="14"/>
  <c r="C197" i="14"/>
  <c r="C249" i="14" s="1"/>
  <c r="C250" i="14" s="1"/>
  <c r="C125" i="14"/>
  <c r="I117" i="14"/>
  <c r="I152" i="14"/>
  <c r="I108" i="14"/>
  <c r="I127" i="14"/>
  <c r="I128" i="14"/>
  <c r="I131" i="14" s="1"/>
  <c r="I118" i="14"/>
  <c r="C201" i="14"/>
  <c r="C116" i="14"/>
  <c r="N124" i="14"/>
  <c r="N167" i="14"/>
  <c r="M128" i="14"/>
  <c r="M118" i="14"/>
  <c r="I115" i="14"/>
  <c r="I136" i="14"/>
  <c r="I162" i="14"/>
  <c r="I200" i="14"/>
  <c r="I174" i="14"/>
  <c r="L123" i="14"/>
  <c r="C128" i="14"/>
  <c r="C108" i="14"/>
  <c r="C127" i="14"/>
  <c r="D121" i="14"/>
  <c r="L125" i="14"/>
  <c r="L141" i="14"/>
  <c r="L197" i="14" s="1"/>
  <c r="E123" i="14"/>
  <c r="C118" i="14"/>
  <c r="C123" i="14"/>
  <c r="N90" i="14"/>
  <c r="N92" i="14" s="1"/>
  <c r="L90" i="14"/>
  <c r="L92" i="14" s="1"/>
  <c r="K152" i="14"/>
  <c r="K117" i="14"/>
  <c r="L108" i="14"/>
  <c r="L127" i="14"/>
  <c r="L128" i="14"/>
  <c r="L131" i="14" s="1"/>
  <c r="E118" i="14"/>
  <c r="C196" i="14"/>
  <c r="C204" i="14" s="1"/>
  <c r="C210" i="14" s="1"/>
  <c r="C124" i="14"/>
  <c r="C167" i="14"/>
  <c r="D128" i="14"/>
  <c r="D118" i="14"/>
  <c r="E201" i="14"/>
  <c r="N123" i="14"/>
  <c r="I90" i="14"/>
  <c r="I92" i="14"/>
  <c r="I146" i="14" s="1"/>
  <c r="I175" i="14" s="1"/>
  <c r="L117" i="14"/>
  <c r="L152" i="14"/>
  <c r="M124" i="14"/>
  <c r="M167" i="14"/>
  <c r="J124" i="14"/>
  <c r="J167" i="14"/>
  <c r="J196" i="14"/>
  <c r="J204" i="14" s="1"/>
  <c r="I201" i="14"/>
  <c r="I116" i="14"/>
  <c r="I154" i="14"/>
  <c r="I170" i="14" s="1"/>
  <c r="D117" i="14"/>
  <c r="D152" i="14"/>
  <c r="E124" i="14"/>
  <c r="E167" i="14"/>
  <c r="C121" i="14"/>
  <c r="K141" i="14"/>
  <c r="K197" i="14"/>
  <c r="K249" i="14" s="1"/>
  <c r="K125" i="14"/>
  <c r="K123" i="14"/>
  <c r="N141" i="14"/>
  <c r="N125" i="14"/>
  <c r="H200" i="13"/>
  <c r="H174" i="13"/>
  <c r="D124" i="14"/>
  <c r="D167" i="14"/>
  <c r="H115" i="14"/>
  <c r="H200" i="14"/>
  <c r="H174" i="14"/>
  <c r="B170" i="14"/>
  <c r="I125" i="14"/>
  <c r="I141" i="14"/>
  <c r="I197" i="14"/>
  <c r="N121" i="14"/>
  <c r="L124" i="14"/>
  <c r="L167" i="14"/>
  <c r="K174" i="14"/>
  <c r="K200" i="14"/>
  <c r="K162" i="14"/>
  <c r="K136" i="14"/>
  <c r="K115" i="14"/>
  <c r="F116" i="14"/>
  <c r="F154" i="14"/>
  <c r="N108" i="14"/>
  <c r="N127" i="14" s="1"/>
  <c r="N128" i="14"/>
  <c r="N131" i="14"/>
  <c r="R249" i="14"/>
  <c r="R263" i="14"/>
  <c r="L115" i="14"/>
  <c r="L136" i="14"/>
  <c r="L137" i="14" s="1"/>
  <c r="L162" i="14"/>
  <c r="L200" i="14"/>
  <c r="L174" i="14"/>
  <c r="AX272" i="13"/>
  <c r="AX273" i="13" s="1"/>
  <c r="AX274" i="13"/>
  <c r="AX275" i="13" s="1"/>
  <c r="R250" i="14"/>
  <c r="R251" i="14" s="1"/>
  <c r="R255" i="14"/>
  <c r="I263" i="14"/>
  <c r="I269" i="14" s="1"/>
  <c r="I249" i="14"/>
  <c r="I100" i="14"/>
  <c r="I119" i="14" s="1"/>
  <c r="C207" i="14"/>
  <c r="C208" i="14"/>
  <c r="C205" i="14"/>
  <c r="C206" i="14"/>
  <c r="L263" i="14"/>
  <c r="L249" i="14"/>
  <c r="C263" i="14"/>
  <c r="C269" i="14" s="1"/>
  <c r="C270" i="14" s="1"/>
  <c r="L196" i="14"/>
  <c r="L204" i="14" s="1"/>
  <c r="L207" i="14" s="1"/>
  <c r="L208" i="14" s="1"/>
  <c r="K263" i="14"/>
  <c r="B249" i="14"/>
  <c r="B250" i="14" s="1"/>
  <c r="B251" i="14" s="1"/>
  <c r="I196" i="14"/>
  <c r="I204" i="14"/>
  <c r="L100" i="14"/>
  <c r="L146" i="14"/>
  <c r="L175" i="14" s="1"/>
  <c r="N100" i="14"/>
  <c r="L142" i="14"/>
  <c r="L143" i="14"/>
  <c r="L198" i="14"/>
  <c r="J263" i="14"/>
  <c r="J249" i="14"/>
  <c r="L170" i="14"/>
  <c r="J207" i="14"/>
  <c r="J208" i="14" s="1"/>
  <c r="J205" i="14"/>
  <c r="J206" i="14" s="1"/>
  <c r="J210" i="14"/>
  <c r="K137" i="14"/>
  <c r="R269" i="14"/>
  <c r="R264" i="14"/>
  <c r="I142" i="14"/>
  <c r="I143" i="14" s="1"/>
  <c r="I198" i="14"/>
  <c r="I137" i="14"/>
  <c r="C142" i="14"/>
  <c r="C143" i="14"/>
  <c r="C198" i="14" s="1"/>
  <c r="E263" i="14"/>
  <c r="E249" i="14"/>
  <c r="K170" i="14"/>
  <c r="E250" i="14"/>
  <c r="E253" i="14" s="1"/>
  <c r="E255" i="14"/>
  <c r="E260" i="14" s="1"/>
  <c r="E261" i="14" s="1"/>
  <c r="N185" i="14"/>
  <c r="N202" i="14"/>
  <c r="N101" i="14"/>
  <c r="N172" i="14"/>
  <c r="C264" i="14"/>
  <c r="C265" i="14" s="1"/>
  <c r="C266" i="14" s="1"/>
  <c r="R256" i="14"/>
  <c r="R257" i="14"/>
  <c r="R260" i="14"/>
  <c r="R261" i="14" s="1"/>
  <c r="R258" i="14"/>
  <c r="R259" i="14" s="1"/>
  <c r="R265" i="14"/>
  <c r="R266" i="14" s="1"/>
  <c r="R267" i="14"/>
  <c r="R268" i="14"/>
  <c r="J250" i="14"/>
  <c r="J255" i="14"/>
  <c r="K250" i="14"/>
  <c r="K255" i="14"/>
  <c r="I250" i="14"/>
  <c r="I255" i="14"/>
  <c r="R252" i="14"/>
  <c r="R253" i="14"/>
  <c r="R254" i="14"/>
  <c r="R272" i="14"/>
  <c r="R273" i="14" s="1"/>
  <c r="R270" i="14"/>
  <c r="R271" i="14" s="1"/>
  <c r="R274" i="14"/>
  <c r="R275" i="14" s="1"/>
  <c r="J264" i="14"/>
  <c r="J269" i="14"/>
  <c r="B255" i="14"/>
  <c r="B260" i="14" s="1"/>
  <c r="B261" i="14" s="1"/>
  <c r="K264" i="14"/>
  <c r="K265" i="14" s="1"/>
  <c r="K269" i="14"/>
  <c r="K270" i="14" s="1"/>
  <c r="K271" i="14" s="1"/>
  <c r="L205" i="14"/>
  <c r="L206" i="14" s="1"/>
  <c r="L210" i="14"/>
  <c r="L250" i="14"/>
  <c r="L253" i="14" s="1"/>
  <c r="L254" i="14" s="1"/>
  <c r="L255" i="14"/>
  <c r="L256" i="14" s="1"/>
  <c r="I264" i="14"/>
  <c r="L119" i="14"/>
  <c r="L185" i="14"/>
  <c r="L202" i="14"/>
  <c r="L101" i="14"/>
  <c r="L111" i="14" s="1"/>
  <c r="L140" i="14"/>
  <c r="L172" i="14"/>
  <c r="I207" i="14"/>
  <c r="I208" i="14" s="1"/>
  <c r="I205" i="14"/>
  <c r="I206" i="14"/>
  <c r="I210" i="14"/>
  <c r="B264" i="14"/>
  <c r="B269" i="14"/>
  <c r="B274" i="14" s="1"/>
  <c r="B275" i="14" s="1"/>
  <c r="C255" i="14"/>
  <c r="L264" i="14"/>
  <c r="L267" i="14" s="1"/>
  <c r="L269" i="14"/>
  <c r="L272" i="14" s="1"/>
  <c r="L273" i="14" s="1"/>
  <c r="C211" i="14"/>
  <c r="I202" i="14"/>
  <c r="I101" i="14"/>
  <c r="I140" i="14" s="1"/>
  <c r="I172" i="14"/>
  <c r="L274" i="14"/>
  <c r="L275" i="14" s="1"/>
  <c r="L153" i="14"/>
  <c r="K272" i="14"/>
  <c r="K273" i="14"/>
  <c r="K274" i="14"/>
  <c r="K275" i="14" s="1"/>
  <c r="J272" i="14"/>
  <c r="J273" i="14" s="1"/>
  <c r="J270" i="14"/>
  <c r="J271" i="14" s="1"/>
  <c r="J274" i="14"/>
  <c r="J275" i="14" s="1"/>
  <c r="C267" i="14"/>
  <c r="C268" i="14"/>
  <c r="N153" i="14"/>
  <c r="E258" i="14"/>
  <c r="E259" i="14"/>
  <c r="E256" i="14"/>
  <c r="E257" i="14"/>
  <c r="L268" i="14"/>
  <c r="L265" i="14"/>
  <c r="L266" i="14"/>
  <c r="K267" i="14"/>
  <c r="K268" i="14"/>
  <c r="K266" i="14"/>
  <c r="J267" i="14"/>
  <c r="J268" i="14" s="1"/>
  <c r="J265" i="14"/>
  <c r="J266" i="14" s="1"/>
  <c r="I251" i="14"/>
  <c r="I252" i="14"/>
  <c r="I253" i="14"/>
  <c r="I254" i="14" s="1"/>
  <c r="J258" i="14"/>
  <c r="J259" i="14" s="1"/>
  <c r="J256" i="14"/>
  <c r="J257" i="14" s="1"/>
  <c r="J260" i="14"/>
  <c r="J261" i="14" s="1"/>
  <c r="E251" i="14"/>
  <c r="E252" i="14" s="1"/>
  <c r="E254" i="14"/>
  <c r="L145" i="14"/>
  <c r="L164" i="14"/>
  <c r="I267" i="14"/>
  <c r="I268" i="14" s="1"/>
  <c r="I265" i="14"/>
  <c r="I266" i="14"/>
  <c r="K251" i="14"/>
  <c r="K252" i="14" s="1"/>
  <c r="K253" i="14"/>
  <c r="K254" i="14" s="1"/>
  <c r="I111" i="14"/>
  <c r="I164" i="14" s="1"/>
  <c r="C258" i="14"/>
  <c r="C259" i="14" s="1"/>
  <c r="C256" i="14"/>
  <c r="C257" i="14"/>
  <c r="C260" i="14"/>
  <c r="C261" i="14" s="1"/>
  <c r="I211" i="14"/>
  <c r="I212" i="14" s="1"/>
  <c r="L189" i="14"/>
  <c r="L120" i="14"/>
  <c r="L138" i="14"/>
  <c r="L199" i="14" s="1"/>
  <c r="L139" i="14"/>
  <c r="L258" i="14"/>
  <c r="L259" i="14" s="1"/>
  <c r="L257" i="14"/>
  <c r="L260" i="14"/>
  <c r="L261" i="14"/>
  <c r="B258" i="14"/>
  <c r="B259" i="14"/>
  <c r="B256" i="14"/>
  <c r="B257" i="14"/>
  <c r="J251" i="14"/>
  <c r="J252" i="14" s="1"/>
  <c r="J253" i="14"/>
  <c r="J254" i="14" s="1"/>
  <c r="B267" i="14"/>
  <c r="B268" i="14"/>
  <c r="B265" i="14"/>
  <c r="B266" i="14"/>
  <c r="I189" i="14"/>
  <c r="I120" i="14"/>
  <c r="I139" i="14"/>
  <c r="I138" i="14"/>
  <c r="I199" i="14"/>
  <c r="I130" i="14"/>
  <c r="I132" i="14" s="1"/>
  <c r="C251" i="14"/>
  <c r="C252" i="14"/>
  <c r="C253" i="14"/>
  <c r="C254" i="14" s="1"/>
  <c r="B272" i="14"/>
  <c r="B273" i="14" s="1"/>
  <c r="B270" i="14"/>
  <c r="B271" i="14" s="1"/>
  <c r="I272" i="14"/>
  <c r="I273" i="14" s="1"/>
  <c r="I270" i="14"/>
  <c r="I271" i="14" s="1"/>
  <c r="I274" i="14"/>
  <c r="I275" i="14" s="1"/>
  <c r="L251" i="14"/>
  <c r="L252" i="14" s="1"/>
  <c r="B252" i="14"/>
  <c r="K258" i="14"/>
  <c r="K259" i="14"/>
  <c r="K256" i="14"/>
  <c r="K257" i="14" s="1"/>
  <c r="K260" i="14"/>
  <c r="K261" i="14" s="1"/>
  <c r="C272" i="14"/>
  <c r="C273" i="14"/>
  <c r="C271" i="14"/>
  <c r="I149" i="14"/>
  <c r="I184" i="14" s="1"/>
  <c r="I163" i="14"/>
  <c r="I213" i="14"/>
  <c r="I218" i="14" s="1"/>
  <c r="I219" i="14" s="1"/>
  <c r="I216" i="14"/>
  <c r="I217" i="14" s="1"/>
  <c r="I220" i="14"/>
  <c r="I221" i="14"/>
  <c r="I214" i="14"/>
  <c r="I215" i="14"/>
  <c r="I165" i="14"/>
  <c r="I181" i="14"/>
  <c r="I224" i="14"/>
  <c r="I225" i="14"/>
  <c r="I168" i="14"/>
  <c r="I228" i="14"/>
  <c r="I229" i="14" s="1"/>
  <c r="N270" i="13" l="1"/>
  <c r="N271" i="13" s="1"/>
  <c r="G270" i="13"/>
  <c r="G271" i="13" s="1"/>
  <c r="G274" i="13"/>
  <c r="G275" i="13" s="1"/>
  <c r="G272" i="13"/>
  <c r="G273" i="13" s="1"/>
  <c r="E50" i="13"/>
  <c r="BN31" i="13"/>
  <c r="BN50" i="13" s="1"/>
  <c r="AC42" i="13"/>
  <c r="AC56" i="13" s="1"/>
  <c r="AC38" i="13"/>
  <c r="K67" i="13"/>
  <c r="P66" i="13"/>
  <c r="D44" i="13"/>
  <c r="BN25" i="13"/>
  <c r="BN44" i="13" s="1"/>
  <c r="H71" i="13"/>
  <c r="H65" i="13"/>
  <c r="K56" i="13"/>
  <c r="M106" i="13"/>
  <c r="AZ283" i="13"/>
  <c r="AZ200" i="13"/>
  <c r="AT79" i="13"/>
  <c r="AT99" i="13"/>
  <c r="E272" i="13"/>
  <c r="E273" i="13" s="1"/>
  <c r="E274" i="13"/>
  <c r="E275" i="13" s="1"/>
  <c r="K38" i="13"/>
  <c r="AX62" i="13"/>
  <c r="AX64" i="13"/>
  <c r="AX72" i="13"/>
  <c r="AX69" i="13"/>
  <c r="AX60" i="13"/>
  <c r="AX77" i="13" s="1"/>
  <c r="AX70" i="13"/>
  <c r="AX87" i="13" s="1"/>
  <c r="AX59" i="13"/>
  <c r="AX65" i="13"/>
  <c r="AX68" i="13"/>
  <c r="AX67" i="13"/>
  <c r="AX66" i="13"/>
  <c r="AX63" i="13"/>
  <c r="AX80" i="13" s="1"/>
  <c r="AX61" i="13"/>
  <c r="AX71" i="13"/>
  <c r="AY256" i="13"/>
  <c r="AY257" i="13" s="1"/>
  <c r="AY258" i="13"/>
  <c r="AY259" i="13" s="1"/>
  <c r="AY260" i="13"/>
  <c r="AY261" i="13" s="1"/>
  <c r="O64" i="13"/>
  <c r="N253" i="13"/>
  <c r="N254" i="13" s="1"/>
  <c r="N251" i="13"/>
  <c r="N252" i="13" s="1"/>
  <c r="H76" i="13"/>
  <c r="E264" i="13"/>
  <c r="AT103" i="13"/>
  <c r="AT122" i="13" s="1"/>
  <c r="AT82" i="13"/>
  <c r="AZ97" i="13"/>
  <c r="AZ77" i="13"/>
  <c r="E56" i="13"/>
  <c r="E60" i="13" s="1"/>
  <c r="S256" i="13"/>
  <c r="S257" i="13" s="1"/>
  <c r="S260" i="13"/>
  <c r="S261" i="13" s="1"/>
  <c r="H86" i="13"/>
  <c r="H115" i="13"/>
  <c r="Y250" i="13"/>
  <c r="Y255" i="13"/>
  <c r="AR249" i="13"/>
  <c r="AR250" i="13" s="1"/>
  <c r="AR251" i="13" s="1"/>
  <c r="AR252" i="13" s="1"/>
  <c r="AR263" i="13"/>
  <c r="P270" i="13"/>
  <c r="P271" i="13" s="1"/>
  <c r="P272" i="13"/>
  <c r="P273" i="13" s="1"/>
  <c r="AV105" i="13"/>
  <c r="AV84" i="13"/>
  <c r="K64" i="13"/>
  <c r="K81" i="13" s="1"/>
  <c r="G250" i="13"/>
  <c r="G255" i="13"/>
  <c r="C255" i="13"/>
  <c r="C250" i="13"/>
  <c r="BO31" i="13"/>
  <c r="D50" i="13"/>
  <c r="T42" i="13"/>
  <c r="T38" i="13"/>
  <c r="D42" i="13"/>
  <c r="D38" i="13"/>
  <c r="BO23" i="13"/>
  <c r="AV283" i="13"/>
  <c r="AV162" i="13"/>
  <c r="AV86" i="13"/>
  <c r="AV107" i="13"/>
  <c r="AV126" i="13" s="1"/>
  <c r="R250" i="13"/>
  <c r="R255" i="13"/>
  <c r="BN264" i="13"/>
  <c r="BN269" i="13"/>
  <c r="AT283" i="13"/>
  <c r="AT162" i="13"/>
  <c r="AZ66" i="13"/>
  <c r="AZ104" i="13" s="1"/>
  <c r="AZ71" i="13"/>
  <c r="AZ68" i="13"/>
  <c r="AZ70" i="13"/>
  <c r="AZ87" i="13" s="1"/>
  <c r="AZ61" i="13"/>
  <c r="AZ63" i="13"/>
  <c r="Q250" i="13"/>
  <c r="Q255" i="13"/>
  <c r="H63" i="13"/>
  <c r="H80" i="13" s="1"/>
  <c r="K61" i="13"/>
  <c r="I274" i="13"/>
  <c r="I275" i="13" s="1"/>
  <c r="I272" i="13"/>
  <c r="I273" i="13" s="1"/>
  <c r="R263" i="13"/>
  <c r="AI250" i="13"/>
  <c r="AI251" i="13" s="1"/>
  <c r="AI252" i="13" s="1"/>
  <c r="AI255" i="13"/>
  <c r="L64" i="13"/>
  <c r="AT117" i="13"/>
  <c r="AT115" i="13"/>
  <c r="S267" i="13"/>
  <c r="S268" i="13" s="1"/>
  <c r="S265" i="13"/>
  <c r="S266" i="13" s="1"/>
  <c r="L60" i="13"/>
  <c r="L97" i="13" s="1"/>
  <c r="AT110" i="13"/>
  <c r="AT129" i="13" s="1"/>
  <c r="AZ64" i="13"/>
  <c r="BN34" i="13"/>
  <c r="BN53" i="13" s="1"/>
  <c r="AV152" i="13"/>
  <c r="K269" i="13"/>
  <c r="M264" i="13"/>
  <c r="M269" i="13"/>
  <c r="P267" i="13"/>
  <c r="P268" i="13" s="1"/>
  <c r="P265" i="13"/>
  <c r="P266" i="13" s="1"/>
  <c r="D55" i="13"/>
  <c r="BN36" i="13"/>
  <c r="BN55" i="13" s="1"/>
  <c r="BO36" i="13"/>
  <c r="AJ56" i="13"/>
  <c r="B251" i="13"/>
  <c r="B252" i="13" s="1"/>
  <c r="B264" i="13"/>
  <c r="B265" i="13" s="1"/>
  <c r="B266" i="13" s="1"/>
  <c r="B269" i="13"/>
  <c r="BO24" i="13"/>
  <c r="N42" i="13"/>
  <c r="N38" i="13"/>
  <c r="BO25" i="13"/>
  <c r="V42" i="13"/>
  <c r="V38" i="13"/>
  <c r="AN56" i="13"/>
  <c r="AV60" i="13"/>
  <c r="AN260" i="13"/>
  <c r="AN261" i="13" s="1"/>
  <c r="AN258" i="13"/>
  <c r="AN259" i="13" s="1"/>
  <c r="J249" i="13"/>
  <c r="I44" i="13"/>
  <c r="AA42" i="13"/>
  <c r="AA38" i="13"/>
  <c r="AJ60" i="13"/>
  <c r="AG263" i="13"/>
  <c r="AG249" i="13"/>
  <c r="AG255" i="13" s="1"/>
  <c r="W250" i="13"/>
  <c r="W255" i="13"/>
  <c r="AZ249" i="13"/>
  <c r="AZ250" i="13" s="1"/>
  <c r="AZ263" i="13"/>
  <c r="T250" i="13"/>
  <c r="T253" i="13" s="1"/>
  <c r="T254" i="13" s="1"/>
  <c r="T255" i="13"/>
  <c r="AT84" i="13"/>
  <c r="AT105" i="13"/>
  <c r="BN250" i="13"/>
  <c r="BN255" i="13"/>
  <c r="F263" i="13"/>
  <c r="F249" i="13"/>
  <c r="AR67" i="13"/>
  <c r="AZ69" i="13"/>
  <c r="AT60" i="13"/>
  <c r="AT69" i="13"/>
  <c r="AT64" i="13"/>
  <c r="O56" i="13"/>
  <c r="AR56" i="13"/>
  <c r="BJ255" i="13"/>
  <c r="BJ256" i="13" s="1"/>
  <c r="BJ257" i="13" s="1"/>
  <c r="BJ250" i="13"/>
  <c r="BJ251" i="13" s="1"/>
  <c r="BJ252" i="13" s="1"/>
  <c r="E250" i="13"/>
  <c r="E255" i="13"/>
  <c r="Q38" i="13"/>
  <c r="E38" i="13"/>
  <c r="P56" i="13"/>
  <c r="X42" i="13"/>
  <c r="X38" i="13"/>
  <c r="AN71" i="13"/>
  <c r="AP67" i="13"/>
  <c r="AV71" i="13"/>
  <c r="AZ62" i="13"/>
  <c r="AZ79" i="13" s="1"/>
  <c r="D269" i="13"/>
  <c r="D272" i="13" s="1"/>
  <c r="D273" i="13" s="1"/>
  <c r="BO30" i="13"/>
  <c r="BN30" i="13"/>
  <c r="BN49" i="13" s="1"/>
  <c r="B38" i="13"/>
  <c r="BO27" i="13"/>
  <c r="B45" i="13"/>
  <c r="BN26" i="13"/>
  <c r="BN45" i="13" s="1"/>
  <c r="AV65" i="13"/>
  <c r="BE258" i="13"/>
  <c r="BE259" i="13" s="1"/>
  <c r="G38" i="13"/>
  <c r="Q45" i="13"/>
  <c r="C43" i="13"/>
  <c r="C56" i="13" s="1"/>
  <c r="O42" i="13"/>
  <c r="O38" i="13"/>
  <c r="AF42" i="13"/>
  <c r="AF38" i="13"/>
  <c r="T56" i="13"/>
  <c r="BB38" i="13"/>
  <c r="AC251" i="13"/>
  <c r="AC252" i="13" s="1"/>
  <c r="AX256" i="13"/>
  <c r="AX257" i="13" s="1"/>
  <c r="AK249" i="13"/>
  <c r="L56" i="13"/>
  <c r="AP56" i="13"/>
  <c r="AP62" i="13" s="1"/>
  <c r="AE255" i="13"/>
  <c r="AX250" i="13"/>
  <c r="G56" i="13"/>
  <c r="G60" i="13" s="1"/>
  <c r="S56" i="13"/>
  <c r="F38" i="13"/>
  <c r="R56" i="13"/>
  <c r="R70" i="13" s="1"/>
  <c r="R87" i="13" s="1"/>
  <c r="AQ38" i="13"/>
  <c r="AA263" i="13"/>
  <c r="AC255" i="13"/>
  <c r="AC256" i="13" s="1"/>
  <c r="AC257" i="13" s="1"/>
  <c r="AF249" i="13"/>
  <c r="AF255" i="13" s="1"/>
  <c r="AL250" i="13"/>
  <c r="BG263" i="13"/>
  <c r="BG258" i="13"/>
  <c r="BG259" i="13" s="1"/>
  <c r="BL38" i="13"/>
  <c r="BK38" i="13"/>
  <c r="B56" i="13"/>
  <c r="B67" i="13" s="1"/>
  <c r="AD253" i="13"/>
  <c r="AD254" i="13" s="1"/>
  <c r="AO249" i="13"/>
  <c r="BI255" i="13"/>
  <c r="BI250" i="13"/>
  <c r="BI251" i="13" s="1"/>
  <c r="BI252" i="13" s="1"/>
  <c r="BC250" i="13"/>
  <c r="BC255" i="13"/>
  <c r="BA263" i="13"/>
  <c r="BF255" i="13"/>
  <c r="BH249" i="13"/>
  <c r="BF253" i="13"/>
  <c r="BF254" i="13" s="1"/>
  <c r="BG256" i="13"/>
  <c r="BG257" i="13" s="1"/>
  <c r="AY253" i="13"/>
  <c r="AY254" i="13" s="1"/>
  <c r="AV250" i="13"/>
  <c r="AV255" i="13"/>
  <c r="AS250" i="13"/>
  <c r="AS255" i="13"/>
  <c r="AI258" i="13"/>
  <c r="AI259" i="13" s="1"/>
  <c r="AM250" i="13"/>
  <c r="AM251" i="13" s="1"/>
  <c r="AM252" i="13" s="1"/>
  <c r="AV263" i="13"/>
  <c r="AW256" i="13"/>
  <c r="AW257" i="13" s="1"/>
  <c r="AM258" i="13"/>
  <c r="AM259" i="13" s="1"/>
  <c r="AL263" i="13"/>
  <c r="AJ249" i="13"/>
  <c r="AH250" i="13"/>
  <c r="AI253" i="13"/>
  <c r="AI254" i="13" s="1"/>
  <c r="AR253" i="13"/>
  <c r="AR254" i="13" s="1"/>
  <c r="AA255" i="13"/>
  <c r="AA250" i="13"/>
  <c r="AD255" i="13"/>
  <c r="AC258" i="13"/>
  <c r="AC259" i="13" s="1"/>
  <c r="AE258" i="13"/>
  <c r="AE259" i="13" s="1"/>
  <c r="U263" i="13"/>
  <c r="U269" i="13" s="1"/>
  <c r="T264" i="13"/>
  <c r="T267" i="13" s="1"/>
  <c r="T268" i="13" s="1"/>
  <c r="I232" i="14"/>
  <c r="I233" i="14" s="1"/>
  <c r="I226" i="14"/>
  <c r="I227" i="14" s="1"/>
  <c r="I230" i="14"/>
  <c r="I231" i="14" s="1"/>
  <c r="I234" i="14"/>
  <c r="I235" i="14" s="1"/>
  <c r="I236" i="14"/>
  <c r="I237" i="14" s="1"/>
  <c r="I182" i="14"/>
  <c r="I150" i="14" s="1"/>
  <c r="I166" i="14"/>
  <c r="L173" i="14"/>
  <c r="L163" i="14"/>
  <c r="L149" i="14"/>
  <c r="L211" i="14"/>
  <c r="L213" i="14"/>
  <c r="C212" i="14"/>
  <c r="C213" i="14"/>
  <c r="I258" i="14"/>
  <c r="I259" i="14" s="1"/>
  <c r="I256" i="14"/>
  <c r="I257" i="14" s="1"/>
  <c r="I260" i="14"/>
  <c r="I261" i="14" s="1"/>
  <c r="I222" i="14"/>
  <c r="I223" i="14" s="1"/>
  <c r="N120" i="14"/>
  <c r="N189" i="14"/>
  <c r="N138" i="14"/>
  <c r="N199" i="14" s="1"/>
  <c r="N139" i="14"/>
  <c r="N111" i="14"/>
  <c r="E264" i="14"/>
  <c r="E269" i="14"/>
  <c r="L130" i="14"/>
  <c r="L132" i="14" s="1"/>
  <c r="I173" i="14"/>
  <c r="L270" i="14"/>
  <c r="L271" i="14" s="1"/>
  <c r="N197" i="14"/>
  <c r="N196" i="14"/>
  <c r="N204" i="14" s="1"/>
  <c r="N142" i="14"/>
  <c r="N143" i="14" s="1"/>
  <c r="N198" i="14" s="1"/>
  <c r="I145" i="14"/>
  <c r="C274" i="14"/>
  <c r="C275" i="14" s="1"/>
  <c r="B253" i="14"/>
  <c r="B254" i="14" s="1"/>
  <c r="N140" i="14"/>
  <c r="J116" i="14"/>
  <c r="J201" i="14"/>
  <c r="J211" i="14" s="1"/>
  <c r="J154" i="14"/>
  <c r="K100" i="1"/>
  <c r="M125" i="14"/>
  <c r="M141" i="14"/>
  <c r="C174" i="14"/>
  <c r="C200" i="14"/>
  <c r="C115" i="14"/>
  <c r="C162" i="14"/>
  <c r="C136" i="14"/>
  <c r="I185" i="14"/>
  <c r="N146" i="14"/>
  <c r="N175" i="14" s="1"/>
  <c r="N119" i="14"/>
  <c r="N130" i="14" s="1"/>
  <c r="N132" i="14" s="1"/>
  <c r="AZ207" i="13"/>
  <c r="AZ208" i="13" s="1"/>
  <c r="AZ205" i="13"/>
  <c r="AZ206" i="13" s="1"/>
  <c r="J152" i="14"/>
  <c r="J117" i="14"/>
  <c r="J174" i="14"/>
  <c r="J200" i="14"/>
  <c r="J115" i="14"/>
  <c r="J136" i="14"/>
  <c r="J162" i="14"/>
  <c r="K90" i="14"/>
  <c r="K92" i="14" s="1"/>
  <c r="E142" i="14"/>
  <c r="E196" i="14"/>
  <c r="E204" i="14" s="1"/>
  <c r="B207" i="14"/>
  <c r="B208" i="14" s="1"/>
  <c r="B210" i="14"/>
  <c r="K142" i="14"/>
  <c r="K143" i="14" s="1"/>
  <c r="K198" i="14" s="1"/>
  <c r="K196" i="14"/>
  <c r="K204" i="14" s="1"/>
  <c r="E116" i="14"/>
  <c r="E154" i="14"/>
  <c r="E170" i="14" s="1"/>
  <c r="H129" i="13"/>
  <c r="J104" i="14"/>
  <c r="J167" i="1"/>
  <c r="B73" i="14"/>
  <c r="B82" i="14"/>
  <c r="B90" i="14" s="1"/>
  <c r="B92" i="14" s="1"/>
  <c r="C89" i="1"/>
  <c r="C110" i="1"/>
  <c r="C128" i="1" s="1"/>
  <c r="M79" i="14"/>
  <c r="H67" i="14"/>
  <c r="H65" i="14"/>
  <c r="H60" i="14"/>
  <c r="H71" i="14"/>
  <c r="H63" i="14"/>
  <c r="H64" i="14"/>
  <c r="H62" i="14"/>
  <c r="H66" i="14"/>
  <c r="H68" i="14"/>
  <c r="H72" i="14"/>
  <c r="H61" i="14"/>
  <c r="AZ129" i="13"/>
  <c r="L90" i="1"/>
  <c r="L92" i="1" s="1"/>
  <c r="J79" i="14"/>
  <c r="J90" i="14" s="1"/>
  <c r="J92" i="14" s="1"/>
  <c r="J99" i="14"/>
  <c r="K105" i="1"/>
  <c r="K73" i="1"/>
  <c r="C76" i="1"/>
  <c r="C96" i="1"/>
  <c r="T149" i="1"/>
  <c r="T116" i="1"/>
  <c r="K88" i="1"/>
  <c r="K109" i="1"/>
  <c r="C109" i="1"/>
  <c r="C88" i="1"/>
  <c r="C81" i="14"/>
  <c r="C90" i="14" s="1"/>
  <c r="C92" i="14" s="1"/>
  <c r="H69" i="14"/>
  <c r="B103" i="14"/>
  <c r="B122" i="14" s="1"/>
  <c r="F64" i="14"/>
  <c r="F70" i="14"/>
  <c r="F87" i="14" s="1"/>
  <c r="F62" i="14"/>
  <c r="F66" i="14"/>
  <c r="O115" i="14"/>
  <c r="O200" i="14"/>
  <c r="F67" i="14"/>
  <c r="T84" i="14"/>
  <c r="T105" i="14"/>
  <c r="J270" i="13"/>
  <c r="J271" i="13" s="1"/>
  <c r="J274" i="13"/>
  <c r="J275" i="13" s="1"/>
  <c r="J272" i="13"/>
  <c r="J273" i="13" s="1"/>
  <c r="O274" i="13"/>
  <c r="O275" i="13" s="1"/>
  <c r="O270" i="13"/>
  <c r="O271" i="13" s="1"/>
  <c r="O272" i="13"/>
  <c r="O273" i="13" s="1"/>
  <c r="K102" i="13"/>
  <c r="F61" i="14"/>
  <c r="L77" i="13"/>
  <c r="L77" i="1"/>
  <c r="L97" i="1"/>
  <c r="B171" i="1"/>
  <c r="H149" i="1"/>
  <c r="F65" i="14"/>
  <c r="D68" i="14"/>
  <c r="D66" i="14"/>
  <c r="D70" i="14"/>
  <c r="D87" i="14" s="1"/>
  <c r="D72" i="14"/>
  <c r="D59" i="14"/>
  <c r="M61" i="13"/>
  <c r="M65" i="13"/>
  <c r="M60" i="13"/>
  <c r="M63" i="13"/>
  <c r="M66" i="13"/>
  <c r="M67" i="13"/>
  <c r="M72" i="13"/>
  <c r="M69" i="13"/>
  <c r="M71" i="13"/>
  <c r="M62" i="13"/>
  <c r="M64" i="13"/>
  <c r="M59" i="13"/>
  <c r="F71" i="14"/>
  <c r="M70" i="13"/>
  <c r="M87" i="13" s="1"/>
  <c r="F63" i="14"/>
  <c r="T106" i="14"/>
  <c r="F72" i="14"/>
  <c r="H64" i="13"/>
  <c r="H62" i="13"/>
  <c r="H70" i="13"/>
  <c r="H87" i="13" s="1"/>
  <c r="H68" i="13"/>
  <c r="H66" i="13"/>
  <c r="H67" i="13"/>
  <c r="H60" i="13"/>
  <c r="H61" i="13"/>
  <c r="F59" i="14"/>
  <c r="R76" i="14"/>
  <c r="R96" i="14"/>
  <c r="B164" i="1"/>
  <c r="B123" i="1"/>
  <c r="F68" i="14"/>
  <c r="M70" i="14"/>
  <c r="M87" i="14" s="1"/>
  <c r="M72" i="14"/>
  <c r="M59" i="14"/>
  <c r="M64" i="14"/>
  <c r="K84" i="13"/>
  <c r="K105" i="13"/>
  <c r="R97" i="14"/>
  <c r="R77" i="14"/>
  <c r="C69" i="1"/>
  <c r="C63" i="1"/>
  <c r="C62" i="1"/>
  <c r="C60" i="1"/>
  <c r="O264" i="13"/>
  <c r="S81" i="1"/>
  <c r="S102" i="1"/>
  <c r="R67" i="14"/>
  <c r="R61" i="14"/>
  <c r="P64" i="14"/>
  <c r="T270" i="13"/>
  <c r="T271" i="13" s="1"/>
  <c r="T274" i="13"/>
  <c r="T275" i="13" s="1"/>
  <c r="T86" i="1"/>
  <c r="T107" i="1"/>
  <c r="Q274" i="13"/>
  <c r="Q275" i="13" s="1"/>
  <c r="E63" i="14"/>
  <c r="T96" i="14"/>
  <c r="Q256" i="13"/>
  <c r="Q257" i="13" s="1"/>
  <c r="AT88" i="13"/>
  <c r="AT109" i="13"/>
  <c r="S69" i="14"/>
  <c r="R66" i="14"/>
  <c r="T63" i="14"/>
  <c r="T61" i="14"/>
  <c r="P60" i="14"/>
  <c r="M61" i="1"/>
  <c r="M59" i="1"/>
  <c r="M69" i="1"/>
  <c r="AX97" i="13"/>
  <c r="AT106" i="13"/>
  <c r="J264" i="13"/>
  <c r="T272" i="13"/>
  <c r="T273" i="13" s="1"/>
  <c r="O70" i="14"/>
  <c r="O87" i="14" s="1"/>
  <c r="O64" i="14"/>
  <c r="O71" i="14"/>
  <c r="O61" i="14"/>
  <c r="O66" i="14"/>
  <c r="O63" i="14"/>
  <c r="O68" i="14"/>
  <c r="O67" i="14"/>
  <c r="O69" i="14"/>
  <c r="O65" i="14"/>
  <c r="R69" i="14"/>
  <c r="Q270" i="13"/>
  <c r="Q271" i="13" s="1"/>
  <c r="J72" i="1"/>
  <c r="J65" i="1"/>
  <c r="J61" i="1"/>
  <c r="G63" i="13"/>
  <c r="G69" i="13"/>
  <c r="AN66" i="13"/>
  <c r="AN59" i="13"/>
  <c r="AN69" i="13"/>
  <c r="AN67" i="13"/>
  <c r="AN68" i="13"/>
  <c r="AN65" i="13"/>
  <c r="AN70" i="13"/>
  <c r="AN87" i="13" s="1"/>
  <c r="AN63" i="13"/>
  <c r="AN72" i="13"/>
  <c r="AN60" i="13"/>
  <c r="O62" i="14"/>
  <c r="G71" i="13"/>
  <c r="T62" i="13"/>
  <c r="T60" i="13"/>
  <c r="T63" i="13"/>
  <c r="T66" i="13"/>
  <c r="D270" i="13"/>
  <c r="D271" i="13" s="1"/>
  <c r="AZ80" i="13"/>
  <c r="T265" i="13"/>
  <c r="T266" i="13" s="1"/>
  <c r="AM253" i="13"/>
  <c r="AM254" i="13" s="1"/>
  <c r="T88" i="1"/>
  <c r="T109" i="1"/>
  <c r="L63" i="13"/>
  <c r="L61" i="13"/>
  <c r="L66" i="13"/>
  <c r="H109" i="1"/>
  <c r="K267" i="13"/>
  <c r="K268" i="13" s="1"/>
  <c r="K265" i="13"/>
  <c r="K266" i="13" s="1"/>
  <c r="L71" i="13"/>
  <c r="S72" i="13"/>
  <c r="S68" i="13"/>
  <c r="R65" i="13"/>
  <c r="R63" i="13"/>
  <c r="E61" i="14"/>
  <c r="R70" i="14"/>
  <c r="R87" i="14" s="1"/>
  <c r="S197" i="1"/>
  <c r="M260" i="13"/>
  <c r="M261" i="13" s="1"/>
  <c r="M256" i="13"/>
  <c r="M257" i="13" s="1"/>
  <c r="AV85" i="13"/>
  <c r="AV106" i="13"/>
  <c r="O85" i="1"/>
  <c r="O106" i="1"/>
  <c r="S56" i="14"/>
  <c r="S60" i="14" s="1"/>
  <c r="S62" i="1"/>
  <c r="O79" i="1"/>
  <c r="O99" i="1"/>
  <c r="F45" i="13"/>
  <c r="P68" i="1"/>
  <c r="P56" i="1"/>
  <c r="F38" i="1"/>
  <c r="F42" i="1"/>
  <c r="U42" i="13"/>
  <c r="U38" i="13"/>
  <c r="AA72" i="13"/>
  <c r="AA71" i="13"/>
  <c r="AA70" i="13"/>
  <c r="AA87" i="13" s="1"/>
  <c r="AA69" i="13"/>
  <c r="AA62" i="13"/>
  <c r="AA61" i="13"/>
  <c r="AA60" i="13"/>
  <c r="AA59" i="13"/>
  <c r="AA56" i="13"/>
  <c r="AA67" i="13" s="1"/>
  <c r="O88" i="1"/>
  <c r="H53" i="14"/>
  <c r="H70" i="14" s="1"/>
  <c r="H87" i="14" s="1"/>
  <c r="Q42" i="14"/>
  <c r="O59" i="1"/>
  <c r="E38" i="1"/>
  <c r="P66" i="14"/>
  <c r="P63" i="14"/>
  <c r="O63" i="1"/>
  <c r="N45" i="1"/>
  <c r="N38" i="1"/>
  <c r="D38" i="1"/>
  <c r="B71" i="1"/>
  <c r="G38" i="14"/>
  <c r="K63" i="13"/>
  <c r="S66" i="1"/>
  <c r="S69" i="1"/>
  <c r="P67" i="13"/>
  <c r="B267" i="13"/>
  <c r="B268" i="13" s="1"/>
  <c r="T251" i="13"/>
  <c r="T252" i="13" s="1"/>
  <c r="AV64" i="13"/>
  <c r="O67" i="1"/>
  <c r="O72" i="1"/>
  <c r="C38" i="1"/>
  <c r="AL42" i="13"/>
  <c r="AL38" i="13"/>
  <c r="S71" i="1"/>
  <c r="S68" i="1"/>
  <c r="P56" i="14"/>
  <c r="S61" i="1"/>
  <c r="L38" i="13"/>
  <c r="L38" i="1"/>
  <c r="AR60" i="13"/>
  <c r="Y251" i="13"/>
  <c r="Y252" i="13" s="1"/>
  <c r="Y253" i="13"/>
  <c r="Y254" i="13" s="1"/>
  <c r="V35" i="14"/>
  <c r="S72" i="1"/>
  <c r="O60" i="14"/>
  <c r="AV72" i="13"/>
  <c r="O69" i="1"/>
  <c r="P38" i="1"/>
  <c r="L46" i="15"/>
  <c r="L64" i="15" s="1"/>
  <c r="U35" i="14"/>
  <c r="U54" i="14" s="1"/>
  <c r="E38" i="14"/>
  <c r="J38" i="13"/>
  <c r="J42" i="13"/>
  <c r="AJ62" i="13"/>
  <c r="B61" i="1"/>
  <c r="U29" i="14"/>
  <c r="U48" i="14" s="1"/>
  <c r="S65" i="1"/>
  <c r="S73" i="1" s="1"/>
  <c r="B256" i="13"/>
  <c r="B257" i="13" s="1"/>
  <c r="U31" i="14"/>
  <c r="U50" i="14" s="1"/>
  <c r="U23" i="14"/>
  <c r="L263" i="13"/>
  <c r="L249" i="13"/>
  <c r="R49" i="1"/>
  <c r="R38" i="1"/>
  <c r="I38" i="1"/>
  <c r="I49" i="1"/>
  <c r="AR62" i="13"/>
  <c r="AI38" i="13"/>
  <c r="AG256" i="13"/>
  <c r="AG257" i="13" s="1"/>
  <c r="AG258" i="13"/>
  <c r="AG259" i="13" s="1"/>
  <c r="AG260" i="13"/>
  <c r="AG261" i="13" s="1"/>
  <c r="V31" i="14"/>
  <c r="S67" i="1"/>
  <c r="O66" i="1"/>
  <c r="P65" i="14"/>
  <c r="B38" i="14"/>
  <c r="B38" i="1"/>
  <c r="H50" i="1"/>
  <c r="H67" i="1" s="1"/>
  <c r="H38" i="1"/>
  <c r="AK64" i="13"/>
  <c r="AF258" i="13"/>
  <c r="AF259" i="13" s="1"/>
  <c r="AF256" i="13"/>
  <c r="AF257" i="13" s="1"/>
  <c r="AF260" i="13"/>
  <c r="AF261" i="13" s="1"/>
  <c r="B72" i="1"/>
  <c r="B62" i="1"/>
  <c r="N256" i="13"/>
  <c r="N257" i="13" s="1"/>
  <c r="P59" i="13"/>
  <c r="V36" i="14"/>
  <c r="S60" i="1"/>
  <c r="T67" i="1"/>
  <c r="G42" i="14"/>
  <c r="E52" i="14"/>
  <c r="E69" i="14" s="1"/>
  <c r="R56" i="1"/>
  <c r="B65" i="1"/>
  <c r="P60" i="13"/>
  <c r="S38" i="13"/>
  <c r="M38" i="13"/>
  <c r="U24" i="14"/>
  <c r="U43" i="14" s="1"/>
  <c r="J38" i="14"/>
  <c r="H38" i="13"/>
  <c r="O70" i="1"/>
  <c r="O87" i="1" s="1"/>
  <c r="Q38" i="1"/>
  <c r="Q42" i="1"/>
  <c r="G38" i="1"/>
  <c r="G42" i="1"/>
  <c r="V56" i="13"/>
  <c r="V62" i="13" s="1"/>
  <c r="AB42" i="13"/>
  <c r="AB38" i="13"/>
  <c r="D42" i="1"/>
  <c r="AQ66" i="13"/>
  <c r="AK62" i="13"/>
  <c r="BD38" i="13"/>
  <c r="U264" i="13"/>
  <c r="AG250" i="13"/>
  <c r="AI60" i="13"/>
  <c r="AM59" i="13"/>
  <c r="AM56" i="13"/>
  <c r="AM61" i="13" s="1"/>
  <c r="BF56" i="13"/>
  <c r="BF72" i="13" s="1"/>
  <c r="AY70" i="13"/>
  <c r="AY87" i="13" s="1"/>
  <c r="BG62" i="13"/>
  <c r="BE56" i="13"/>
  <c r="BE59" i="13" s="1"/>
  <c r="AU56" i="13"/>
  <c r="AU67" i="13" s="1"/>
  <c r="AU59" i="13"/>
  <c r="V68" i="13"/>
  <c r="V63" i="13"/>
  <c r="Z71" i="13"/>
  <c r="Z70" i="13"/>
  <c r="Z87" i="13" s="1"/>
  <c r="Z56" i="13"/>
  <c r="Z69" i="13" s="1"/>
  <c r="Z59" i="13"/>
  <c r="AM63" i="13"/>
  <c r="AK56" i="13"/>
  <c r="AK61" i="13" s="1"/>
  <c r="AK59" i="13"/>
  <c r="AZ38" i="13"/>
  <c r="BH70" i="13"/>
  <c r="BH87" i="13" s="1"/>
  <c r="BD69" i="13"/>
  <c r="BD64" i="13"/>
  <c r="BD56" i="13"/>
  <c r="BD72" i="13" s="1"/>
  <c r="V249" i="13"/>
  <c r="V263" i="13"/>
  <c r="M38" i="1"/>
  <c r="Y72" i="13"/>
  <c r="Y68" i="13"/>
  <c r="Y67" i="13"/>
  <c r="Y66" i="13"/>
  <c r="Y64" i="13"/>
  <c r="Y63" i="13"/>
  <c r="Y61" i="13"/>
  <c r="Y56" i="13"/>
  <c r="Y62" i="13" s="1"/>
  <c r="AS56" i="13"/>
  <c r="AS61" i="13" s="1"/>
  <c r="AY38" i="13"/>
  <c r="BE72" i="13"/>
  <c r="AU72" i="13"/>
  <c r="BG70" i="13"/>
  <c r="BG87" i="13" s="1"/>
  <c r="BI68" i="13"/>
  <c r="BE67" i="13"/>
  <c r="AY63" i="13"/>
  <c r="BE62" i="13"/>
  <c r="AU62" i="13"/>
  <c r="BC42" i="13"/>
  <c r="BC38" i="13"/>
  <c r="AF250" i="13"/>
  <c r="K38" i="1"/>
  <c r="V72" i="13"/>
  <c r="X72" i="13"/>
  <c r="X68" i="13"/>
  <c r="X67" i="13"/>
  <c r="X66" i="13"/>
  <c r="X65" i="13"/>
  <c r="X64" i="13"/>
  <c r="X62" i="13"/>
  <c r="X61" i="13"/>
  <c r="X56" i="13"/>
  <c r="X63" i="13" s="1"/>
  <c r="X59" i="13"/>
  <c r="AM69" i="13"/>
  <c r="AK63" i="13"/>
  <c r="AI56" i="13"/>
  <c r="AI67" i="13" s="1"/>
  <c r="BI38" i="13"/>
  <c r="AX38" i="13"/>
  <c r="BH63" i="13"/>
  <c r="BB56" i="13"/>
  <c r="BB64" i="13" s="1"/>
  <c r="Z253" i="13"/>
  <c r="Z254" i="13" s="1"/>
  <c r="W56" i="13"/>
  <c r="W66" i="13" s="1"/>
  <c r="AM72" i="13"/>
  <c r="AK66" i="13"/>
  <c r="AQ64" i="13"/>
  <c r="AM60" i="13"/>
  <c r="AQ56" i="13"/>
  <c r="AQ62" i="13" s="1"/>
  <c r="AH38" i="13"/>
  <c r="BH38" i="13"/>
  <c r="AW38" i="13"/>
  <c r="AY71" i="13"/>
  <c r="BE70" i="13"/>
  <c r="BE87" i="13" s="1"/>
  <c r="AU70" i="13"/>
  <c r="AU87" i="13" s="1"/>
  <c r="BE65" i="13"/>
  <c r="AU65" i="13"/>
  <c r="AY61" i="13"/>
  <c r="BA56" i="13"/>
  <c r="BA67" i="13" s="1"/>
  <c r="AC260" i="13"/>
  <c r="AC261" i="13" s="1"/>
  <c r="V71" i="13"/>
  <c r="V66" i="13"/>
  <c r="AF56" i="13"/>
  <c r="AF66" i="13" s="1"/>
  <c r="AR38" i="13"/>
  <c r="AM65" i="13"/>
  <c r="AM38" i="13"/>
  <c r="AP38" i="13"/>
  <c r="AH56" i="13"/>
  <c r="AH72" i="13" s="1"/>
  <c r="BG38" i="13"/>
  <c r="AV38" i="13"/>
  <c r="BD70" i="13"/>
  <c r="BD87" i="13" s="1"/>
  <c r="BF68" i="13"/>
  <c r="AV251" i="13"/>
  <c r="AV252" i="13" s="1"/>
  <c r="AV253" i="13"/>
  <c r="AV254" i="13" s="1"/>
  <c r="AE71" i="13"/>
  <c r="AE70" i="13"/>
  <c r="AE87" i="13" s="1"/>
  <c r="AE60" i="13"/>
  <c r="AE56" i="13"/>
  <c r="AE72" i="13" s="1"/>
  <c r="AN38" i="13"/>
  <c r="AK72" i="13"/>
  <c r="AQ70" i="13"/>
  <c r="AQ87" i="13" s="1"/>
  <c r="AM68" i="13"/>
  <c r="AQ61" i="13"/>
  <c r="AK38" i="13"/>
  <c r="AG38" i="13"/>
  <c r="AG42" i="13"/>
  <c r="BF38" i="13"/>
  <c r="AU38" i="13"/>
  <c r="AY69" i="13"/>
  <c r="BE68" i="13"/>
  <c r="AU68" i="13"/>
  <c r="BE63" i="13"/>
  <c r="AU63" i="13"/>
  <c r="BA62" i="13"/>
  <c r="BI56" i="13"/>
  <c r="BI70" i="13" s="1"/>
  <c r="BI87" i="13" s="1"/>
  <c r="BI59" i="13"/>
  <c r="AY56" i="13"/>
  <c r="AY65" i="13" s="1"/>
  <c r="BJ38" i="13"/>
  <c r="E42" i="1"/>
  <c r="V65" i="13"/>
  <c r="V60" i="13"/>
  <c r="AD56" i="13"/>
  <c r="AD65" i="13" s="1"/>
  <c r="AD59" i="13"/>
  <c r="AJ38" i="13"/>
  <c r="AM71" i="13"/>
  <c r="AQ63" i="13"/>
  <c r="AS38" i="13"/>
  <c r="AK60" i="13"/>
  <c r="AO42" i="13"/>
  <c r="AO38" i="13"/>
  <c r="BE38" i="13"/>
  <c r="AT38" i="13"/>
  <c r="BD68" i="13"/>
  <c r="BH64" i="13"/>
  <c r="BH56" i="13"/>
  <c r="BH72" i="13" s="1"/>
  <c r="W263" i="13"/>
  <c r="Y260" i="13"/>
  <c r="Y261" i="13" s="1"/>
  <c r="AK255" i="13"/>
  <c r="AK250" i="13"/>
  <c r="AU249" i="13"/>
  <c r="AU263" i="13"/>
  <c r="AT263" i="13"/>
  <c r="AT249" i="13"/>
  <c r="AL258" i="13"/>
  <c r="AL259" i="13" s="1"/>
  <c r="AL260" i="13"/>
  <c r="AL261" i="13" s="1"/>
  <c r="AL256" i="13"/>
  <c r="AL257" i="13" s="1"/>
  <c r="AB255" i="13"/>
  <c r="AQ263" i="13"/>
  <c r="AQ249" i="13"/>
  <c r="AZ255" i="13"/>
  <c r="Y69" i="13"/>
  <c r="AQ68" i="13"/>
  <c r="AM66" i="13"/>
  <c r="AY72" i="13"/>
  <c r="BA70" i="13"/>
  <c r="BA87" i="13" s="1"/>
  <c r="BI67" i="13"/>
  <c r="BE66" i="13"/>
  <c r="AU66" i="13"/>
  <c r="AY62" i="13"/>
  <c r="BE61" i="13"/>
  <c r="BG56" i="13"/>
  <c r="BG60" i="13" s="1"/>
  <c r="AW56" i="13"/>
  <c r="AW61" i="13" s="1"/>
  <c r="BJ56" i="13"/>
  <c r="BJ65" i="13" s="1"/>
  <c r="AC263" i="13"/>
  <c r="AN250" i="13"/>
  <c r="AP249" i="13"/>
  <c r="AP263" i="13"/>
  <c r="AO255" i="13"/>
  <c r="AO250" i="13"/>
  <c r="AB46" i="15"/>
  <c r="AB64" i="15" s="1"/>
  <c r="AB47" i="15"/>
  <c r="AB65" i="15" s="1"/>
  <c r="BE251" i="13"/>
  <c r="BE252" i="13" s="1"/>
  <c r="BE253" i="13"/>
  <c r="BE254" i="13" s="1"/>
  <c r="BB250" i="13"/>
  <c r="BB255" i="13"/>
  <c r="BA250" i="13"/>
  <c r="BA255" i="13"/>
  <c r="AR255" i="13"/>
  <c r="BD256" i="13"/>
  <c r="BD257" i="13" s="1"/>
  <c r="BD258" i="13"/>
  <c r="BD259" i="13" s="1"/>
  <c r="BD260" i="13"/>
  <c r="BD261" i="13" s="1"/>
  <c r="BI256" i="13"/>
  <c r="BI257" i="13" s="1"/>
  <c r="BI258" i="13"/>
  <c r="BI259" i="13" s="1"/>
  <c r="BI260" i="13"/>
  <c r="BI261" i="13" s="1"/>
  <c r="BE263" i="13"/>
  <c r="BJ253" i="13"/>
  <c r="BJ254" i="13" s="1"/>
  <c r="BD263" i="13"/>
  <c r="BI253" i="13"/>
  <c r="BI254" i="13" s="1"/>
  <c r="BJ260" i="13"/>
  <c r="BJ261" i="13" s="1"/>
  <c r="BJ258" i="13"/>
  <c r="BJ259" i="13" s="1"/>
  <c r="BG253" i="13"/>
  <c r="BG254" i="13" s="1"/>
  <c r="AS47" i="15"/>
  <c r="AS46" i="15"/>
  <c r="AS64" i="15" s="1"/>
  <c r="AI47" i="15"/>
  <c r="AI65" i="15" s="1"/>
  <c r="AI46" i="15"/>
  <c r="AI64" i="15" s="1"/>
  <c r="AC46" i="15"/>
  <c r="AC64" i="15" s="1"/>
  <c r="AC47" i="15"/>
  <c r="AC65" i="15" s="1"/>
  <c r="Y47" i="15"/>
  <c r="Y65" i="15" s="1"/>
  <c r="Y46" i="15"/>
  <c r="Y64" i="15" s="1"/>
  <c r="AP46" i="15"/>
  <c r="AP64" i="15" s="1"/>
  <c r="AP47" i="15"/>
  <c r="AP65" i="15" s="1"/>
  <c r="AF46" i="15"/>
  <c r="AF64" i="15" s="1"/>
  <c r="AF47" i="15"/>
  <c r="AF65" i="15" s="1"/>
  <c r="X46" i="15"/>
  <c r="X64" i="15" s="1"/>
  <c r="X75" i="15" s="1"/>
  <c r="X47" i="15"/>
  <c r="X65" i="15" s="1"/>
  <c r="AY47" i="15"/>
  <c r="AY65" i="15" s="1"/>
  <c r="AY46" i="15"/>
  <c r="AY64" i="15" s="1"/>
  <c r="AO46" i="15"/>
  <c r="AO64" i="15" s="1"/>
  <c r="AO47" i="15"/>
  <c r="AO65" i="15" s="1"/>
  <c r="V47" i="15"/>
  <c r="V65" i="15" s="1"/>
  <c r="V46" i="15"/>
  <c r="V64" i="15" s="1"/>
  <c r="BC47" i="15"/>
  <c r="BC65" i="15" s="1"/>
  <c r="BC75" i="15" s="1"/>
  <c r="BC46" i="15"/>
  <c r="BC64" i="15" s="1"/>
  <c r="AE46" i="15"/>
  <c r="AE64" i="15" s="1"/>
  <c r="AE47" i="15"/>
  <c r="AE65" i="15" s="1"/>
  <c r="U47" i="15"/>
  <c r="U65" i="15" s="1"/>
  <c r="U46" i="15"/>
  <c r="U64" i="15" s="1"/>
  <c r="AV46" i="15"/>
  <c r="AV64" i="15" s="1"/>
  <c r="AV47" i="15"/>
  <c r="AV65" i="15" s="1"/>
  <c r="AL46" i="15"/>
  <c r="AL64" i="15" s="1"/>
  <c r="AL75" i="15" s="1"/>
  <c r="AL93" i="15" s="1"/>
  <c r="AL47" i="15"/>
  <c r="AL65" i="15" s="1"/>
  <c r="AD47" i="15"/>
  <c r="AD65" i="15" s="1"/>
  <c r="AD46" i="15"/>
  <c r="AD64" i="15" s="1"/>
  <c r="AU47" i="15"/>
  <c r="AU65" i="15" s="1"/>
  <c r="AU46" i="15"/>
  <c r="AU64" i="15" s="1"/>
  <c r="AK47" i="15"/>
  <c r="AK46" i="15"/>
  <c r="AK64" i="15" s="1"/>
  <c r="Z47" i="15"/>
  <c r="Z65" i="15" s="1"/>
  <c r="Z46" i="15"/>
  <c r="Z64" i="15" s="1"/>
  <c r="BA47" i="15"/>
  <c r="BA65" i="15" s="1"/>
  <c r="BA46" i="15"/>
  <c r="BA64" i="15" s="1"/>
  <c r="BK38" i="15"/>
  <c r="BK46" i="15"/>
  <c r="BK64" i="15" s="1"/>
  <c r="BH46" i="15"/>
  <c r="BH64" i="15" s="1"/>
  <c r="BH47" i="15"/>
  <c r="BH65" i="15" s="1"/>
  <c r="BH38" i="15"/>
  <c r="BH43" i="15"/>
  <c r="BH61" i="15" s="1"/>
  <c r="BJ46" i="15"/>
  <c r="BJ64" i="15" s="1"/>
  <c r="BG46" i="15"/>
  <c r="BG64" i="15" s="1"/>
  <c r="BG75" i="15" s="1"/>
  <c r="BG86" i="15" s="1"/>
  <c r="BG47" i="15"/>
  <c r="BG65" i="15" s="1"/>
  <c r="BE46" i="15"/>
  <c r="BE64" i="15" s="1"/>
  <c r="AH46" i="15"/>
  <c r="AH64" i="15" s="1"/>
  <c r="AN46" i="15"/>
  <c r="AN64" i="15" s="1"/>
  <c r="AN47" i="15"/>
  <c r="AN65" i="15" s="1"/>
  <c r="AN75" i="15" s="1"/>
  <c r="BG38" i="15"/>
  <c r="BI47" i="15"/>
  <c r="AG46" i="15"/>
  <c r="AG64" i="15" s="1"/>
  <c r="AM46" i="15"/>
  <c r="AM64" i="15" s="1"/>
  <c r="AM47" i="15"/>
  <c r="AM65" i="15" s="1"/>
  <c r="BF47" i="15"/>
  <c r="BF65" i="15" s="1"/>
  <c r="AZ46" i="15"/>
  <c r="AZ64" i="15" s="1"/>
  <c r="AZ75" i="15" s="1"/>
  <c r="AZ87" i="15" s="1"/>
  <c r="BD47" i="15"/>
  <c r="BD65" i="15" s="1"/>
  <c r="BD46" i="15"/>
  <c r="BD64" i="15" s="1"/>
  <c r="BD38" i="15"/>
  <c r="BD43" i="15"/>
  <c r="BD61" i="15" s="1"/>
  <c r="AA46" i="15"/>
  <c r="AA64" i="15" s="1"/>
  <c r="AX46" i="15"/>
  <c r="AX64" i="15" s="1"/>
  <c r="W46" i="15"/>
  <c r="W64" i="15" s="1"/>
  <c r="AT47" i="15"/>
  <c r="AT65" i="15" s="1"/>
  <c r="AT46" i="15"/>
  <c r="AT64" i="15" s="1"/>
  <c r="AJ47" i="15"/>
  <c r="AJ65" i="15" s="1"/>
  <c r="AJ75" i="15" s="1"/>
  <c r="AJ46" i="15"/>
  <c r="AJ64" i="15" s="1"/>
  <c r="BL38" i="15"/>
  <c r="AW47" i="15"/>
  <c r="AQ46" i="15"/>
  <c r="AQ64" i="15" s="1"/>
  <c r="AR46" i="15"/>
  <c r="AR64" i="15" s="1"/>
  <c r="AR47" i="15"/>
  <c r="AR65" i="15" s="1"/>
  <c r="BB46" i="15"/>
  <c r="BB64" i="15" s="1"/>
  <c r="BB47" i="15"/>
  <c r="BB65" i="15" s="1"/>
  <c r="BB74" i="15"/>
  <c r="AP74" i="15"/>
  <c r="AD74" i="15"/>
  <c r="Z74" i="15"/>
  <c r="BE73" i="15"/>
  <c r="BA73" i="15"/>
  <c r="AO73" i="15"/>
  <c r="AK73" i="15"/>
  <c r="Y73" i="15"/>
  <c r="U73" i="15"/>
  <c r="BG71" i="15"/>
  <c r="AY71" i="15"/>
  <c r="AQ71" i="15"/>
  <c r="AI71" i="15"/>
  <c r="W71" i="15"/>
  <c r="BB70" i="15"/>
  <c r="AP70" i="15"/>
  <c r="AD70" i="15"/>
  <c r="V70" i="15"/>
  <c r="BE69" i="15"/>
  <c r="AW69" i="15"/>
  <c r="AO69" i="15"/>
  <c r="AC69" i="15"/>
  <c r="U69" i="15"/>
  <c r="BD68" i="15"/>
  <c r="AV68" i="15"/>
  <c r="AN68" i="15"/>
  <c r="AF68" i="15"/>
  <c r="AF75" i="15" s="1"/>
  <c r="X68" i="15"/>
  <c r="BC57" i="15"/>
  <c r="BC67" i="15"/>
  <c r="AY57" i="15"/>
  <c r="AY67" i="15"/>
  <c r="AM67" i="15"/>
  <c r="AI67" i="15"/>
  <c r="W57" i="15"/>
  <c r="W67" i="15"/>
  <c r="BB66" i="15"/>
  <c r="AX66" i="15"/>
  <c r="AX75" i="15" s="1"/>
  <c r="AL66" i="15"/>
  <c r="Z66" i="15"/>
  <c r="BE65" i="15"/>
  <c r="AS65" i="15"/>
  <c r="AS75" i="15" s="1"/>
  <c r="AS92" i="15" s="1"/>
  <c r="AG65" i="15"/>
  <c r="AX57" i="15"/>
  <c r="Z57" i="15"/>
  <c r="V57" i="15"/>
  <c r="AG57" i="15"/>
  <c r="AR57" i="15"/>
  <c r="X57" i="15"/>
  <c r="BJ74" i="15"/>
  <c r="AX74" i="15"/>
  <c r="AL74" i="15"/>
  <c r="V74" i="15"/>
  <c r="AW73" i="15"/>
  <c r="AC73" i="15"/>
  <c r="BK71" i="15"/>
  <c r="BK75" i="15" s="1"/>
  <c r="AU71" i="15"/>
  <c r="AE71" i="15"/>
  <c r="BJ70" i="15"/>
  <c r="BJ75" i="15" s="1"/>
  <c r="AX70" i="15"/>
  <c r="AL70" i="15"/>
  <c r="Z70" i="15"/>
  <c r="BA69" i="15"/>
  <c r="AK69" i="15"/>
  <c r="Y69" i="15"/>
  <c r="AZ68" i="15"/>
  <c r="AJ68" i="15"/>
  <c r="BK57" i="15"/>
  <c r="BK67" i="15"/>
  <c r="AQ67" i="15"/>
  <c r="AA57" i="15"/>
  <c r="AA67" i="15"/>
  <c r="BF66" i="15"/>
  <c r="AT66" i="15"/>
  <c r="AH66" i="15"/>
  <c r="AH75" i="15" s="1"/>
  <c r="AH93" i="15" s="1"/>
  <c r="V66" i="15"/>
  <c r="V75" i="15" s="1"/>
  <c r="AW65" i="15"/>
  <c r="AW75" i="15" s="1"/>
  <c r="AW92" i="15" s="1"/>
  <c r="AK65" i="15"/>
  <c r="AS57" i="15"/>
  <c r="AC57" i="15"/>
  <c r="BH57" i="15"/>
  <c r="AV57" i="15"/>
  <c r="AN57" i="15"/>
  <c r="BF74" i="15"/>
  <c r="AT74" i="15"/>
  <c r="AH74" i="15"/>
  <c r="BI73" i="15"/>
  <c r="AS73" i="15"/>
  <c r="AG73" i="15"/>
  <c r="BC71" i="15"/>
  <c r="AM71" i="15"/>
  <c r="AM75" i="15" s="1"/>
  <c r="AM86" i="15" s="1"/>
  <c r="AA71" i="15"/>
  <c r="BF70" i="15"/>
  <c r="AT70" i="15"/>
  <c r="AH70" i="15"/>
  <c r="BI69" i="15"/>
  <c r="AS69" i="15"/>
  <c r="AG69" i="15"/>
  <c r="BH68" i="15"/>
  <c r="AR68" i="15"/>
  <c r="AR75" i="15" s="1"/>
  <c r="AB68" i="15"/>
  <c r="AB75" i="15" s="1"/>
  <c r="BG67" i="15"/>
  <c r="AU57" i="15"/>
  <c r="AU67" i="15"/>
  <c r="AE67" i="15"/>
  <c r="BJ66" i="15"/>
  <c r="AP66" i="15"/>
  <c r="AD66" i="15"/>
  <c r="BI65" i="15"/>
  <c r="BI57" i="15"/>
  <c r="AW57" i="15"/>
  <c r="AK57" i="15"/>
  <c r="U57" i="15"/>
  <c r="AF57" i="15"/>
  <c r="AQ75" i="15"/>
  <c r="AQ86" i="15" s="1"/>
  <c r="W75" i="15"/>
  <c r="W86" i="15" s="1"/>
  <c r="BB75" i="15"/>
  <c r="BB89" i="15" s="1"/>
  <c r="BI75" i="15"/>
  <c r="AC75" i="15"/>
  <c r="Y75" i="15"/>
  <c r="BH75" i="15"/>
  <c r="BD75" i="15"/>
  <c r="AB38" i="15"/>
  <c r="X38" i="15"/>
  <c r="BB38" i="15"/>
  <c r="H47" i="15"/>
  <c r="H65" i="15" s="1"/>
  <c r="H75" i="15" s="1"/>
  <c r="H82" i="15" s="1"/>
  <c r="U38" i="15"/>
  <c r="AE38" i="15"/>
  <c r="W38" i="15"/>
  <c r="V38" i="15"/>
  <c r="AZ38" i="15"/>
  <c r="AC38" i="15"/>
  <c r="Z38" i="15"/>
  <c r="Y38" i="15"/>
  <c r="AA38" i="15"/>
  <c r="AD38" i="15"/>
  <c r="BA38" i="15"/>
  <c r="E47" i="15"/>
  <c r="E65" i="15" s="1"/>
  <c r="S47" i="15"/>
  <c r="S65" i="15" s="1"/>
  <c r="M47" i="15"/>
  <c r="M65" i="15" s="1"/>
  <c r="P47" i="15"/>
  <c r="P65" i="15" s="1"/>
  <c r="T46" i="15"/>
  <c r="T64" i="15" s="1"/>
  <c r="D46" i="15"/>
  <c r="D64" i="15" s="1"/>
  <c r="I46" i="15"/>
  <c r="I64" i="15" s="1"/>
  <c r="G47" i="15"/>
  <c r="G65" i="15" s="1"/>
  <c r="O46" i="15"/>
  <c r="O64" i="15" s="1"/>
  <c r="K47" i="15"/>
  <c r="K65" i="15" s="1"/>
  <c r="BM27" i="15"/>
  <c r="BM47" i="15" s="1"/>
  <c r="BM65" i="15" s="1"/>
  <c r="D38" i="15"/>
  <c r="S38" i="15"/>
  <c r="BM25" i="15"/>
  <c r="BM44" i="15" s="1"/>
  <c r="BM62" i="15" s="1"/>
  <c r="R38" i="15"/>
  <c r="BN23" i="15"/>
  <c r="P38" i="15"/>
  <c r="BN35" i="15"/>
  <c r="Q47" i="15"/>
  <c r="Q65" i="15" s="1"/>
  <c r="K38" i="15"/>
  <c r="M38" i="15"/>
  <c r="F38" i="15"/>
  <c r="BM29" i="15"/>
  <c r="BM49" i="15" s="1"/>
  <c r="BM67" i="15" s="1"/>
  <c r="BN27" i="15"/>
  <c r="I38" i="15"/>
  <c r="L38" i="15"/>
  <c r="H38" i="15"/>
  <c r="BN24" i="15"/>
  <c r="G38" i="15"/>
  <c r="C38" i="15"/>
  <c r="BM32" i="15"/>
  <c r="BM52" i="15" s="1"/>
  <c r="BM70" i="15" s="1"/>
  <c r="N47" i="15"/>
  <c r="N65" i="15" s="1"/>
  <c r="BM35" i="15"/>
  <c r="BM55" i="15" s="1"/>
  <c r="BM73" i="15" s="1"/>
  <c r="I44" i="15"/>
  <c r="I62" i="15" s="1"/>
  <c r="BM36" i="15"/>
  <c r="BM56" i="15" s="1"/>
  <c r="BM74" i="15" s="1"/>
  <c r="BM33" i="15"/>
  <c r="BM53" i="15" s="1"/>
  <c r="BM71" i="15" s="1"/>
  <c r="D55" i="15"/>
  <c r="D73" i="15" s="1"/>
  <c r="G42" i="15"/>
  <c r="G60" i="15" s="1"/>
  <c r="O38" i="15"/>
  <c r="BN31" i="15"/>
  <c r="L43" i="15"/>
  <c r="L61" i="15" s="1"/>
  <c r="BM24" i="15"/>
  <c r="BM43" i="15" s="1"/>
  <c r="BM61" i="15" s="1"/>
  <c r="E38" i="15"/>
  <c r="BN32" i="15"/>
  <c r="BN34" i="15"/>
  <c r="D56" i="15"/>
  <c r="D74" i="15" s="1"/>
  <c r="BN28" i="15"/>
  <c r="BN36" i="15"/>
  <c r="C42" i="15"/>
  <c r="C60" i="15" s="1"/>
  <c r="BN30" i="15"/>
  <c r="BM26" i="15"/>
  <c r="BM45" i="15" s="1"/>
  <c r="BM63" i="15" s="1"/>
  <c r="D49" i="15"/>
  <c r="D67" i="15" s="1"/>
  <c r="T38" i="15"/>
  <c r="B38" i="15"/>
  <c r="N38" i="15"/>
  <c r="R47" i="15"/>
  <c r="R65" i="15" s="1"/>
  <c r="B47" i="15"/>
  <c r="B65" i="15" s="1"/>
  <c r="B46" i="15"/>
  <c r="B64" i="15" s="1"/>
  <c r="BN33" i="15"/>
  <c r="BM31" i="15"/>
  <c r="BM51" i="15" s="1"/>
  <c r="BM69" i="15" s="1"/>
  <c r="BM30" i="15"/>
  <c r="BM50" i="15" s="1"/>
  <c r="BM68" i="15" s="1"/>
  <c r="D43" i="15"/>
  <c r="D61" i="15" s="1"/>
  <c r="BN29" i="15"/>
  <c r="BN25" i="15"/>
  <c r="J38" i="15"/>
  <c r="I69" i="15"/>
  <c r="D68" i="15"/>
  <c r="T61" i="15"/>
  <c r="R74" i="15"/>
  <c r="F63" i="15"/>
  <c r="BM23" i="15"/>
  <c r="BM42" i="15" s="1"/>
  <c r="BM60" i="15" s="1"/>
  <c r="F47" i="15"/>
  <c r="F65" i="15" s="1"/>
  <c r="J47" i="15"/>
  <c r="J65" i="15" s="1"/>
  <c r="P73" i="15"/>
  <c r="K68" i="15"/>
  <c r="J66" i="15"/>
  <c r="M72" i="15"/>
  <c r="M75" i="15" s="1"/>
  <c r="M57" i="15"/>
  <c r="G69" i="15"/>
  <c r="N71" i="15"/>
  <c r="S69" i="15"/>
  <c r="S75" i="15" s="1"/>
  <c r="S57" i="15"/>
  <c r="L69" i="15"/>
  <c r="O73" i="15"/>
  <c r="BM28" i="15"/>
  <c r="BN26" i="15"/>
  <c r="E45" i="15"/>
  <c r="C47" i="15"/>
  <c r="C46" i="15"/>
  <c r="Q38" i="15"/>
  <c r="Q43" i="15"/>
  <c r="BM34" i="15"/>
  <c r="BM54" i="15" s="1"/>
  <c r="BM72" i="15" s="1"/>
  <c r="E97" i="13" l="1"/>
  <c r="E77" i="13"/>
  <c r="AC70" i="13"/>
  <c r="AC87" i="13" s="1"/>
  <c r="AC62" i="13"/>
  <c r="AC64" i="13"/>
  <c r="AC65" i="13"/>
  <c r="AC72" i="13"/>
  <c r="AC63" i="13"/>
  <c r="G77" i="13"/>
  <c r="G97" i="13"/>
  <c r="B105" i="13"/>
  <c r="B84" i="13"/>
  <c r="AP79" i="13"/>
  <c r="AP99" i="13"/>
  <c r="C71" i="13"/>
  <c r="C61" i="13"/>
  <c r="C63" i="13"/>
  <c r="C73" i="13" s="1"/>
  <c r="C65" i="13"/>
  <c r="C60" i="13"/>
  <c r="C72" i="13"/>
  <c r="C70" i="13"/>
  <c r="C87" i="13" s="1"/>
  <c r="C59" i="13"/>
  <c r="C68" i="13"/>
  <c r="C67" i="13"/>
  <c r="C69" i="13"/>
  <c r="C62" i="13"/>
  <c r="C64" i="13"/>
  <c r="C66" i="13"/>
  <c r="Z62" i="13"/>
  <c r="BJ59" i="13"/>
  <c r="AH71" i="13"/>
  <c r="AE67" i="13"/>
  <c r="AH59" i="13"/>
  <c r="AY68" i="13"/>
  <c r="AH68" i="13"/>
  <c r="Z68" i="13"/>
  <c r="BI60" i="13"/>
  <c r="B72" i="13"/>
  <c r="AZ107" i="13"/>
  <c r="AZ126" i="13" s="1"/>
  <c r="AZ86" i="13"/>
  <c r="AZ269" i="13"/>
  <c r="AZ264" i="13"/>
  <c r="I56" i="13"/>
  <c r="I61" i="13" s="1"/>
  <c r="AZ88" i="13"/>
  <c r="AZ109" i="13"/>
  <c r="R253" i="13"/>
  <c r="R254" i="13" s="1"/>
  <c r="R251" i="13"/>
  <c r="R252" i="13" s="1"/>
  <c r="AX84" i="13"/>
  <c r="AX105" i="13"/>
  <c r="H88" i="13"/>
  <c r="H109" i="13"/>
  <c r="E256" i="13"/>
  <c r="E257" i="13" s="1"/>
  <c r="E258" i="13"/>
  <c r="E259" i="13" s="1"/>
  <c r="E260" i="13"/>
  <c r="E261" i="13" s="1"/>
  <c r="AR84" i="13"/>
  <c r="AR105" i="13"/>
  <c r="J250" i="13"/>
  <c r="J255" i="13"/>
  <c r="AZ81" i="13"/>
  <c r="AZ102" i="13"/>
  <c r="AZ121" i="13" s="1"/>
  <c r="Q56" i="13"/>
  <c r="Q62" i="13" s="1"/>
  <c r="E59" i="13"/>
  <c r="E62" i="13"/>
  <c r="E64" i="13"/>
  <c r="E68" i="13"/>
  <c r="E69" i="13"/>
  <c r="E70" i="13"/>
  <c r="E87" i="13" s="1"/>
  <c r="E63" i="13"/>
  <c r="E80" i="13" s="1"/>
  <c r="E65" i="13"/>
  <c r="E72" i="13"/>
  <c r="E66" i="13"/>
  <c r="E61" i="13"/>
  <c r="E71" i="13"/>
  <c r="O81" i="13"/>
  <c r="O102" i="13"/>
  <c r="O121" i="13" s="1"/>
  <c r="AX106" i="13"/>
  <c r="AX85" i="13"/>
  <c r="K78" i="13"/>
  <c r="K98" i="13"/>
  <c r="C251" i="13"/>
  <c r="C252" i="13" s="1"/>
  <c r="C253" i="13"/>
  <c r="C254" i="13" s="1"/>
  <c r="AX82" i="13"/>
  <c r="AX103" i="13"/>
  <c r="AX122" i="13" s="1"/>
  <c r="BI69" i="13"/>
  <c r="AW67" i="13"/>
  <c r="R61" i="13"/>
  <c r="R71" i="13"/>
  <c r="R68" i="13"/>
  <c r="R67" i="13"/>
  <c r="R62" i="13"/>
  <c r="BG69" i="13"/>
  <c r="BG61" i="13"/>
  <c r="AH61" i="13"/>
  <c r="BJ60" i="13"/>
  <c r="BI71" i="13"/>
  <c r="W59" i="13"/>
  <c r="AI59" i="13"/>
  <c r="Z60" i="13"/>
  <c r="Z77" i="13" s="1"/>
  <c r="Z72" i="13"/>
  <c r="BG67" i="13"/>
  <c r="B60" i="13"/>
  <c r="R64" i="13"/>
  <c r="B69" i="13"/>
  <c r="AV109" i="13"/>
  <c r="AV128" i="13" s="1"/>
  <c r="AV88" i="13"/>
  <c r="F269" i="13"/>
  <c r="F264" i="13"/>
  <c r="W253" i="13"/>
  <c r="W254" i="13" s="1"/>
  <c r="W251" i="13"/>
  <c r="W252" i="13" s="1"/>
  <c r="L154" i="13"/>
  <c r="L201" i="13"/>
  <c r="L116" i="13"/>
  <c r="L286" i="13" s="1"/>
  <c r="C258" i="13"/>
  <c r="C259" i="13" s="1"/>
  <c r="C256" i="13"/>
  <c r="C257" i="13" s="1"/>
  <c r="C260" i="13"/>
  <c r="C261" i="13" s="1"/>
  <c r="AZ154" i="13"/>
  <c r="AZ201" i="13"/>
  <c r="AZ211" i="13" s="1"/>
  <c r="AZ116" i="13"/>
  <c r="AZ286" i="13" s="1"/>
  <c r="AX76" i="13"/>
  <c r="AX73" i="13"/>
  <c r="AX96" i="13"/>
  <c r="AT136" i="13"/>
  <c r="AT118" i="13"/>
  <c r="AT287" i="13" s="1"/>
  <c r="AT137" i="13"/>
  <c r="P83" i="13"/>
  <c r="P104" i="13"/>
  <c r="P123" i="13" s="1"/>
  <c r="D72" i="13"/>
  <c r="AD67" i="13"/>
  <c r="Z61" i="13"/>
  <c r="B62" i="13"/>
  <c r="R59" i="13"/>
  <c r="S66" i="13"/>
  <c r="S65" i="13"/>
  <c r="S70" i="13"/>
  <c r="S87" i="13" s="1"/>
  <c r="S71" i="13"/>
  <c r="S67" i="13"/>
  <c r="S61" i="13"/>
  <c r="S69" i="13"/>
  <c r="S64" i="13"/>
  <c r="S63" i="13"/>
  <c r="S80" i="13" s="1"/>
  <c r="S62" i="13"/>
  <c r="S59" i="13"/>
  <c r="T61" i="13"/>
  <c r="T69" i="13"/>
  <c r="T72" i="13"/>
  <c r="T65" i="13"/>
  <c r="T71" i="13"/>
  <c r="T68" i="13"/>
  <c r="AV82" i="13"/>
  <c r="AV103" i="13"/>
  <c r="AV122" i="13" s="1"/>
  <c r="AP105" i="13"/>
  <c r="AP84" i="13"/>
  <c r="BN256" i="13"/>
  <c r="BN257" i="13" s="1"/>
  <c r="BN260" i="13"/>
  <c r="BN261" i="13" s="1"/>
  <c r="BN258" i="13"/>
  <c r="BN259" i="13" s="1"/>
  <c r="AV77" i="13"/>
  <c r="AV97" i="13"/>
  <c r="B272" i="13"/>
  <c r="B273" i="13" s="1"/>
  <c r="B274" i="13"/>
  <c r="B275" i="13" s="1"/>
  <c r="B270" i="13"/>
  <c r="B271" i="13" s="1"/>
  <c r="T64" i="13"/>
  <c r="L81" i="13"/>
  <c r="L102" i="13"/>
  <c r="L121" i="13" s="1"/>
  <c r="Q258" i="13"/>
  <c r="Q259" i="13" s="1"/>
  <c r="Q260" i="13"/>
  <c r="Q261" i="13" s="1"/>
  <c r="G260" i="13"/>
  <c r="G261" i="13" s="1"/>
  <c r="G256" i="13"/>
  <c r="G257" i="13" s="1"/>
  <c r="G258" i="13"/>
  <c r="G259" i="13" s="1"/>
  <c r="Y256" i="13"/>
  <c r="Y257" i="13" s="1"/>
  <c r="Y258" i="13"/>
  <c r="Y259" i="13" s="1"/>
  <c r="E67" i="13"/>
  <c r="F255" i="13"/>
  <c r="F250" i="13"/>
  <c r="BJ71" i="13"/>
  <c r="BG72" i="13"/>
  <c r="AH65" i="13"/>
  <c r="AH103" i="13" s="1"/>
  <c r="AH122" i="13" s="1"/>
  <c r="G62" i="13"/>
  <c r="G67" i="13"/>
  <c r="G68" i="13"/>
  <c r="G70" i="13"/>
  <c r="G87" i="13" s="1"/>
  <c r="G66" i="13"/>
  <c r="G72" i="13"/>
  <c r="G61" i="13"/>
  <c r="G64" i="13"/>
  <c r="G59" i="13"/>
  <c r="G65" i="13"/>
  <c r="N56" i="13"/>
  <c r="AN109" i="13"/>
  <c r="AN128" i="13" s="1"/>
  <c r="AN88" i="13"/>
  <c r="AR70" i="13"/>
  <c r="AR87" i="13" s="1"/>
  <c r="AR66" i="13"/>
  <c r="AR59" i="13"/>
  <c r="AR63" i="13"/>
  <c r="AR80" i="13" s="1"/>
  <c r="AR69" i="13"/>
  <c r="AR72" i="13"/>
  <c r="AR61" i="13"/>
  <c r="AR65" i="13"/>
  <c r="AR64" i="13"/>
  <c r="BN251" i="13"/>
  <c r="BN252" i="13" s="1"/>
  <c r="BN253" i="13"/>
  <c r="BN254" i="13" s="1"/>
  <c r="AN64" i="13"/>
  <c r="AN61" i="13"/>
  <c r="M270" i="13"/>
  <c r="M271" i="13" s="1"/>
  <c r="M272" i="13"/>
  <c r="M273" i="13" s="1"/>
  <c r="M274" i="13"/>
  <c r="M275" i="13" s="1"/>
  <c r="T67" i="13"/>
  <c r="AI260" i="13"/>
  <c r="AI261" i="13" s="1"/>
  <c r="AI256" i="13"/>
  <c r="AI257" i="13" s="1"/>
  <c r="Q251" i="13"/>
  <c r="Q252" i="13" s="1"/>
  <c r="Q253" i="13"/>
  <c r="Q254" i="13" s="1"/>
  <c r="G251" i="13"/>
  <c r="G252" i="13" s="1"/>
  <c r="G253" i="13"/>
  <c r="G254" i="13" s="1"/>
  <c r="R72" i="13"/>
  <c r="AW69" i="13"/>
  <c r="AW86" i="13" s="1"/>
  <c r="B63" i="13"/>
  <c r="B80" i="13" s="1"/>
  <c r="B64" i="13"/>
  <c r="B70" i="13"/>
  <c r="B87" i="13" s="1"/>
  <c r="B59" i="13"/>
  <c r="B66" i="13"/>
  <c r="B68" i="13"/>
  <c r="B61" i="13"/>
  <c r="B65" i="13"/>
  <c r="E253" i="13"/>
  <c r="E254" i="13" s="1"/>
  <c r="E251" i="13"/>
  <c r="E252" i="13" s="1"/>
  <c r="Z63" i="13"/>
  <c r="AZ99" i="13"/>
  <c r="D274" i="13"/>
  <c r="D275" i="13" s="1"/>
  <c r="AX251" i="13"/>
  <c r="AX252" i="13" s="1"/>
  <c r="AX253" i="13"/>
  <c r="AX254" i="13" s="1"/>
  <c r="O71" i="13"/>
  <c r="O65" i="13"/>
  <c r="O60" i="13"/>
  <c r="O66" i="13"/>
  <c r="O67" i="13"/>
  <c r="O62" i="13"/>
  <c r="O72" i="13"/>
  <c r="O70" i="13"/>
  <c r="O87" i="13" s="1"/>
  <c r="O63" i="13"/>
  <c r="O80" i="13" s="1"/>
  <c r="O68" i="13"/>
  <c r="O61" i="13"/>
  <c r="O69" i="13"/>
  <c r="AT124" i="13"/>
  <c r="AT196" i="13"/>
  <c r="AT204" i="13" s="1"/>
  <c r="AT167" i="13"/>
  <c r="AJ97" i="13"/>
  <c r="AJ77" i="13"/>
  <c r="AR71" i="13"/>
  <c r="M267" i="13"/>
  <c r="M268" i="13" s="1"/>
  <c r="M265" i="13"/>
  <c r="M266" i="13" s="1"/>
  <c r="R69" i="13"/>
  <c r="AZ73" i="13"/>
  <c r="BN274" i="13"/>
  <c r="BN275" i="13" s="1"/>
  <c r="BN270" i="13"/>
  <c r="BN271" i="13" s="1"/>
  <c r="BN272" i="13"/>
  <c r="BN273" i="13" s="1"/>
  <c r="E267" i="13"/>
  <c r="E268" i="13" s="1"/>
  <c r="E265" i="13"/>
  <c r="E266" i="13" s="1"/>
  <c r="AX109" i="13"/>
  <c r="AX88" i="13"/>
  <c r="AX86" i="13"/>
  <c r="AX107" i="13"/>
  <c r="AX126" i="13" s="1"/>
  <c r="W256" i="13"/>
  <c r="W257" i="13" s="1"/>
  <c r="W260" i="13"/>
  <c r="W261" i="13" s="1"/>
  <c r="W258" i="13"/>
  <c r="W259" i="13" s="1"/>
  <c r="BG59" i="13"/>
  <c r="BG76" i="13" s="1"/>
  <c r="AE61" i="13"/>
  <c r="W68" i="13"/>
  <c r="BI72" i="13"/>
  <c r="BI62" i="13"/>
  <c r="AY64" i="13"/>
  <c r="AE64" i="13"/>
  <c r="AE81" i="13" s="1"/>
  <c r="BH71" i="13"/>
  <c r="AK69" i="13"/>
  <c r="BA64" i="13"/>
  <c r="BJ63" i="13"/>
  <c r="BJ80" i="13" s="1"/>
  <c r="AQ71" i="13"/>
  <c r="X71" i="13"/>
  <c r="BI63" i="13"/>
  <c r="AH62" i="13"/>
  <c r="Z64" i="13"/>
  <c r="BD61" i="13"/>
  <c r="AK68" i="13"/>
  <c r="AK106" i="13" s="1"/>
  <c r="BN38" i="13"/>
  <c r="AZ83" i="13"/>
  <c r="AL251" i="13"/>
  <c r="AL252" i="13" s="1"/>
  <c r="AL253" i="13"/>
  <c r="AL254" i="13" s="1"/>
  <c r="AE256" i="13"/>
  <c r="AE257" i="13" s="1"/>
  <c r="AE260" i="13"/>
  <c r="AE261" i="13" s="1"/>
  <c r="AT102" i="13"/>
  <c r="AT121" i="13" s="1"/>
  <c r="AT81" i="13"/>
  <c r="AN62" i="13"/>
  <c r="AJ66" i="13"/>
  <c r="AJ68" i="13"/>
  <c r="AJ70" i="13"/>
  <c r="AJ87" i="13" s="1"/>
  <c r="AJ69" i="13"/>
  <c r="AJ72" i="13"/>
  <c r="AJ59" i="13"/>
  <c r="AJ65" i="13"/>
  <c r="AJ71" i="13"/>
  <c r="AJ63" i="13"/>
  <c r="AJ80" i="13" s="1"/>
  <c r="AJ67" i="13"/>
  <c r="K274" i="13"/>
  <c r="K275" i="13" s="1"/>
  <c r="K272" i="13"/>
  <c r="K273" i="13" s="1"/>
  <c r="K270" i="13"/>
  <c r="K271" i="13" s="1"/>
  <c r="B71" i="13"/>
  <c r="R264" i="13"/>
  <c r="R269" i="13"/>
  <c r="AZ78" i="13"/>
  <c r="AZ90" i="13" s="1"/>
  <c r="AZ92" i="13" s="1"/>
  <c r="AZ100" i="13" s="1"/>
  <c r="AZ146" i="13" s="1"/>
  <c r="AZ175" i="13" s="1"/>
  <c r="AZ98" i="13"/>
  <c r="BN265" i="13"/>
  <c r="BN266" i="13" s="1"/>
  <c r="BN267" i="13"/>
  <c r="BN268" i="13" s="1"/>
  <c r="D56" i="13"/>
  <c r="D59" i="13" s="1"/>
  <c r="BN56" i="13"/>
  <c r="AX78" i="13"/>
  <c r="AX90" i="13" s="1"/>
  <c r="AX92" i="13" s="1"/>
  <c r="AX98" i="13"/>
  <c r="AX89" i="13"/>
  <c r="AX110" i="13"/>
  <c r="AX129" i="13" s="1"/>
  <c r="M142" i="13"/>
  <c r="M284" i="13" s="1"/>
  <c r="M125" i="13"/>
  <c r="AJ64" i="13"/>
  <c r="AD68" i="13"/>
  <c r="AI63" i="13"/>
  <c r="AE63" i="13"/>
  <c r="AE80" i="13" s="1"/>
  <c r="BG63" i="13"/>
  <c r="BG64" i="13"/>
  <c r="BG66" i="13"/>
  <c r="AE65" i="13"/>
  <c r="BG65" i="13"/>
  <c r="AQ65" i="13"/>
  <c r="Z65" i="13"/>
  <c r="Z103" i="13" s="1"/>
  <c r="Z122" i="13" s="1"/>
  <c r="BD71" i="13"/>
  <c r="R66" i="13"/>
  <c r="AP69" i="13"/>
  <c r="AP63" i="13"/>
  <c r="AP70" i="13"/>
  <c r="AP87" i="13" s="1"/>
  <c r="AP65" i="13"/>
  <c r="AP64" i="13"/>
  <c r="AP59" i="13"/>
  <c r="AP71" i="13"/>
  <c r="AP68" i="13"/>
  <c r="AP60" i="13"/>
  <c r="AP61" i="13"/>
  <c r="AP66" i="13"/>
  <c r="P69" i="13"/>
  <c r="P64" i="13"/>
  <c r="P71" i="13"/>
  <c r="P72" i="13"/>
  <c r="P70" i="13"/>
  <c r="P87" i="13" s="1"/>
  <c r="P65" i="13"/>
  <c r="P68" i="13"/>
  <c r="P62" i="13"/>
  <c r="P63" i="13"/>
  <c r="P80" i="13" s="1"/>
  <c r="P61" i="13"/>
  <c r="AT86" i="13"/>
  <c r="AT107" i="13"/>
  <c r="AT126" i="13" s="1"/>
  <c r="T256" i="13"/>
  <c r="T257" i="13" s="1"/>
  <c r="T258" i="13"/>
  <c r="T259" i="13" s="1"/>
  <c r="T260" i="13"/>
  <c r="T261" i="13" s="1"/>
  <c r="AJ61" i="13"/>
  <c r="AV167" i="13"/>
  <c r="AV196" i="13"/>
  <c r="AV204" i="13" s="1"/>
  <c r="AV124" i="13"/>
  <c r="AX81" i="13"/>
  <c r="AX102" i="13"/>
  <c r="AX121" i="13" s="1"/>
  <c r="K68" i="13"/>
  <c r="K65" i="13"/>
  <c r="K60" i="13"/>
  <c r="K62" i="13"/>
  <c r="K70" i="13"/>
  <c r="K87" i="13" s="1"/>
  <c r="K66" i="13"/>
  <c r="K72" i="13"/>
  <c r="K69" i="13"/>
  <c r="K59" i="13"/>
  <c r="K71" i="13"/>
  <c r="AR68" i="13"/>
  <c r="AK70" i="13"/>
  <c r="AK87" i="13" s="1"/>
  <c r="BD63" i="13"/>
  <c r="AK65" i="13"/>
  <c r="AE66" i="13"/>
  <c r="AI61" i="13"/>
  <c r="BD62" i="13"/>
  <c r="BD99" i="13" s="1"/>
  <c r="Y60" i="13"/>
  <c r="AK67" i="13"/>
  <c r="AK84" i="13" s="1"/>
  <c r="Z67" i="13"/>
  <c r="Z105" i="13" s="1"/>
  <c r="AY60" i="13"/>
  <c r="AK71" i="13"/>
  <c r="R60" i="13"/>
  <c r="L68" i="13"/>
  <c r="L70" i="13"/>
  <c r="L87" i="13" s="1"/>
  <c r="L72" i="13"/>
  <c r="L65" i="13"/>
  <c r="L62" i="13"/>
  <c r="L69" i="13"/>
  <c r="L67" i="13"/>
  <c r="L59" i="13"/>
  <c r="O59" i="13"/>
  <c r="AT97" i="13"/>
  <c r="AT77" i="13"/>
  <c r="T70" i="13"/>
  <c r="T87" i="13" s="1"/>
  <c r="S60" i="13"/>
  <c r="AZ85" i="13"/>
  <c r="AZ106" i="13"/>
  <c r="R256" i="13"/>
  <c r="R257" i="13" s="1"/>
  <c r="R260" i="13"/>
  <c r="R261" i="13" s="1"/>
  <c r="R258" i="13"/>
  <c r="R259" i="13" s="1"/>
  <c r="T59" i="13"/>
  <c r="AT73" i="13"/>
  <c r="AX83" i="13"/>
  <c r="AX104" i="13"/>
  <c r="AX123" i="13" s="1"/>
  <c r="AX79" i="13"/>
  <c r="AX99" i="13"/>
  <c r="AX118" i="13" s="1"/>
  <c r="AX287" i="13" s="1"/>
  <c r="H82" i="13"/>
  <c r="H103" i="13"/>
  <c r="H122" i="13" s="1"/>
  <c r="AP72" i="13"/>
  <c r="BH255" i="13"/>
  <c r="BH250" i="13"/>
  <c r="BF256" i="13"/>
  <c r="BF257" i="13" s="1"/>
  <c r="BF258" i="13"/>
  <c r="BF259" i="13" s="1"/>
  <c r="BF260" i="13"/>
  <c r="BF261" i="13" s="1"/>
  <c r="BC256" i="13"/>
  <c r="BC257" i="13" s="1"/>
  <c r="BC258" i="13"/>
  <c r="BC259" i="13" s="1"/>
  <c r="BC260" i="13"/>
  <c r="BC261" i="13" s="1"/>
  <c r="BC251" i="13"/>
  <c r="BC252" i="13" s="1"/>
  <c r="BC253" i="13"/>
  <c r="BC254" i="13" s="1"/>
  <c r="AS260" i="13"/>
  <c r="AS261" i="13" s="1"/>
  <c r="AS258" i="13"/>
  <c r="AS259" i="13" s="1"/>
  <c r="AS256" i="13"/>
  <c r="AS257" i="13" s="1"/>
  <c r="AS251" i="13"/>
  <c r="AS252" i="13" s="1"/>
  <c r="AS253" i="13"/>
  <c r="AS254" i="13" s="1"/>
  <c r="AH251" i="13"/>
  <c r="AH252" i="13" s="1"/>
  <c r="AH253" i="13"/>
  <c r="AH254" i="13" s="1"/>
  <c r="AJ250" i="13"/>
  <c r="AJ255" i="13"/>
  <c r="AV260" i="13"/>
  <c r="AV261" i="13" s="1"/>
  <c r="AV258" i="13"/>
  <c r="AV259" i="13" s="1"/>
  <c r="AV256" i="13"/>
  <c r="AV257" i="13" s="1"/>
  <c r="AD256" i="13"/>
  <c r="AD257" i="13" s="1"/>
  <c r="AD260" i="13"/>
  <c r="AD261" i="13" s="1"/>
  <c r="AD258" i="13"/>
  <c r="AD259" i="13" s="1"/>
  <c r="AA251" i="13"/>
  <c r="AA252" i="13" s="1"/>
  <c r="AA253" i="13"/>
  <c r="AA254" i="13" s="1"/>
  <c r="AA258" i="13"/>
  <c r="AA259" i="13" s="1"/>
  <c r="AA256" i="13"/>
  <c r="AA257" i="13" s="1"/>
  <c r="AA260" i="13"/>
  <c r="AA261" i="13" s="1"/>
  <c r="U270" i="13"/>
  <c r="U271" i="13" s="1"/>
  <c r="U272" i="13"/>
  <c r="U273" i="13" s="1"/>
  <c r="U274" i="13"/>
  <c r="U275" i="13" s="1"/>
  <c r="AE89" i="13"/>
  <c r="AE110" i="13"/>
  <c r="AE129" i="13" s="1"/>
  <c r="Z86" i="13"/>
  <c r="Z107" i="13"/>
  <c r="Z126" i="13" s="1"/>
  <c r="J100" i="14"/>
  <c r="J146" i="14" s="1"/>
  <c r="J175" i="14" s="1"/>
  <c r="B100" i="14"/>
  <c r="B146" i="14"/>
  <c r="B175" i="14" s="1"/>
  <c r="AD103" i="13"/>
  <c r="AD122" i="13" s="1"/>
  <c r="AD82" i="13"/>
  <c r="BG97" i="13"/>
  <c r="BG77" i="13"/>
  <c r="W83" i="13"/>
  <c r="W104" i="13"/>
  <c r="BK86" i="15"/>
  <c r="BK90" i="15"/>
  <c r="BF89" i="13"/>
  <c r="BF110" i="13"/>
  <c r="BF129" i="13" s="1"/>
  <c r="BA105" i="13"/>
  <c r="BA84" i="13"/>
  <c r="AI84" i="13"/>
  <c r="AI105" i="13"/>
  <c r="AQ79" i="13"/>
  <c r="AQ99" i="13"/>
  <c r="AU84" i="13"/>
  <c r="AU105" i="13"/>
  <c r="S97" i="14"/>
  <c r="S77" i="14"/>
  <c r="BH89" i="13"/>
  <c r="BH110" i="13"/>
  <c r="BH129" i="13" s="1"/>
  <c r="BB102" i="13"/>
  <c r="BB81" i="13"/>
  <c r="Y79" i="13"/>
  <c r="Y99" i="13"/>
  <c r="BE76" i="13"/>
  <c r="BE96" i="13"/>
  <c r="BE283" i="13" s="1"/>
  <c r="V99" i="13"/>
  <c r="V79" i="13"/>
  <c r="AA105" i="13"/>
  <c r="AA84" i="13"/>
  <c r="AF83" i="13"/>
  <c r="AF104" i="13"/>
  <c r="X80" i="13"/>
  <c r="AM98" i="13"/>
  <c r="AM78" i="13"/>
  <c r="AY82" i="13"/>
  <c r="AY103" i="13"/>
  <c r="AY122" i="13" s="1"/>
  <c r="BD110" i="13"/>
  <c r="BD129" i="13" s="1"/>
  <c r="BD89" i="13"/>
  <c r="BJ103" i="13"/>
  <c r="BJ122" i="13" s="1"/>
  <c r="BJ82" i="13"/>
  <c r="AH110" i="13"/>
  <c r="AH129" i="13" s="1"/>
  <c r="AH89" i="13"/>
  <c r="AZ57" i="15"/>
  <c r="BG57" i="15"/>
  <c r="BA57" i="15"/>
  <c r="BA258" i="13"/>
  <c r="BA259" i="13" s="1"/>
  <c r="BA256" i="13"/>
  <c r="BA257" i="13" s="1"/>
  <c r="BA260" i="13"/>
  <c r="BA261" i="13" s="1"/>
  <c r="BE98" i="13"/>
  <c r="BE78" i="13"/>
  <c r="BI84" i="13"/>
  <c r="BI105" i="13"/>
  <c r="AS64" i="13"/>
  <c r="AQ255" i="13"/>
  <c r="AQ250" i="13"/>
  <c r="AO56" i="13"/>
  <c r="AO59" i="13" s="1"/>
  <c r="AM109" i="13"/>
  <c r="AM88" i="13"/>
  <c r="AD66" i="13"/>
  <c r="E56" i="1"/>
  <c r="E59" i="1" s="1"/>
  <c r="BG98" i="13"/>
  <c r="BG78" i="13"/>
  <c r="AU85" i="13"/>
  <c r="AU106" i="13"/>
  <c r="AG56" i="13"/>
  <c r="AM85" i="13"/>
  <c r="AM106" i="13"/>
  <c r="BH66" i="13"/>
  <c r="AH78" i="13"/>
  <c r="AH98" i="13"/>
  <c r="AF67" i="13"/>
  <c r="AW63" i="13"/>
  <c r="BA69" i="13"/>
  <c r="AM110" i="13"/>
  <c r="AM129" i="13" s="1"/>
  <c r="AM89" i="13"/>
  <c r="W67" i="13"/>
  <c r="AS67" i="13"/>
  <c r="X102" i="13"/>
  <c r="X81" i="13"/>
  <c r="V67" i="13"/>
  <c r="BA61" i="13"/>
  <c r="BE84" i="13"/>
  <c r="BE105" i="13"/>
  <c r="AS59" i="13"/>
  <c r="Y80" i="13"/>
  <c r="BB66" i="13"/>
  <c r="AM80" i="13"/>
  <c r="BI65" i="13"/>
  <c r="AC61" i="13"/>
  <c r="AC71" i="13"/>
  <c r="AB56" i="13"/>
  <c r="AB59" i="13"/>
  <c r="Q56" i="1"/>
  <c r="Q59" i="1" s="1"/>
  <c r="B103" i="1"/>
  <c r="B121" i="1" s="1"/>
  <c r="B82" i="1"/>
  <c r="AK102" i="13"/>
  <c r="AK81" i="13"/>
  <c r="I56" i="1"/>
  <c r="I66" i="1"/>
  <c r="AH60" i="13"/>
  <c r="AL56" i="13"/>
  <c r="AL59" i="13" s="1"/>
  <c r="P80" i="14"/>
  <c r="AA68" i="13"/>
  <c r="AV142" i="13"/>
  <c r="AV125" i="13"/>
  <c r="R77" i="13"/>
  <c r="R97" i="13"/>
  <c r="C85" i="13"/>
  <c r="C106" i="13"/>
  <c r="T99" i="13"/>
  <c r="T79" i="13"/>
  <c r="AN86" i="13"/>
  <c r="AN107" i="13"/>
  <c r="AN126" i="13" s="1"/>
  <c r="J110" i="1"/>
  <c r="J89" i="1"/>
  <c r="O84" i="14"/>
  <c r="O105" i="14"/>
  <c r="C84" i="13"/>
  <c r="C105" i="13"/>
  <c r="C86" i="13"/>
  <c r="C107" i="13"/>
  <c r="C126" i="13" s="1"/>
  <c r="C96" i="13"/>
  <c r="C283" i="13" s="1"/>
  <c r="C76" i="13"/>
  <c r="H84" i="13"/>
  <c r="H105" i="13"/>
  <c r="M76" i="13"/>
  <c r="M96" i="13"/>
  <c r="M283" i="13" s="1"/>
  <c r="M73" i="13"/>
  <c r="M103" i="13"/>
  <c r="M122" i="13" s="1"/>
  <c r="M82" i="13"/>
  <c r="K127" i="1"/>
  <c r="K130" i="1" s="1"/>
  <c r="K108" i="1"/>
  <c r="K126" i="1" s="1"/>
  <c r="H80" i="14"/>
  <c r="I158" i="14"/>
  <c r="I190" i="14" s="1"/>
  <c r="I191" i="14" s="1"/>
  <c r="I171" i="14" s="1"/>
  <c r="I157" i="14"/>
  <c r="AM76" i="13"/>
  <c r="AM96" i="13"/>
  <c r="AM283" i="13" s="1"/>
  <c r="AQ83" i="13"/>
  <c r="AQ104" i="13"/>
  <c r="AC79" i="13"/>
  <c r="AC99" i="13"/>
  <c r="AC89" i="13"/>
  <c r="AC110" i="13"/>
  <c r="AC129" i="13" s="1"/>
  <c r="P96" i="13"/>
  <c r="P283" i="13" s="1"/>
  <c r="P76" i="13"/>
  <c r="AH82" i="13"/>
  <c r="AR79" i="13"/>
  <c r="AR99" i="13"/>
  <c r="S103" i="1"/>
  <c r="S121" i="1" s="1"/>
  <c r="S82" i="1"/>
  <c r="AR77" i="13"/>
  <c r="AR97" i="13"/>
  <c r="K80" i="13"/>
  <c r="K73" i="13"/>
  <c r="AA76" i="13"/>
  <c r="AA96" i="13"/>
  <c r="AA283" i="13" s="1"/>
  <c r="AA86" i="13"/>
  <c r="AA107" i="13"/>
  <c r="AA126" i="13" s="1"/>
  <c r="P65" i="1"/>
  <c r="P70" i="1"/>
  <c r="P87" i="1" s="1"/>
  <c r="P62" i="1"/>
  <c r="P64" i="1"/>
  <c r="P59" i="1"/>
  <c r="P66" i="1"/>
  <c r="P67" i="1"/>
  <c r="P61" i="1"/>
  <c r="P71" i="1"/>
  <c r="P63" i="1"/>
  <c r="G88" i="13"/>
  <c r="G109" i="13"/>
  <c r="AN76" i="13"/>
  <c r="AN96" i="13"/>
  <c r="AN283" i="13" s="1"/>
  <c r="AN73" i="13"/>
  <c r="AZ118" i="13"/>
  <c r="AZ287" i="13" s="1"/>
  <c r="AZ162" i="13"/>
  <c r="AZ136" i="13"/>
  <c r="AZ137" i="13" s="1"/>
  <c r="O85" i="14"/>
  <c r="O106" i="14"/>
  <c r="AT125" i="13"/>
  <c r="AT142" i="13"/>
  <c r="R104" i="14"/>
  <c r="R83" i="14"/>
  <c r="R90" i="14" s="1"/>
  <c r="R92" i="14" s="1"/>
  <c r="P60" i="1"/>
  <c r="R174" i="14"/>
  <c r="R162" i="14"/>
  <c r="R115" i="14"/>
  <c r="R136" i="14"/>
  <c r="R200" i="14"/>
  <c r="H83" i="13"/>
  <c r="H104" i="13"/>
  <c r="M81" i="13"/>
  <c r="M102" i="13"/>
  <c r="M78" i="13"/>
  <c r="M98" i="13"/>
  <c r="F103" i="14"/>
  <c r="F122" i="14" s="1"/>
  <c r="F82" i="14"/>
  <c r="F83" i="14"/>
  <c r="F104" i="14"/>
  <c r="L100" i="1"/>
  <c r="L143" i="1" s="1"/>
  <c r="L172" i="1" s="1"/>
  <c r="H109" i="14"/>
  <c r="H88" i="14"/>
  <c r="M197" i="14"/>
  <c r="M196" i="14"/>
  <c r="M204" i="14" s="1"/>
  <c r="M142" i="14"/>
  <c r="M143" i="14" s="1"/>
  <c r="M198" i="14" s="1"/>
  <c r="O80" i="14"/>
  <c r="AX201" i="13"/>
  <c r="AX116" i="13"/>
  <c r="AX286" i="13" s="1"/>
  <c r="AX154" i="13"/>
  <c r="S86" i="14"/>
  <c r="S107" i="14"/>
  <c r="S126" i="14" s="1"/>
  <c r="S120" i="1"/>
  <c r="K124" i="13"/>
  <c r="K167" i="13"/>
  <c r="K196" i="13"/>
  <c r="K204" i="13" s="1"/>
  <c r="H85" i="13"/>
  <c r="H106" i="13"/>
  <c r="F80" i="14"/>
  <c r="M79" i="13"/>
  <c r="M99" i="13"/>
  <c r="T124" i="14"/>
  <c r="T167" i="14"/>
  <c r="F99" i="14"/>
  <c r="F79" i="14"/>
  <c r="H77" i="14"/>
  <c r="H97" i="14"/>
  <c r="H73" i="14"/>
  <c r="I169" i="14"/>
  <c r="I153" i="14"/>
  <c r="I186" i="14"/>
  <c r="I187" i="14" s="1"/>
  <c r="I151" i="14"/>
  <c r="I188" i="14" s="1"/>
  <c r="E272" i="14"/>
  <c r="E273" i="14" s="1"/>
  <c r="E270" i="14"/>
  <c r="E271" i="14" s="1"/>
  <c r="E274" i="14"/>
  <c r="E275" i="14" s="1"/>
  <c r="L216" i="14"/>
  <c r="L217" i="14" s="1"/>
  <c r="L222" i="14"/>
  <c r="L223" i="14" s="1"/>
  <c r="L220" i="14"/>
  <c r="L221" i="14" s="1"/>
  <c r="L218" i="14"/>
  <c r="L219" i="14" s="1"/>
  <c r="L214" i="14"/>
  <c r="L215" i="14" s="1"/>
  <c r="I240" i="14"/>
  <c r="I241" i="14" s="1"/>
  <c r="I277" i="14" s="1"/>
  <c r="I244" i="14"/>
  <c r="I245" i="14" s="1"/>
  <c r="I242" i="14"/>
  <c r="I243" i="14" s="1"/>
  <c r="I246" i="14"/>
  <c r="I247" i="14" s="1"/>
  <c r="I238" i="14"/>
  <c r="I239" i="14" s="1"/>
  <c r="BJ96" i="13"/>
  <c r="BJ283" i="13" s="1"/>
  <c r="BJ76" i="13"/>
  <c r="AM104" i="13"/>
  <c r="AM83" i="13"/>
  <c r="AK77" i="13"/>
  <c r="AK97" i="13"/>
  <c r="BA79" i="13"/>
  <c r="BA99" i="13"/>
  <c r="AF68" i="13"/>
  <c r="BG80" i="13"/>
  <c r="V110" i="13"/>
  <c r="V129" i="13" s="1"/>
  <c r="V89" i="13"/>
  <c r="AU80" i="13"/>
  <c r="AE82" i="13"/>
  <c r="AE103" i="13"/>
  <c r="AE122" i="13" s="1"/>
  <c r="AF69" i="13"/>
  <c r="AI78" i="13"/>
  <c r="AI98" i="13"/>
  <c r="W69" i="13"/>
  <c r="X83" i="13"/>
  <c r="X104" i="13"/>
  <c r="V250" i="13"/>
  <c r="V255" i="13"/>
  <c r="Z110" i="13"/>
  <c r="Z129" i="13" s="1"/>
  <c r="Z89" i="13"/>
  <c r="AI77" i="13"/>
  <c r="AI97" i="13"/>
  <c r="P82" i="14"/>
  <c r="P103" i="14"/>
  <c r="P122" i="14" s="1"/>
  <c r="O89" i="1"/>
  <c r="O110" i="1"/>
  <c r="AA77" i="13"/>
  <c r="AA97" i="13"/>
  <c r="B89" i="13"/>
  <c r="B110" i="13"/>
  <c r="AT75" i="15"/>
  <c r="AT90" i="15" s="1"/>
  <c r="AL57" i="15"/>
  <c r="AO253" i="13"/>
  <c r="AO254" i="13" s="1"/>
  <c r="AO251" i="13"/>
  <c r="AO252" i="13" s="1"/>
  <c r="BJ68" i="13"/>
  <c r="BG86" i="13"/>
  <c r="BG107" i="13"/>
  <c r="BG126" i="13" s="1"/>
  <c r="BJ69" i="13"/>
  <c r="AK260" i="13"/>
  <c r="AK261" i="13" s="1"/>
  <c r="AK256" i="13"/>
  <c r="AK257" i="13" s="1"/>
  <c r="AK258" i="13"/>
  <c r="AK259" i="13" s="1"/>
  <c r="BF66" i="13"/>
  <c r="AD69" i="13"/>
  <c r="BE80" i="13"/>
  <c r="BI107" i="13"/>
  <c r="BI126" i="13" s="1"/>
  <c r="BI86" i="13"/>
  <c r="AK110" i="13"/>
  <c r="AK129" i="13" s="1"/>
  <c r="AK89" i="13"/>
  <c r="AE83" i="13"/>
  <c r="AE104" i="13"/>
  <c r="BH88" i="13"/>
  <c r="BH109" i="13"/>
  <c r="AS63" i="13"/>
  <c r="AF60" i="13"/>
  <c r="AF70" i="13"/>
  <c r="AF87" i="13" s="1"/>
  <c r="BA59" i="13"/>
  <c r="AU82" i="13"/>
  <c r="AU103" i="13"/>
  <c r="AU122" i="13" s="1"/>
  <c r="AY88" i="13"/>
  <c r="AY109" i="13"/>
  <c r="W60" i="13"/>
  <c r="W70" i="13"/>
  <c r="W87" i="13" s="1"/>
  <c r="BD79" i="13"/>
  <c r="AQ109" i="13"/>
  <c r="AQ88" i="13"/>
  <c r="X84" i="13"/>
  <c r="X105" i="13"/>
  <c r="AY80" i="13"/>
  <c r="AH79" i="13"/>
  <c r="AH99" i="13"/>
  <c r="Y84" i="13"/>
  <c r="Y105" i="13"/>
  <c r="Z80" i="13"/>
  <c r="V80" i="13"/>
  <c r="BG105" i="13"/>
  <c r="BG84" i="13"/>
  <c r="BD78" i="13"/>
  <c r="BD98" i="13"/>
  <c r="AG251" i="13"/>
  <c r="AG252" i="13" s="1"/>
  <c r="AG253" i="13"/>
  <c r="AG254" i="13" s="1"/>
  <c r="AH69" i="13"/>
  <c r="AC81" i="13"/>
  <c r="AC102" i="13"/>
  <c r="R63" i="1"/>
  <c r="R59" i="1"/>
  <c r="R64" i="1"/>
  <c r="R61" i="1"/>
  <c r="R71" i="1"/>
  <c r="R72" i="1"/>
  <c r="R70" i="1"/>
  <c r="R87" i="1" s="1"/>
  <c r="R69" i="1"/>
  <c r="R65" i="1"/>
  <c r="R68" i="1"/>
  <c r="R67" i="1"/>
  <c r="R60" i="1"/>
  <c r="R62" i="1"/>
  <c r="B79" i="1"/>
  <c r="B99" i="1"/>
  <c r="AI68" i="13"/>
  <c r="O83" i="1"/>
  <c r="O104" i="1"/>
  <c r="AI65" i="13"/>
  <c r="R66" i="1"/>
  <c r="B98" i="1"/>
  <c r="B78" i="1"/>
  <c r="B73" i="1"/>
  <c r="O86" i="1"/>
  <c r="O107" i="1"/>
  <c r="O125" i="1" s="1"/>
  <c r="O105" i="1"/>
  <c r="O84" i="1"/>
  <c r="B109" i="1"/>
  <c r="B88" i="1"/>
  <c r="AA78" i="13"/>
  <c r="AA98" i="13"/>
  <c r="AA88" i="13"/>
  <c r="AA109" i="13"/>
  <c r="F62" i="13"/>
  <c r="R82" i="13"/>
  <c r="R103" i="13"/>
  <c r="R122" i="13" s="1"/>
  <c r="C99" i="13"/>
  <c r="C79" i="13"/>
  <c r="C104" i="13"/>
  <c r="C83" i="13"/>
  <c r="AN77" i="13"/>
  <c r="AN97" i="13"/>
  <c r="C82" i="13"/>
  <c r="C103" i="13"/>
  <c r="C122" i="13" s="1"/>
  <c r="O104" i="14"/>
  <c r="O83" i="14"/>
  <c r="AT128" i="13"/>
  <c r="AT131" i="13" s="1"/>
  <c r="AT108" i="13"/>
  <c r="AT127" i="13" s="1"/>
  <c r="M88" i="13"/>
  <c r="M109" i="13"/>
  <c r="F98" i="14"/>
  <c r="F78" i="14"/>
  <c r="H103" i="14"/>
  <c r="H122" i="14" s="1"/>
  <c r="H82" i="14"/>
  <c r="E267" i="14"/>
  <c r="E268" i="14" s="1"/>
  <c r="E265" i="14"/>
  <c r="E266" i="14" s="1"/>
  <c r="L224" i="14"/>
  <c r="L225" i="14" s="1"/>
  <c r="L236" i="14" s="1"/>
  <c r="L237" i="14" s="1"/>
  <c r="L212" i="14"/>
  <c r="BA253" i="13"/>
  <c r="BA254" i="13" s="1"/>
  <c r="BA251" i="13"/>
  <c r="BA252" i="13" s="1"/>
  <c r="AU255" i="13"/>
  <c r="AU250" i="13"/>
  <c r="AD84" i="13"/>
  <c r="AD105" i="13"/>
  <c r="AE102" i="13"/>
  <c r="BJ97" i="13"/>
  <c r="BJ77" i="13"/>
  <c r="W96" i="13"/>
  <c r="W283" i="13" s="1"/>
  <c r="W76" i="13"/>
  <c r="X103" i="13"/>
  <c r="X122" i="13" s="1"/>
  <c r="X82" i="13"/>
  <c r="AY106" i="13"/>
  <c r="AY85" i="13"/>
  <c r="BD107" i="13"/>
  <c r="BD126" i="13" s="1"/>
  <c r="BD86" i="13"/>
  <c r="Z78" i="13"/>
  <c r="Z98" i="13"/>
  <c r="BJ88" i="13"/>
  <c r="BJ109" i="13"/>
  <c r="AP75" i="15"/>
  <c r="AP87" i="15" s="1"/>
  <c r="AB260" i="13"/>
  <c r="AB261" i="13" s="1"/>
  <c r="AB258" i="13"/>
  <c r="AB259" i="13" s="1"/>
  <c r="AB256" i="13"/>
  <c r="AB257" i="13" s="1"/>
  <c r="AD76" i="13"/>
  <c r="AD96" i="13"/>
  <c r="AD283" i="13" s="1"/>
  <c r="AY86" i="13"/>
  <c r="AY107" i="13"/>
  <c r="AY126" i="13" s="1"/>
  <c r="AI76" i="13"/>
  <c r="AI96" i="13"/>
  <c r="AI283" i="13" s="1"/>
  <c r="BE99" i="13"/>
  <c r="BE79" i="13"/>
  <c r="BI77" i="13"/>
  <c r="BI97" i="13"/>
  <c r="AK85" i="13"/>
  <c r="O79" i="14"/>
  <c r="O99" i="14"/>
  <c r="AE75" i="15"/>
  <c r="AE80" i="15" s="1"/>
  <c r="BB258" i="13"/>
  <c r="BB259" i="13" s="1"/>
  <c r="BB256" i="13"/>
  <c r="BB257" i="13" s="1"/>
  <c r="BB260" i="13"/>
  <c r="BB261" i="13" s="1"/>
  <c r="AW64" i="13"/>
  <c r="AH88" i="13"/>
  <c r="AH109" i="13"/>
  <c r="BD85" i="13"/>
  <c r="BD106" i="13"/>
  <c r="AQ80" i="13"/>
  <c r="BJ72" i="13"/>
  <c r="AY81" i="13"/>
  <c r="AY102" i="13"/>
  <c r="AQ78" i="13"/>
  <c r="AQ98" i="13"/>
  <c r="AE84" i="13"/>
  <c r="AE105" i="13"/>
  <c r="BB72" i="13"/>
  <c r="AM82" i="13"/>
  <c r="AM103" i="13"/>
  <c r="AM122" i="13" s="1"/>
  <c r="AF61" i="13"/>
  <c r="AF71" i="13"/>
  <c r="BE82" i="13"/>
  <c r="BE103" i="13"/>
  <c r="BE122" i="13" s="1"/>
  <c r="BI88" i="13"/>
  <c r="BI109" i="13"/>
  <c r="AQ102" i="13"/>
  <c r="AQ81" i="13"/>
  <c r="W61" i="13"/>
  <c r="W71" i="13"/>
  <c r="X96" i="13"/>
  <c r="X283" i="13" s="1"/>
  <c r="X76" i="13"/>
  <c r="X106" i="13"/>
  <c r="X85" i="13"/>
  <c r="AF253" i="13"/>
  <c r="AF254" i="13" s="1"/>
  <c r="AF251" i="13"/>
  <c r="AF252" i="13" s="1"/>
  <c r="BI80" i="13"/>
  <c r="AW70" i="13"/>
  <c r="AW87" i="13" s="1"/>
  <c r="Y85" i="13"/>
  <c r="Y106" i="13"/>
  <c r="BJ67" i="13"/>
  <c r="AH85" i="13"/>
  <c r="AH106" i="13"/>
  <c r="Z102" i="13"/>
  <c r="Z81" i="13"/>
  <c r="V85" i="13"/>
  <c r="V106" i="13"/>
  <c r="AW62" i="13"/>
  <c r="BA68" i="13"/>
  <c r="BH62" i="13"/>
  <c r="U265" i="13"/>
  <c r="U266" i="13" s="1"/>
  <c r="U267" i="13"/>
  <c r="U268" i="13" s="1"/>
  <c r="AC82" i="13"/>
  <c r="AC103" i="13"/>
  <c r="AC122" i="13" s="1"/>
  <c r="B89" i="1"/>
  <c r="B110" i="1"/>
  <c r="B128" i="1" s="1"/>
  <c r="AS68" i="13"/>
  <c r="S105" i="1"/>
  <c r="S84" i="1"/>
  <c r="AS65" i="13"/>
  <c r="L255" i="13"/>
  <c r="L250" i="13"/>
  <c r="AV110" i="13"/>
  <c r="AV89" i="13"/>
  <c r="AV102" i="13"/>
  <c r="AV81" i="13"/>
  <c r="AV73" i="13"/>
  <c r="AA79" i="13"/>
  <c r="AA99" i="13"/>
  <c r="AA89" i="13"/>
  <c r="AA110" i="13"/>
  <c r="AA129" i="13" s="1"/>
  <c r="O117" i="1"/>
  <c r="B77" i="13"/>
  <c r="B73" i="13"/>
  <c r="B97" i="13"/>
  <c r="R102" i="13"/>
  <c r="R81" i="13"/>
  <c r="H127" i="1"/>
  <c r="H130" i="1" s="1"/>
  <c r="H108" i="1"/>
  <c r="H126" i="1" s="1"/>
  <c r="AN89" i="13"/>
  <c r="AN110" i="13"/>
  <c r="O78" i="14"/>
  <c r="O98" i="14"/>
  <c r="M86" i="1"/>
  <c r="M107" i="1"/>
  <c r="P69" i="1"/>
  <c r="P81" i="14"/>
  <c r="P102" i="14"/>
  <c r="O265" i="13"/>
  <c r="O266" i="13" s="1"/>
  <c r="O267" i="13"/>
  <c r="O268" i="13" s="1"/>
  <c r="R116" i="14"/>
  <c r="R154" i="14"/>
  <c r="R170" i="14" s="1"/>
  <c r="R201" i="14"/>
  <c r="M81" i="14"/>
  <c r="M102" i="14"/>
  <c r="H79" i="13"/>
  <c r="H99" i="13"/>
  <c r="M107" i="13"/>
  <c r="M86" i="13"/>
  <c r="D76" i="14"/>
  <c r="D96" i="14"/>
  <c r="D73" i="14"/>
  <c r="K121" i="13"/>
  <c r="F84" i="14"/>
  <c r="F105" i="14"/>
  <c r="F81" i="14"/>
  <c r="F102" i="14"/>
  <c r="C114" i="1"/>
  <c r="C171" i="1"/>
  <c r="C197" i="1"/>
  <c r="H98" i="14"/>
  <c r="H78" i="14"/>
  <c r="H84" i="14"/>
  <c r="H105" i="14"/>
  <c r="N205" i="14"/>
  <c r="N206" i="14" s="1"/>
  <c r="N207" i="14"/>
  <c r="N208" i="14" s="1"/>
  <c r="N210" i="14"/>
  <c r="L165" i="14"/>
  <c r="L184" i="14"/>
  <c r="L181" i="14"/>
  <c r="AY99" i="13"/>
  <c r="AY79" i="13"/>
  <c r="BD80" i="13"/>
  <c r="AM97" i="13"/>
  <c r="AM77" i="13"/>
  <c r="AS78" i="13"/>
  <c r="AS98" i="13"/>
  <c r="AY77" i="13"/>
  <c r="AY97" i="13"/>
  <c r="BI99" i="13"/>
  <c r="BI79" i="13"/>
  <c r="AK251" i="13"/>
  <c r="AK252" i="13" s="1"/>
  <c r="AK253" i="13"/>
  <c r="AK254" i="13" s="1"/>
  <c r="AI80" i="13"/>
  <c r="BJ66" i="13"/>
  <c r="BI85" i="13"/>
  <c r="BI106" i="13"/>
  <c r="AQ103" i="13"/>
  <c r="AQ122" i="13" s="1"/>
  <c r="AQ82" i="13"/>
  <c r="AW84" i="13"/>
  <c r="AW105" i="13"/>
  <c r="P104" i="14"/>
  <c r="P83" i="14"/>
  <c r="C89" i="13"/>
  <c r="C110" i="13"/>
  <c r="C129" i="13" s="1"/>
  <c r="AD75" i="15"/>
  <c r="AD80" i="15" s="1"/>
  <c r="AO258" i="13"/>
  <c r="AO259" i="13" s="1"/>
  <c r="AO260" i="13"/>
  <c r="AO261" i="13" s="1"/>
  <c r="AO256" i="13"/>
  <c r="AO257" i="13" s="1"/>
  <c r="AD70" i="13"/>
  <c r="AD87" i="13" s="1"/>
  <c r="AE57" i="15"/>
  <c r="AA75" i="15"/>
  <c r="AA83" i="15" s="1"/>
  <c r="BB57" i="15"/>
  <c r="BB253" i="13"/>
  <c r="BB254" i="13" s="1"/>
  <c r="BB251" i="13"/>
  <c r="BB252" i="13" s="1"/>
  <c r="AP264" i="13"/>
  <c r="AP269" i="13"/>
  <c r="AW59" i="13"/>
  <c r="BG81" i="13"/>
  <c r="BG102" i="13"/>
  <c r="AU71" i="13"/>
  <c r="BH69" i="13"/>
  <c r="AK103" i="13"/>
  <c r="AK122" i="13" s="1"/>
  <c r="AK82" i="13"/>
  <c r="AD61" i="13"/>
  <c r="AD71" i="13"/>
  <c r="BI64" i="13"/>
  <c r="AW71" i="13"/>
  <c r="AM62" i="13"/>
  <c r="AE68" i="13"/>
  <c r="AF62" i="13"/>
  <c r="AF72" i="13"/>
  <c r="AU60" i="13"/>
  <c r="AU73" i="13" s="1"/>
  <c r="AY66" i="13"/>
  <c r="AK83" i="13"/>
  <c r="AK104" i="13"/>
  <c r="W62" i="13"/>
  <c r="W72" i="13"/>
  <c r="X69" i="13"/>
  <c r="BJ70" i="13"/>
  <c r="BJ87" i="13" s="1"/>
  <c r="Y70" i="13"/>
  <c r="Y87" i="13" s="1"/>
  <c r="AK76" i="13"/>
  <c r="AK96" i="13"/>
  <c r="AK283" i="13" s="1"/>
  <c r="AK73" i="13"/>
  <c r="Z82" i="13"/>
  <c r="BJ61" i="13"/>
  <c r="BG79" i="13"/>
  <c r="BG99" i="13"/>
  <c r="AU69" i="13"/>
  <c r="BD66" i="13"/>
  <c r="AI72" i="13"/>
  <c r="AC66" i="13"/>
  <c r="D59" i="1"/>
  <c r="D56" i="1"/>
  <c r="V59" i="13"/>
  <c r="E107" i="14"/>
  <c r="E143" i="14" s="1"/>
  <c r="E198" i="14" s="1"/>
  <c r="E86" i="14"/>
  <c r="AM70" i="13"/>
  <c r="AM87" i="13" s="1"/>
  <c r="AM67" i="13"/>
  <c r="L264" i="13"/>
  <c r="L269" i="13"/>
  <c r="AQ60" i="13"/>
  <c r="O97" i="14"/>
  <c r="O77" i="14"/>
  <c r="O73" i="14"/>
  <c r="S78" i="1"/>
  <c r="S98" i="1"/>
  <c r="O96" i="1"/>
  <c r="O76" i="1"/>
  <c r="O73" i="1"/>
  <c r="AA63" i="13"/>
  <c r="B79" i="13"/>
  <c r="B99" i="13"/>
  <c r="R76" i="13"/>
  <c r="R96" i="13"/>
  <c r="R283" i="13" s="1"/>
  <c r="AN80" i="13"/>
  <c r="O88" i="14"/>
  <c r="O109" i="14"/>
  <c r="M76" i="1"/>
  <c r="M90" i="1" s="1"/>
  <c r="M92" i="1" s="1"/>
  <c r="M96" i="1"/>
  <c r="M73" i="1"/>
  <c r="T125" i="1"/>
  <c r="R78" i="14"/>
  <c r="R73" i="14"/>
  <c r="R98" i="14"/>
  <c r="C97" i="1"/>
  <c r="C77" i="1"/>
  <c r="M76" i="14"/>
  <c r="M90" i="14" s="1"/>
  <c r="M92" i="14" s="1"/>
  <c r="M96" i="14"/>
  <c r="M73" i="14"/>
  <c r="F73" i="14"/>
  <c r="F76" i="14"/>
  <c r="F96" i="14"/>
  <c r="H102" i="13"/>
  <c r="H81" i="13"/>
  <c r="M89" i="13"/>
  <c r="M110" i="13"/>
  <c r="M129" i="13" s="1"/>
  <c r="D110" i="14"/>
  <c r="D89" i="14"/>
  <c r="L198" i="1"/>
  <c r="L115" i="1"/>
  <c r="L151" i="1"/>
  <c r="L167" i="1" s="1"/>
  <c r="C73" i="1"/>
  <c r="H89" i="14"/>
  <c r="H110" i="14"/>
  <c r="H129" i="14" s="1"/>
  <c r="K182" i="1"/>
  <c r="K111" i="1"/>
  <c r="K118" i="1"/>
  <c r="K199" i="1"/>
  <c r="K169" i="1"/>
  <c r="K101" i="1"/>
  <c r="K138" i="1" s="1"/>
  <c r="N263" i="14"/>
  <c r="N249" i="14"/>
  <c r="N173" i="14"/>
  <c r="N163" i="14"/>
  <c r="N145" i="14"/>
  <c r="N149" i="14"/>
  <c r="N164" i="14"/>
  <c r="BE106" i="13"/>
  <c r="BE85" i="13"/>
  <c r="BF85" i="13"/>
  <c r="BF106" i="13"/>
  <c r="W85" i="13"/>
  <c r="W106" i="13"/>
  <c r="AM86" i="13"/>
  <c r="AM107" i="13"/>
  <c r="AM126" i="13" s="1"/>
  <c r="AU79" i="13"/>
  <c r="AU99" i="13"/>
  <c r="Y102" i="13"/>
  <c r="Y81" i="13"/>
  <c r="Z109" i="13"/>
  <c r="Z88" i="13"/>
  <c r="BE75" i="15"/>
  <c r="BE80" i="15" s="1"/>
  <c r="AQ106" i="13"/>
  <c r="AQ85" i="13"/>
  <c r="BH81" i="13"/>
  <c r="BH102" i="13"/>
  <c r="AD85" i="13"/>
  <c r="AD106" i="13"/>
  <c r="AF59" i="13"/>
  <c r="BA81" i="13"/>
  <c r="BA102" i="13"/>
  <c r="BB67" i="13"/>
  <c r="BB69" i="13"/>
  <c r="BB63" i="13"/>
  <c r="BB65" i="13"/>
  <c r="BB60" i="13"/>
  <c r="BB71" i="13"/>
  <c r="BB59" i="13"/>
  <c r="BB61" i="13"/>
  <c r="Y104" i="13"/>
  <c r="Y83" i="13"/>
  <c r="Z99" i="13"/>
  <c r="Z79" i="13"/>
  <c r="BF59" i="13"/>
  <c r="BF61" i="13"/>
  <c r="BF69" i="13"/>
  <c r="BF60" i="13"/>
  <c r="BF63" i="13"/>
  <c r="BF64" i="13"/>
  <c r="BF71" i="13"/>
  <c r="BF62" i="13"/>
  <c r="BF65" i="13"/>
  <c r="BF67" i="13"/>
  <c r="AC80" i="13"/>
  <c r="AN104" i="13"/>
  <c r="AN83" i="13"/>
  <c r="AG75" i="15"/>
  <c r="AG79" i="15" s="1"/>
  <c r="AW98" i="13"/>
  <c r="AW78" i="13"/>
  <c r="AD60" i="13"/>
  <c r="BH80" i="13"/>
  <c r="AD57" i="15"/>
  <c r="BE57" i="15"/>
  <c r="K57" i="15"/>
  <c r="AP57" i="15"/>
  <c r="AU75" i="15"/>
  <c r="AU84" i="15" s="1"/>
  <c r="AH57" i="15"/>
  <c r="BD57" i="15"/>
  <c r="AI57" i="15"/>
  <c r="AV75" i="15"/>
  <c r="AV88" i="15" s="1"/>
  <c r="AP255" i="13"/>
  <c r="AP250" i="13"/>
  <c r="BA65" i="13"/>
  <c r="BE71" i="13"/>
  <c r="Y65" i="13"/>
  <c r="BB70" i="13"/>
  <c r="BB87" i="13" s="1"/>
  <c r="AH66" i="13"/>
  <c r="AD62" i="13"/>
  <c r="AD72" i="13"/>
  <c r="AY59" i="13"/>
  <c r="BG71" i="13"/>
  <c r="AH63" i="13"/>
  <c r="AE59" i="13"/>
  <c r="AE69" i="13"/>
  <c r="BD60" i="13"/>
  <c r="AQ67" i="13"/>
  <c r="AF63" i="13"/>
  <c r="V61" i="13"/>
  <c r="BE60" i="13"/>
  <c r="BI66" i="13"/>
  <c r="AH67" i="13"/>
  <c r="W63" i="13"/>
  <c r="BD67" i="13"/>
  <c r="AK80" i="13"/>
  <c r="X60" i="13"/>
  <c r="X70" i="13"/>
  <c r="X87" i="13" s="1"/>
  <c r="AW65" i="13"/>
  <c r="BA71" i="13"/>
  <c r="Y59" i="13"/>
  <c r="Y71" i="13"/>
  <c r="BD59" i="13"/>
  <c r="AK98" i="13"/>
  <c r="AK78" i="13"/>
  <c r="AI71" i="13"/>
  <c r="Z66" i="13"/>
  <c r="BJ64" i="13"/>
  <c r="BA63" i="13"/>
  <c r="BE69" i="13"/>
  <c r="BH67" i="13"/>
  <c r="AS60" i="13"/>
  <c r="AS72" i="13"/>
  <c r="AC67" i="13"/>
  <c r="V64" i="13"/>
  <c r="G56" i="14"/>
  <c r="G59" i="14" s="1"/>
  <c r="U42" i="14"/>
  <c r="U38" i="14"/>
  <c r="AJ79" i="13"/>
  <c r="AJ99" i="13"/>
  <c r="S89" i="1"/>
  <c r="S110" i="1"/>
  <c r="S128" i="1" s="1"/>
  <c r="P67" i="14"/>
  <c r="P71" i="14"/>
  <c r="P72" i="14"/>
  <c r="P61" i="14"/>
  <c r="P62" i="14"/>
  <c r="P59" i="14"/>
  <c r="P68" i="14"/>
  <c r="P69" i="14"/>
  <c r="N56" i="1"/>
  <c r="Q56" i="14"/>
  <c r="AA64" i="13"/>
  <c r="U56" i="13"/>
  <c r="S99" i="1"/>
  <c r="S79" i="1"/>
  <c r="S73" i="13"/>
  <c r="S106" i="13"/>
  <c r="S85" i="13"/>
  <c r="L104" i="13"/>
  <c r="L83" i="13"/>
  <c r="G86" i="13"/>
  <c r="G107" i="13"/>
  <c r="O81" i="14"/>
  <c r="O102" i="14"/>
  <c r="M98" i="1"/>
  <c r="M78" i="1"/>
  <c r="R105" i="14"/>
  <c r="R84" i="14"/>
  <c r="C99" i="1"/>
  <c r="C79" i="1"/>
  <c r="M110" i="14"/>
  <c r="M89" i="14"/>
  <c r="M84" i="13"/>
  <c r="M105" i="13"/>
  <c r="H86" i="14"/>
  <c r="H107" i="14"/>
  <c r="H126" i="14" s="1"/>
  <c r="H106" i="14"/>
  <c r="H85" i="14"/>
  <c r="C137" i="14"/>
  <c r="C170" i="14"/>
  <c r="K143" i="1"/>
  <c r="K172" i="1" s="1"/>
  <c r="P106" i="1"/>
  <c r="P85" i="1"/>
  <c r="BF57" i="15"/>
  <c r="AT57" i="15"/>
  <c r="Y57" i="15"/>
  <c r="BA75" i="15"/>
  <c r="BA85" i="15" s="1"/>
  <c r="AR256" i="13"/>
  <c r="AR257" i="13" s="1"/>
  <c r="AR260" i="13"/>
  <c r="AR261" i="13" s="1"/>
  <c r="AR258" i="13"/>
  <c r="AR259" i="13" s="1"/>
  <c r="AU104" i="13"/>
  <c r="AU83" i="13"/>
  <c r="AY89" i="13"/>
  <c r="AY110" i="13"/>
  <c r="AY129" i="13" s="1"/>
  <c r="Y86" i="13"/>
  <c r="Y107" i="13"/>
  <c r="Y126" i="13" s="1"/>
  <c r="AT250" i="13"/>
  <c r="AT255" i="13"/>
  <c r="BJ62" i="13"/>
  <c r="AD63" i="13"/>
  <c r="V97" i="13"/>
  <c r="V77" i="13"/>
  <c r="BI76" i="13"/>
  <c r="BI96" i="13"/>
  <c r="BI283" i="13" s="1"/>
  <c r="AW66" i="13"/>
  <c r="BA72" i="13"/>
  <c r="AE77" i="13"/>
  <c r="AE97" i="13"/>
  <c r="BH61" i="13"/>
  <c r="AH76" i="13"/>
  <c r="AH96" i="13"/>
  <c r="AH283" i="13" s="1"/>
  <c r="AK107" i="13"/>
  <c r="AK126" i="13" s="1"/>
  <c r="AK86" i="13"/>
  <c r="AF64" i="13"/>
  <c r="V104" i="13"/>
  <c r="V83" i="13"/>
  <c r="AY98" i="13"/>
  <c r="AY78" i="13"/>
  <c r="W64" i="13"/>
  <c r="BH68" i="13"/>
  <c r="AH64" i="13"/>
  <c r="X78" i="13"/>
  <c r="X98" i="13"/>
  <c r="X88" i="13"/>
  <c r="X109" i="13"/>
  <c r="BC56" i="13"/>
  <c r="BC59" i="13" s="1"/>
  <c r="BG103" i="13"/>
  <c r="BG122" i="13" s="1"/>
  <c r="BG82" i="13"/>
  <c r="AU89" i="13"/>
  <c r="AU110" i="13"/>
  <c r="AU129" i="13" s="1"/>
  <c r="Y77" i="13"/>
  <c r="Y97" i="13"/>
  <c r="Y110" i="13"/>
  <c r="Y129" i="13" s="1"/>
  <c r="Y89" i="13"/>
  <c r="BH60" i="13"/>
  <c r="AS71" i="13"/>
  <c r="Z84" i="13"/>
  <c r="AU96" i="13"/>
  <c r="AU283" i="13" s="1"/>
  <c r="AU76" i="13"/>
  <c r="AU64" i="13"/>
  <c r="BB68" i="13"/>
  <c r="AK79" i="13"/>
  <c r="AK99" i="13"/>
  <c r="AC59" i="13"/>
  <c r="AC68" i="13"/>
  <c r="AW72" i="13"/>
  <c r="V69" i="13"/>
  <c r="AQ72" i="13"/>
  <c r="AQ69" i="13"/>
  <c r="J56" i="13"/>
  <c r="J59" i="13"/>
  <c r="S106" i="1"/>
  <c r="S85" i="1"/>
  <c r="P84" i="13"/>
  <c r="P105" i="13"/>
  <c r="O80" i="1"/>
  <c r="AA65" i="13"/>
  <c r="S70" i="14"/>
  <c r="S87" i="14" s="1"/>
  <c r="S68" i="14"/>
  <c r="S61" i="14"/>
  <c r="S66" i="14"/>
  <c r="S63" i="14"/>
  <c r="S64" i="14"/>
  <c r="S67" i="14"/>
  <c r="S71" i="14"/>
  <c r="S65" i="14"/>
  <c r="S62" i="14"/>
  <c r="S72" i="14"/>
  <c r="S59" i="14"/>
  <c r="C77" i="13"/>
  <c r="C97" i="13"/>
  <c r="S89" i="13"/>
  <c r="S110" i="13"/>
  <c r="L78" i="13"/>
  <c r="L98" i="13"/>
  <c r="B86" i="13"/>
  <c r="B107" i="13"/>
  <c r="T104" i="13"/>
  <c r="T83" i="13"/>
  <c r="AN82" i="13"/>
  <c r="AN103" i="13"/>
  <c r="AN122" i="13" s="1"/>
  <c r="G80" i="13"/>
  <c r="R86" i="14"/>
  <c r="R107" i="14"/>
  <c r="P77" i="14"/>
  <c r="P97" i="14"/>
  <c r="C80" i="13"/>
  <c r="C80" i="1"/>
  <c r="F89" i="14"/>
  <c r="F110" i="14"/>
  <c r="F129" i="14" s="1"/>
  <c r="M104" i="13"/>
  <c r="M83" i="13"/>
  <c r="D83" i="14"/>
  <c r="D104" i="14"/>
  <c r="G73" i="13"/>
  <c r="C100" i="14"/>
  <c r="C146" i="14" s="1"/>
  <c r="C175" i="14" s="1"/>
  <c r="H104" i="14"/>
  <c r="H83" i="14"/>
  <c r="J123" i="14"/>
  <c r="B211" i="14"/>
  <c r="J170" i="14"/>
  <c r="R80" i="13"/>
  <c r="BJ57" i="15"/>
  <c r="AM57" i="15"/>
  <c r="U75" i="15"/>
  <c r="U79" i="15" s="1"/>
  <c r="AN251" i="13"/>
  <c r="AN252" i="13" s="1"/>
  <c r="AN253" i="13"/>
  <c r="AN254" i="13" s="1"/>
  <c r="BA60" i="13"/>
  <c r="BE104" i="13"/>
  <c r="BE83" i="13"/>
  <c r="BI110" i="13"/>
  <c r="BI129" i="13" s="1"/>
  <c r="BI89" i="13"/>
  <c r="AZ258" i="13"/>
  <c r="AZ259" i="13" s="1"/>
  <c r="AZ256" i="13"/>
  <c r="AZ257" i="13" s="1"/>
  <c r="AZ260" i="13"/>
  <c r="AZ261" i="13" s="1"/>
  <c r="AT269" i="13"/>
  <c r="AT264" i="13"/>
  <c r="AI69" i="13"/>
  <c r="AD64" i="13"/>
  <c r="V103" i="13"/>
  <c r="V122" i="13" s="1"/>
  <c r="V82" i="13"/>
  <c r="BG104" i="13"/>
  <c r="BG83" i="13"/>
  <c r="AI66" i="13"/>
  <c r="AE78" i="13"/>
  <c r="AE98" i="13"/>
  <c r="AE88" i="13"/>
  <c r="AE109" i="13"/>
  <c r="BB62" i="13"/>
  <c r="AH70" i="13"/>
  <c r="AH87" i="13" s="1"/>
  <c r="AF65" i="13"/>
  <c r="V88" i="13"/>
  <c r="V109" i="13"/>
  <c r="BI61" i="13"/>
  <c r="AW68" i="13"/>
  <c r="AI70" i="13"/>
  <c r="AI87" i="13" s="1"/>
  <c r="W65" i="13"/>
  <c r="BF70" i="13"/>
  <c r="BF87" i="13" s="1"/>
  <c r="X79" i="13"/>
  <c r="X99" i="13"/>
  <c r="X110" i="13"/>
  <c r="X129" i="13" s="1"/>
  <c r="X89" i="13"/>
  <c r="AW60" i="13"/>
  <c r="BA66" i="13"/>
  <c r="BE89" i="13"/>
  <c r="BE110" i="13"/>
  <c r="BE129" i="13" s="1"/>
  <c r="Y98" i="13"/>
  <c r="Y78" i="13"/>
  <c r="BD102" i="13"/>
  <c r="BD81" i="13"/>
  <c r="AI62" i="13"/>
  <c r="Z73" i="13"/>
  <c r="Z76" i="13"/>
  <c r="Z96" i="13"/>
  <c r="Z283" i="13" s="1"/>
  <c r="Z85" i="13"/>
  <c r="Z106" i="13"/>
  <c r="BE64" i="13"/>
  <c r="BD109" i="13"/>
  <c r="BD88" i="13"/>
  <c r="AS62" i="13"/>
  <c r="AC69" i="13"/>
  <c r="BG110" i="13"/>
  <c r="BG129" i="13" s="1"/>
  <c r="BG89" i="13"/>
  <c r="G56" i="1"/>
  <c r="G59" i="1"/>
  <c r="T84" i="1"/>
  <c r="T90" i="1" s="1"/>
  <c r="T92" i="1" s="1"/>
  <c r="T73" i="1"/>
  <c r="T105" i="1"/>
  <c r="AK88" i="13"/>
  <c r="AK109" i="13"/>
  <c r="S88" i="1"/>
  <c r="S109" i="1"/>
  <c r="S107" i="1"/>
  <c r="S125" i="1" s="1"/>
  <c r="S86" i="1"/>
  <c r="P72" i="1"/>
  <c r="AA66" i="13"/>
  <c r="O124" i="1"/>
  <c r="E73" i="14"/>
  <c r="E78" i="14"/>
  <c r="E90" i="14" s="1"/>
  <c r="E92" i="14" s="1"/>
  <c r="E98" i="14"/>
  <c r="L88" i="13"/>
  <c r="L109" i="13"/>
  <c r="L80" i="13"/>
  <c r="T80" i="13"/>
  <c r="AN106" i="13"/>
  <c r="AN85" i="13"/>
  <c r="J98" i="1"/>
  <c r="J78" i="1"/>
  <c r="J90" i="1" s="1"/>
  <c r="J92" i="1" s="1"/>
  <c r="J73" i="1"/>
  <c r="O82" i="14"/>
  <c r="O103" i="14"/>
  <c r="O122" i="14" s="1"/>
  <c r="T78" i="14"/>
  <c r="T98" i="14"/>
  <c r="T73" i="14"/>
  <c r="T200" i="14"/>
  <c r="T174" i="14"/>
  <c r="T115" i="14"/>
  <c r="T136" i="14"/>
  <c r="T162" i="14"/>
  <c r="C78" i="13"/>
  <c r="C98" i="13"/>
  <c r="AZ123" i="13"/>
  <c r="C86" i="1"/>
  <c r="C90" i="1" s="1"/>
  <c r="C92" i="1" s="1"/>
  <c r="C107" i="1"/>
  <c r="F106" i="14"/>
  <c r="F85" i="14"/>
  <c r="H78" i="13"/>
  <c r="H98" i="13"/>
  <c r="T125" i="14"/>
  <c r="T141" i="14"/>
  <c r="T197" i="14" s="1"/>
  <c r="T142" i="14"/>
  <c r="T143" i="14" s="1"/>
  <c r="T198" i="14" s="1"/>
  <c r="F109" i="14"/>
  <c r="F88" i="14"/>
  <c r="M80" i="13"/>
  <c r="D85" i="14"/>
  <c r="D106" i="14"/>
  <c r="T73" i="13"/>
  <c r="K123" i="1"/>
  <c r="K164" i="1"/>
  <c r="H79" i="14"/>
  <c r="H99" i="14"/>
  <c r="K210" i="14"/>
  <c r="K207" i="14"/>
  <c r="K208" i="14" s="1"/>
  <c r="K205" i="14"/>
  <c r="K206" i="14" s="1"/>
  <c r="J212" i="14"/>
  <c r="J213" i="14"/>
  <c r="J224" i="14"/>
  <c r="J225" i="14" s="1"/>
  <c r="J236" i="14" s="1"/>
  <c r="J237" i="14" s="1"/>
  <c r="C216" i="14"/>
  <c r="C217" i="14" s="1"/>
  <c r="C220" i="14"/>
  <c r="C221" i="14" s="1"/>
  <c r="C214" i="14"/>
  <c r="C215" i="14" s="1"/>
  <c r="C218" i="14"/>
  <c r="C222" i="14"/>
  <c r="C223" i="14" s="1"/>
  <c r="C224" i="14"/>
  <c r="C225" i="14" s="1"/>
  <c r="BF75" i="15"/>
  <c r="BF92" i="15" s="1"/>
  <c r="AJ57" i="15"/>
  <c r="AB57" i="15"/>
  <c r="AK75" i="15"/>
  <c r="AK81" i="15" s="1"/>
  <c r="AQ57" i="15"/>
  <c r="AO57" i="15"/>
  <c r="AY75" i="15"/>
  <c r="AI75" i="15"/>
  <c r="AI81" i="15" s="1"/>
  <c r="Z75" i="15"/>
  <c r="Z88" i="15" s="1"/>
  <c r="AU61" i="13"/>
  <c r="AY67" i="13"/>
  <c r="AI64" i="13"/>
  <c r="AZ253" i="13"/>
  <c r="AZ254" i="13" s="1"/>
  <c r="AZ251" i="13"/>
  <c r="AZ252" i="13" s="1"/>
  <c r="BH59" i="13"/>
  <c r="AS69" i="13"/>
  <c r="V70" i="13"/>
  <c r="V87" i="13" s="1"/>
  <c r="AS66" i="13"/>
  <c r="AE62" i="13"/>
  <c r="BD65" i="13"/>
  <c r="BG68" i="13"/>
  <c r="AQ59" i="13"/>
  <c r="AS70" i="13"/>
  <c r="AS87" i="13" s="1"/>
  <c r="BH65" i="13"/>
  <c r="AM64" i="13"/>
  <c r="AC60" i="13"/>
  <c r="P77" i="13"/>
  <c r="P97" i="13"/>
  <c r="S77" i="1"/>
  <c r="S97" i="1"/>
  <c r="H84" i="1"/>
  <c r="H90" i="1" s="1"/>
  <c r="H92" i="1" s="1"/>
  <c r="H105" i="1"/>
  <c r="H73" i="1"/>
  <c r="S83" i="1"/>
  <c r="S104" i="1"/>
  <c r="F56" i="13"/>
  <c r="F56" i="1"/>
  <c r="F59" i="1"/>
  <c r="R104" i="13"/>
  <c r="R83" i="13"/>
  <c r="P70" i="14"/>
  <c r="P87" i="14" s="1"/>
  <c r="T108" i="1"/>
  <c r="T126" i="1" s="1"/>
  <c r="T127" i="1"/>
  <c r="T130" i="1" s="1"/>
  <c r="T77" i="13"/>
  <c r="T97" i="13"/>
  <c r="AN105" i="13"/>
  <c r="AN84" i="13"/>
  <c r="J103" i="1"/>
  <c r="J121" i="1" s="1"/>
  <c r="J82" i="1"/>
  <c r="O86" i="14"/>
  <c r="O107" i="14"/>
  <c r="O126" i="14" s="1"/>
  <c r="J267" i="13"/>
  <c r="J268" i="13" s="1"/>
  <c r="J265" i="13"/>
  <c r="J266" i="13" s="1"/>
  <c r="T80" i="14"/>
  <c r="E80" i="14"/>
  <c r="C102" i="13"/>
  <c r="C81" i="13"/>
  <c r="H73" i="13"/>
  <c r="H97" i="13"/>
  <c r="H77" i="13"/>
  <c r="M77" i="13"/>
  <c r="M97" i="13"/>
  <c r="C108" i="1"/>
  <c r="C126" i="1" s="1"/>
  <c r="C127" i="1"/>
  <c r="C130" i="1" s="1"/>
  <c r="J118" i="14"/>
  <c r="J137" i="14"/>
  <c r="H102" i="14"/>
  <c r="H81" i="14"/>
  <c r="E207" i="14"/>
  <c r="E208" i="14" s="1"/>
  <c r="E205" i="14"/>
  <c r="E206" i="14" s="1"/>
  <c r="E210" i="14"/>
  <c r="K100" i="14"/>
  <c r="K146" i="14" s="1"/>
  <c r="K175" i="14" s="1"/>
  <c r="I183" i="14"/>
  <c r="AA81" i="15"/>
  <c r="AA79" i="15"/>
  <c r="AA88" i="15"/>
  <c r="AA84" i="15"/>
  <c r="AA87" i="15"/>
  <c r="AA82" i="15"/>
  <c r="AA80" i="15"/>
  <c r="AA85" i="15"/>
  <c r="AA93" i="15"/>
  <c r="AA92" i="15"/>
  <c r="AA89" i="15"/>
  <c r="AA90" i="15"/>
  <c r="Z80" i="15"/>
  <c r="Z84" i="15"/>
  <c r="Z82" i="15"/>
  <c r="Z81" i="15"/>
  <c r="Z87" i="15"/>
  <c r="Z79" i="15"/>
  <c r="Z86" i="15"/>
  <c r="Z83" i="15"/>
  <c r="Z90" i="15"/>
  <c r="Z85" i="15"/>
  <c r="Z89" i="15"/>
  <c r="Z93" i="15"/>
  <c r="AP84" i="15"/>
  <c r="AP82" i="15"/>
  <c r="AP89" i="15"/>
  <c r="AP85" i="15"/>
  <c r="AG83" i="15"/>
  <c r="AG81" i="15"/>
  <c r="AG86" i="15"/>
  <c r="AG90" i="15"/>
  <c r="AG82" i="15"/>
  <c r="AG85" i="15"/>
  <c r="AG80" i="15"/>
  <c r="AG93" i="15"/>
  <c r="AG89" i="15"/>
  <c r="AG92" i="15"/>
  <c r="AG84" i="15"/>
  <c r="AG88" i="15"/>
  <c r="AV85" i="15"/>
  <c r="AV89" i="15"/>
  <c r="AV87" i="15"/>
  <c r="AK79" i="15"/>
  <c r="AK89" i="15"/>
  <c r="AK93" i="15"/>
  <c r="AT80" i="15"/>
  <c r="AT84" i="15"/>
  <c r="AT82" i="15"/>
  <c r="AT87" i="15"/>
  <c r="AT83" i="15"/>
  <c r="AT86" i="15"/>
  <c r="AT81" i="15"/>
  <c r="AT79" i="15"/>
  <c r="AT92" i="15"/>
  <c r="AT88" i="15"/>
  <c r="AT93" i="15"/>
  <c r="AT85" i="15"/>
  <c r="AT89" i="15"/>
  <c r="AY81" i="15"/>
  <c r="AY79" i="15"/>
  <c r="AY83" i="15"/>
  <c r="AY88" i="15"/>
  <c r="AY87" i="15"/>
  <c r="AY82" i="15"/>
  <c r="AY85" i="15"/>
  <c r="AY89" i="15"/>
  <c r="AY93" i="15"/>
  <c r="AY92" i="15"/>
  <c r="AY84" i="15"/>
  <c r="AY80" i="15"/>
  <c r="AY90" i="15"/>
  <c r="AY86" i="15"/>
  <c r="AI79" i="15"/>
  <c r="AI83" i="15"/>
  <c r="AI88" i="15"/>
  <c r="AI87" i="15"/>
  <c r="AI82" i="15"/>
  <c r="AI84" i="15"/>
  <c r="AI80" i="15"/>
  <c r="AI85" i="15"/>
  <c r="AI89" i="15"/>
  <c r="AI92" i="15"/>
  <c r="AI86" i="15"/>
  <c r="AI90" i="15"/>
  <c r="BA79" i="15"/>
  <c r="BA83" i="15"/>
  <c r="BA81" i="15"/>
  <c r="BA80" i="15"/>
  <c r="BA86" i="15"/>
  <c r="BA90" i="15"/>
  <c r="BA87" i="15"/>
  <c r="BA82" i="15"/>
  <c r="BA89" i="15"/>
  <c r="BA93" i="15"/>
  <c r="BA88" i="15"/>
  <c r="BA84" i="15"/>
  <c r="BA92" i="15"/>
  <c r="V80" i="15"/>
  <c r="V84" i="15"/>
  <c r="V82" i="15"/>
  <c r="V87" i="15"/>
  <c r="V83" i="15"/>
  <c r="V86" i="15"/>
  <c r="V81" i="15"/>
  <c r="V92" i="15"/>
  <c r="V79" i="15"/>
  <c r="V88" i="15"/>
  <c r="V90" i="15"/>
  <c r="V89" i="15"/>
  <c r="V93" i="15"/>
  <c r="V85" i="15"/>
  <c r="BJ80" i="15"/>
  <c r="BJ84" i="15"/>
  <c r="BJ82" i="15"/>
  <c r="BJ87" i="15"/>
  <c r="BJ86" i="15"/>
  <c r="BJ81" i="15"/>
  <c r="BJ83" i="15"/>
  <c r="BJ88" i="15"/>
  <c r="BJ92" i="15"/>
  <c r="BJ79" i="15"/>
  <c r="BJ90" i="15"/>
  <c r="BJ85" i="15"/>
  <c r="BJ89" i="15"/>
  <c r="BJ93" i="15"/>
  <c r="AU81" i="15"/>
  <c r="AU79" i="15"/>
  <c r="AU83" i="15"/>
  <c r="AU82" i="15"/>
  <c r="AU88" i="15"/>
  <c r="AU80" i="15"/>
  <c r="AU87" i="15"/>
  <c r="AU93" i="15"/>
  <c r="AU89" i="15"/>
  <c r="AU92" i="15"/>
  <c r="AU85" i="15"/>
  <c r="AU90" i="15"/>
  <c r="AU86" i="15"/>
  <c r="AD84" i="15"/>
  <c r="AD82" i="15"/>
  <c r="AD87" i="15"/>
  <c r="AD83" i="15"/>
  <c r="AD86" i="15"/>
  <c r="AD81" i="15"/>
  <c r="AD90" i="15"/>
  <c r="AD92" i="15"/>
  <c r="AD79" i="15"/>
  <c r="AD93" i="15"/>
  <c r="AD85" i="15"/>
  <c r="AD89" i="15"/>
  <c r="AE81" i="15"/>
  <c r="AE79" i="15"/>
  <c r="AE83" i="15"/>
  <c r="AE82" i="15"/>
  <c r="AE84" i="15"/>
  <c r="AE88" i="15"/>
  <c r="AE87" i="15"/>
  <c r="AE93" i="15"/>
  <c r="AE89" i="15"/>
  <c r="AE92" i="15"/>
  <c r="AE85" i="15"/>
  <c r="AE86" i="15"/>
  <c r="AE90" i="15"/>
  <c r="AR82" i="15"/>
  <c r="AR80" i="15"/>
  <c r="AR83" i="15"/>
  <c r="AR85" i="15"/>
  <c r="AR89" i="15"/>
  <c r="AR81" i="15"/>
  <c r="AR88" i="15"/>
  <c r="AR79" i="15"/>
  <c r="AR84" i="15"/>
  <c r="AR90" i="15"/>
  <c r="AR93" i="15"/>
  <c r="AR92" i="15"/>
  <c r="AR86" i="15"/>
  <c r="AR87" i="15"/>
  <c r="BF84" i="15"/>
  <c r="BF82" i="15"/>
  <c r="BF81" i="15"/>
  <c r="BF83" i="15"/>
  <c r="BF87" i="15"/>
  <c r="BF79" i="15"/>
  <c r="BF85" i="15"/>
  <c r="BF89" i="15"/>
  <c r="BF93" i="15"/>
  <c r="AF82" i="15"/>
  <c r="AF80" i="15"/>
  <c r="AF79" i="15"/>
  <c r="AF85" i="15"/>
  <c r="AF89" i="15"/>
  <c r="AF84" i="15"/>
  <c r="AF88" i="15"/>
  <c r="AF83" i="15"/>
  <c r="AF86" i="15"/>
  <c r="AF81" i="15"/>
  <c r="AF93" i="15"/>
  <c r="AF90" i="15"/>
  <c r="AF92" i="15"/>
  <c r="AF87" i="15"/>
  <c r="U81" i="15"/>
  <c r="U80" i="15"/>
  <c r="U86" i="15"/>
  <c r="U90" i="15"/>
  <c r="U84" i="15"/>
  <c r="U85" i="15"/>
  <c r="U87" i="15"/>
  <c r="U82" i="15"/>
  <c r="U92" i="15"/>
  <c r="U88" i="15"/>
  <c r="BE86" i="15"/>
  <c r="BE82" i="15"/>
  <c r="BE88" i="15"/>
  <c r="Y79" i="15"/>
  <c r="Y83" i="15"/>
  <c r="Y81" i="15"/>
  <c r="Y84" i="15"/>
  <c r="Y86" i="15"/>
  <c r="Y90" i="15"/>
  <c r="Y82" i="15"/>
  <c r="Y85" i="15"/>
  <c r="Y80" i="15"/>
  <c r="Y89" i="15"/>
  <c r="Y87" i="15"/>
  <c r="Y93" i="15"/>
  <c r="BI79" i="15"/>
  <c r="BI83" i="15"/>
  <c r="BI81" i="15"/>
  <c r="BI80" i="15"/>
  <c r="BI86" i="15"/>
  <c r="BI85" i="15"/>
  <c r="BI89" i="15"/>
  <c r="BI87" i="15"/>
  <c r="BI90" i="15"/>
  <c r="BI93" i="15"/>
  <c r="BI82" i="15"/>
  <c r="AX80" i="15"/>
  <c r="AX84" i="15"/>
  <c r="AX82" i="15"/>
  <c r="AX81" i="15"/>
  <c r="AX87" i="15"/>
  <c r="AX79" i="15"/>
  <c r="AX86" i="15"/>
  <c r="AX90" i="15"/>
  <c r="AX88" i="15"/>
  <c r="AX92" i="15"/>
  <c r="AX83" i="15"/>
  <c r="BC81" i="15"/>
  <c r="BC79" i="15"/>
  <c r="BC82" i="15"/>
  <c r="BC88" i="15"/>
  <c r="BC80" i="15"/>
  <c r="BC87" i="15"/>
  <c r="BC83" i="15"/>
  <c r="BC84" i="15"/>
  <c r="BC89" i="15"/>
  <c r="BC93" i="15"/>
  <c r="BC92" i="15"/>
  <c r="BC85" i="15"/>
  <c r="AX89" i="15"/>
  <c r="AS84" i="15"/>
  <c r="AX85" i="15"/>
  <c r="BC86" i="15"/>
  <c r="X82" i="15"/>
  <c r="X80" i="15"/>
  <c r="X79" i="15"/>
  <c r="X85" i="15"/>
  <c r="X89" i="15"/>
  <c r="X88" i="15"/>
  <c r="X83" i="15"/>
  <c r="X81" i="15"/>
  <c r="X86" i="15"/>
  <c r="X90" i="15"/>
  <c r="X84" i="15"/>
  <c r="X93" i="15"/>
  <c r="X92" i="15"/>
  <c r="AN82" i="15"/>
  <c r="AN80" i="15"/>
  <c r="AN79" i="15"/>
  <c r="AN85" i="15"/>
  <c r="AN89" i="15"/>
  <c r="AN88" i="15"/>
  <c r="AN83" i="15"/>
  <c r="AN84" i="15"/>
  <c r="AN86" i="15"/>
  <c r="AN90" i="15"/>
  <c r="AN93" i="15"/>
  <c r="AN81" i="15"/>
  <c r="AN92" i="15"/>
  <c r="BD82" i="15"/>
  <c r="BD80" i="15"/>
  <c r="BD79" i="15"/>
  <c r="BD85" i="15"/>
  <c r="BD89" i="15"/>
  <c r="BD83" i="15"/>
  <c r="BD84" i="15"/>
  <c r="BD88" i="15"/>
  <c r="BD81" i="15"/>
  <c r="BD86" i="15"/>
  <c r="BD90" i="15"/>
  <c r="BD93" i="15"/>
  <c r="BD92" i="15"/>
  <c r="AC79" i="15"/>
  <c r="AC83" i="15"/>
  <c r="AC81" i="15"/>
  <c r="AC80" i="15"/>
  <c r="AC86" i="15"/>
  <c r="AC90" i="15"/>
  <c r="AC85" i="15"/>
  <c r="AC89" i="15"/>
  <c r="AC87" i="15"/>
  <c r="AC82" i="15"/>
  <c r="AC84" i="15"/>
  <c r="AC93" i="15"/>
  <c r="AW79" i="15"/>
  <c r="AW83" i="15"/>
  <c r="AW81" i="15"/>
  <c r="AW86" i="15"/>
  <c r="AW90" i="15"/>
  <c r="AW82" i="15"/>
  <c r="AW85" i="15"/>
  <c r="AW80" i="15"/>
  <c r="AW89" i="15"/>
  <c r="AW93" i="15"/>
  <c r="AW91" i="15" s="1"/>
  <c r="AW87" i="15"/>
  <c r="AL80" i="15"/>
  <c r="AL84" i="15"/>
  <c r="AL82" i="15"/>
  <c r="AL87" i="15"/>
  <c r="AL83" i="15"/>
  <c r="AL86" i="15"/>
  <c r="AL81" i="15"/>
  <c r="AL79" i="15"/>
  <c r="AL92" i="15"/>
  <c r="AL90" i="15"/>
  <c r="AL88" i="15"/>
  <c r="BB80" i="15"/>
  <c r="BB84" i="15"/>
  <c r="BB82" i="15"/>
  <c r="BB87" i="15"/>
  <c r="BB83" i="15"/>
  <c r="BB86" i="15"/>
  <c r="BB81" i="15"/>
  <c r="BB92" i="15"/>
  <c r="BB79" i="15"/>
  <c r="BB88" i="15"/>
  <c r="BB90" i="15"/>
  <c r="AQ81" i="15"/>
  <c r="AQ79" i="15"/>
  <c r="AQ83" i="15"/>
  <c r="AQ88" i="15"/>
  <c r="AQ84" i="15"/>
  <c r="AQ87" i="15"/>
  <c r="AQ82" i="15"/>
  <c r="AQ85" i="15"/>
  <c r="AQ93" i="15"/>
  <c r="AQ80" i="15"/>
  <c r="AQ92" i="15"/>
  <c r="AQ89" i="15"/>
  <c r="BG81" i="15"/>
  <c r="BG79" i="15"/>
  <c r="BG88" i="15"/>
  <c r="BG83" i="15"/>
  <c r="BG84" i="15"/>
  <c r="BG87" i="15"/>
  <c r="BG82" i="15"/>
  <c r="BG80" i="15"/>
  <c r="BG85" i="15"/>
  <c r="BG93" i="15"/>
  <c r="BG92" i="15"/>
  <c r="BG89" i="15"/>
  <c r="AO75" i="15"/>
  <c r="BI88" i="15"/>
  <c r="BC90" i="15"/>
  <c r="AJ82" i="15"/>
  <c r="AJ80" i="15"/>
  <c r="AJ83" i="15"/>
  <c r="AJ84" i="15"/>
  <c r="AJ85" i="15"/>
  <c r="AJ89" i="15"/>
  <c r="AJ81" i="15"/>
  <c r="AJ88" i="15"/>
  <c r="AJ79" i="15"/>
  <c r="AJ90" i="15"/>
  <c r="AJ93" i="15"/>
  <c r="AJ86" i="15"/>
  <c r="AJ92" i="15"/>
  <c r="AS79" i="15"/>
  <c r="AS83" i="15"/>
  <c r="AS81" i="15"/>
  <c r="AS80" i="15"/>
  <c r="AS86" i="15"/>
  <c r="AS90" i="15"/>
  <c r="AS85" i="15"/>
  <c r="AS89" i="15"/>
  <c r="AS82" i="15"/>
  <c r="AS87" i="15"/>
  <c r="AS93" i="15"/>
  <c r="W81" i="15"/>
  <c r="W79" i="15"/>
  <c r="W83" i="15"/>
  <c r="W82" i="15"/>
  <c r="W88" i="15"/>
  <c r="W80" i="15"/>
  <c r="W87" i="15"/>
  <c r="W84" i="15"/>
  <c r="W89" i="15"/>
  <c r="W93" i="15"/>
  <c r="W92" i="15"/>
  <c r="W85" i="15"/>
  <c r="AB82" i="15"/>
  <c r="AB80" i="15"/>
  <c r="AB83" i="15"/>
  <c r="AB85" i="15"/>
  <c r="AB89" i="15"/>
  <c r="AB81" i="15"/>
  <c r="AB88" i="15"/>
  <c r="AB79" i="15"/>
  <c r="AB84" i="15"/>
  <c r="AB90" i="15"/>
  <c r="AB93" i="15"/>
  <c r="AB92" i="15"/>
  <c r="AB86" i="15"/>
  <c r="BH82" i="15"/>
  <c r="BH80" i="15"/>
  <c r="BH85" i="15"/>
  <c r="BH89" i="15"/>
  <c r="BH81" i="15"/>
  <c r="BH79" i="15"/>
  <c r="BH83" i="15"/>
  <c r="BH84" i="15"/>
  <c r="BH90" i="15"/>
  <c r="BH93" i="15"/>
  <c r="BH92" i="15"/>
  <c r="BH88" i="15"/>
  <c r="BH86" i="15"/>
  <c r="BK81" i="15"/>
  <c r="BK79" i="15"/>
  <c r="BK82" i="15"/>
  <c r="BK83" i="15"/>
  <c r="BK84" i="15"/>
  <c r="BK88" i="15"/>
  <c r="BK80" i="15"/>
  <c r="BK87" i="15"/>
  <c r="BK93" i="15"/>
  <c r="BK89" i="15"/>
  <c r="BK92" i="15"/>
  <c r="BK85" i="15"/>
  <c r="BI84" i="15"/>
  <c r="AJ87" i="15"/>
  <c r="Y88" i="15"/>
  <c r="AL89" i="15"/>
  <c r="AC92" i="15"/>
  <c r="AX93" i="15"/>
  <c r="AL85" i="15"/>
  <c r="BB85" i="15"/>
  <c r="AQ90" i="15"/>
  <c r="AZ82" i="15"/>
  <c r="AZ80" i="15"/>
  <c r="AZ83" i="15"/>
  <c r="AZ84" i="15"/>
  <c r="AZ122" i="15" s="1"/>
  <c r="AZ85" i="15"/>
  <c r="AZ89" i="15"/>
  <c r="AZ81" i="15"/>
  <c r="AZ88" i="15"/>
  <c r="AZ79" i="15"/>
  <c r="AZ90" i="15"/>
  <c r="AZ93" i="15"/>
  <c r="AZ86" i="15"/>
  <c r="AZ92" i="15"/>
  <c r="AH80" i="15"/>
  <c r="AH84" i="15"/>
  <c r="AH82" i="15"/>
  <c r="AH81" i="15"/>
  <c r="AH87" i="15"/>
  <c r="AH79" i="15"/>
  <c r="AH86" i="15"/>
  <c r="AH90" i="15"/>
  <c r="AH83" i="15"/>
  <c r="AH88" i="15"/>
  <c r="AH92" i="15"/>
  <c r="AM81" i="15"/>
  <c r="AM79" i="15"/>
  <c r="AM83" i="15"/>
  <c r="AM82" i="15"/>
  <c r="AM88" i="15"/>
  <c r="AM80" i="15"/>
  <c r="AM87" i="15"/>
  <c r="AM84" i="15"/>
  <c r="AM89" i="15"/>
  <c r="AM93" i="15"/>
  <c r="AM92" i="15"/>
  <c r="AM85" i="15"/>
  <c r="AB87" i="15"/>
  <c r="BH87" i="15"/>
  <c r="AS88" i="15"/>
  <c r="AH89" i="15"/>
  <c r="AM90" i="15"/>
  <c r="BI92" i="15"/>
  <c r="AW84" i="15"/>
  <c r="AH85" i="15"/>
  <c r="X87" i="15"/>
  <c r="AN87" i="15"/>
  <c r="BD87" i="15"/>
  <c r="AC88" i="15"/>
  <c r="AW88" i="15"/>
  <c r="W90" i="15"/>
  <c r="BG90" i="15"/>
  <c r="Y92" i="15"/>
  <c r="BB93" i="15"/>
  <c r="T75" i="15"/>
  <c r="T87" i="15" s="1"/>
  <c r="H57" i="15"/>
  <c r="P75" i="15"/>
  <c r="P93" i="15" s="1"/>
  <c r="P57" i="15"/>
  <c r="O75" i="15"/>
  <c r="O80" i="15" s="1"/>
  <c r="G75" i="15"/>
  <c r="G88" i="15" s="1"/>
  <c r="G150" i="15" s="1"/>
  <c r="O57" i="15"/>
  <c r="T57" i="15"/>
  <c r="K75" i="15"/>
  <c r="K87" i="15" s="1"/>
  <c r="BM46" i="15"/>
  <c r="BM64" i="15" s="1"/>
  <c r="B75" i="15"/>
  <c r="B93" i="15" s="1"/>
  <c r="N75" i="15"/>
  <c r="N84" i="15" s="1"/>
  <c r="H81" i="15"/>
  <c r="H135" i="15" s="1"/>
  <c r="N57" i="15"/>
  <c r="I75" i="15"/>
  <c r="I82" i="15" s="1"/>
  <c r="H86" i="15"/>
  <c r="G57" i="15"/>
  <c r="I57" i="15"/>
  <c r="H89" i="15"/>
  <c r="H90" i="15"/>
  <c r="H92" i="15"/>
  <c r="J75" i="15"/>
  <c r="J88" i="15" s="1"/>
  <c r="H80" i="15"/>
  <c r="H184" i="15" s="1"/>
  <c r="D75" i="15"/>
  <c r="D84" i="15" s="1"/>
  <c r="R75" i="15"/>
  <c r="R90" i="15" s="1"/>
  <c r="H93" i="15"/>
  <c r="H79" i="15"/>
  <c r="H145" i="15" s="1"/>
  <c r="H87" i="15"/>
  <c r="F57" i="15"/>
  <c r="L75" i="15"/>
  <c r="L88" i="15" s="1"/>
  <c r="L150" i="15" s="1"/>
  <c r="F75" i="15"/>
  <c r="F92" i="15" s="1"/>
  <c r="H88" i="15"/>
  <c r="H150" i="15" s="1"/>
  <c r="R57" i="15"/>
  <c r="L57" i="15"/>
  <c r="B57" i="15"/>
  <c r="D57" i="15"/>
  <c r="J57" i="15"/>
  <c r="M79" i="15"/>
  <c r="M157" i="15" s="1"/>
  <c r="M81" i="15"/>
  <c r="M135" i="15" s="1"/>
  <c r="M90" i="15"/>
  <c r="M92" i="15"/>
  <c r="M85" i="15"/>
  <c r="M88" i="15"/>
  <c r="M150" i="15" s="1"/>
  <c r="M89" i="15"/>
  <c r="M82" i="15"/>
  <c r="M84" i="15"/>
  <c r="M83" i="15"/>
  <c r="M168" i="15" s="1"/>
  <c r="M136" i="15" s="1"/>
  <c r="M86" i="15"/>
  <c r="M80" i="15"/>
  <c r="M87" i="15"/>
  <c r="M121" i="15" s="1"/>
  <c r="M182" i="15" s="1"/>
  <c r="M93" i="15"/>
  <c r="H85" i="15"/>
  <c r="H84" i="15"/>
  <c r="H83" i="15"/>
  <c r="H168" i="15" s="1"/>
  <c r="H136" i="15" s="1"/>
  <c r="C64" i="15"/>
  <c r="C57" i="15"/>
  <c r="BM48" i="15"/>
  <c r="BM38" i="15"/>
  <c r="T89" i="15"/>
  <c r="T79" i="15"/>
  <c r="T93" i="15"/>
  <c r="T84" i="15"/>
  <c r="T88" i="15"/>
  <c r="T92" i="15"/>
  <c r="S86" i="15"/>
  <c r="S89" i="15"/>
  <c r="S93" i="15"/>
  <c r="S87" i="15"/>
  <c r="S82" i="15"/>
  <c r="S80" i="15"/>
  <c r="S81" i="15"/>
  <c r="S90" i="15"/>
  <c r="S84" i="15"/>
  <c r="S79" i="15"/>
  <c r="S83" i="15"/>
  <c r="S92" i="15"/>
  <c r="S85" i="15"/>
  <c r="C65" i="15"/>
  <c r="S88" i="15"/>
  <c r="Q61" i="15"/>
  <c r="Q75" i="15" s="1"/>
  <c r="Q80" i="15" s="1"/>
  <c r="Q57" i="15"/>
  <c r="E57" i="15"/>
  <c r="E63" i="15"/>
  <c r="E75" i="15" s="1"/>
  <c r="E82" i="15" s="1"/>
  <c r="I279" i="14"/>
  <c r="AX100" i="13" l="1"/>
  <c r="AX146" i="13" s="1"/>
  <c r="AX175" i="13" s="1"/>
  <c r="I98" i="13"/>
  <c r="I78" i="13"/>
  <c r="D76" i="13"/>
  <c r="D96" i="13"/>
  <c r="Q79" i="13"/>
  <c r="Q99" i="13"/>
  <c r="AM73" i="13"/>
  <c r="H90" i="13"/>
  <c r="H92" i="13" s="1"/>
  <c r="BI73" i="13"/>
  <c r="AV90" i="13"/>
  <c r="AV92" i="13" s="1"/>
  <c r="AP89" i="13"/>
  <c r="AP110" i="13"/>
  <c r="AP129" i="13" s="1"/>
  <c r="L96" i="13"/>
  <c r="L76" i="13"/>
  <c r="L90" i="13" s="1"/>
  <c r="L92" i="13" s="1"/>
  <c r="AR85" i="13"/>
  <c r="AR106" i="13"/>
  <c r="K85" i="13"/>
  <c r="K106" i="13"/>
  <c r="P81" i="13"/>
  <c r="P102" i="13"/>
  <c r="P121" i="13" s="1"/>
  <c r="AX152" i="13"/>
  <c r="AX117" i="13"/>
  <c r="R267" i="13"/>
  <c r="R268" i="13" s="1"/>
  <c r="R265" i="13"/>
  <c r="R266" i="13" s="1"/>
  <c r="AJ110" i="13"/>
  <c r="AJ129" i="13" s="1"/>
  <c r="AJ89" i="13"/>
  <c r="AJ116" i="13"/>
  <c r="AJ286" i="13" s="1"/>
  <c r="AJ201" i="13"/>
  <c r="AJ154" i="13"/>
  <c r="O79" i="13"/>
  <c r="O99" i="13"/>
  <c r="O118" i="13" s="1"/>
  <c r="O287" i="13" s="1"/>
  <c r="T84" i="13"/>
  <c r="T105" i="13"/>
  <c r="AR78" i="13"/>
  <c r="AR90" i="13" s="1"/>
  <c r="AR92" i="13" s="1"/>
  <c r="AR100" i="13" s="1"/>
  <c r="AR146" i="13" s="1"/>
  <c r="AR175" i="13" s="1"/>
  <c r="AR98" i="13"/>
  <c r="N72" i="13"/>
  <c r="N67" i="13"/>
  <c r="N60" i="13"/>
  <c r="N70" i="13"/>
  <c r="N87" i="13" s="1"/>
  <c r="N63" i="13"/>
  <c r="N80" i="13" s="1"/>
  <c r="N61" i="13"/>
  <c r="N68" i="13"/>
  <c r="N66" i="13"/>
  <c r="N71" i="13"/>
  <c r="N64" i="13"/>
  <c r="N62" i="13"/>
  <c r="N69" i="13"/>
  <c r="N65" i="13"/>
  <c r="G79" i="13"/>
  <c r="G99" i="13"/>
  <c r="AV154" i="13"/>
  <c r="AV170" i="13" s="1"/>
  <c r="AV201" i="13"/>
  <c r="AV116" i="13"/>
  <c r="AV286" i="13" s="1"/>
  <c r="T88" i="13"/>
  <c r="T109" i="13"/>
  <c r="S78" i="13"/>
  <c r="S98" i="13"/>
  <c r="R79" i="13"/>
  <c r="R99" i="13"/>
  <c r="R118" i="13" s="1"/>
  <c r="R287" i="13" s="1"/>
  <c r="E98" i="13"/>
  <c r="E78" i="13"/>
  <c r="E76" i="13"/>
  <c r="E73" i="13"/>
  <c r="E96" i="13"/>
  <c r="AZ128" i="13"/>
  <c r="AZ131" i="13" s="1"/>
  <c r="AZ108" i="13"/>
  <c r="AZ127" i="13" s="1"/>
  <c r="L105" i="13"/>
  <c r="L84" i="13"/>
  <c r="K88" i="13"/>
  <c r="K109" i="13"/>
  <c r="P107" i="13"/>
  <c r="P126" i="13" s="1"/>
  <c r="P86" i="13"/>
  <c r="AP73" i="13"/>
  <c r="AP80" i="13"/>
  <c r="B109" i="13"/>
  <c r="B128" i="13" s="1"/>
  <c r="B88" i="13"/>
  <c r="AJ86" i="13"/>
  <c r="AJ107" i="13"/>
  <c r="AJ126" i="13" s="1"/>
  <c r="O84" i="13"/>
  <c r="O105" i="13"/>
  <c r="AR89" i="13"/>
  <c r="AR110" i="13"/>
  <c r="AR129" i="13" s="1"/>
  <c r="G103" i="13"/>
  <c r="G122" i="13" s="1"/>
  <c r="G82" i="13"/>
  <c r="T82" i="13"/>
  <c r="T103" i="13"/>
  <c r="T122" i="13" s="1"/>
  <c r="S84" i="13"/>
  <c r="S105" i="13"/>
  <c r="D110" i="13"/>
  <c r="D129" i="13" s="1"/>
  <c r="D89" i="13"/>
  <c r="R105" i="13"/>
  <c r="R84" i="13"/>
  <c r="E83" i="13"/>
  <c r="E104" i="13"/>
  <c r="E123" i="13" s="1"/>
  <c r="Q65" i="13"/>
  <c r="Q72" i="13"/>
  <c r="Q63" i="13"/>
  <c r="Q80" i="13" s="1"/>
  <c r="Q59" i="13"/>
  <c r="Q71" i="13"/>
  <c r="Q70" i="13"/>
  <c r="Q87" i="13" s="1"/>
  <c r="Q64" i="13"/>
  <c r="Q67" i="13"/>
  <c r="Q68" i="13"/>
  <c r="Q60" i="13"/>
  <c r="Q61" i="13"/>
  <c r="Q66" i="13"/>
  <c r="Q69" i="13"/>
  <c r="AZ125" i="13"/>
  <c r="AZ142" i="13"/>
  <c r="L86" i="13"/>
  <c r="L107" i="13"/>
  <c r="L126" i="13" s="1"/>
  <c r="K76" i="13"/>
  <c r="K90" i="13" s="1"/>
  <c r="K92" i="13" s="1"/>
  <c r="K96" i="13"/>
  <c r="P98" i="13"/>
  <c r="P78" i="13"/>
  <c r="AP104" i="13"/>
  <c r="AP123" i="13" s="1"/>
  <c r="AP83" i="13"/>
  <c r="AP86" i="13"/>
  <c r="AP107" i="13"/>
  <c r="AP126" i="13" s="1"/>
  <c r="BN71" i="13"/>
  <c r="BN69" i="13"/>
  <c r="BN59" i="13"/>
  <c r="BN68" i="13"/>
  <c r="BN64" i="13"/>
  <c r="BN65" i="13"/>
  <c r="BN63" i="13"/>
  <c r="BN80" i="13" s="1"/>
  <c r="BN60" i="13"/>
  <c r="AT205" i="13"/>
  <c r="AT206" i="13" s="1"/>
  <c r="AT210" i="13"/>
  <c r="AT207" i="13"/>
  <c r="AT208" i="13" s="1"/>
  <c r="O104" i="13"/>
  <c r="O123" i="13" s="1"/>
  <c r="O83" i="13"/>
  <c r="R110" i="13"/>
  <c r="R129" i="13" s="1"/>
  <c r="R89" i="13"/>
  <c r="AR86" i="13"/>
  <c r="AR107" i="13"/>
  <c r="AR126" i="13" s="1"/>
  <c r="G76" i="13"/>
  <c r="G96" i="13"/>
  <c r="T89" i="13"/>
  <c r="T110" i="13"/>
  <c r="T129" i="13" s="1"/>
  <c r="S88" i="13"/>
  <c r="S109" i="13"/>
  <c r="S128" i="13" s="1"/>
  <c r="BN67" i="13"/>
  <c r="AZ212" i="13"/>
  <c r="F265" i="13"/>
  <c r="F266" i="13" s="1"/>
  <c r="F267" i="13"/>
  <c r="F268" i="13" s="1"/>
  <c r="R106" i="13"/>
  <c r="R85" i="13"/>
  <c r="K117" i="13"/>
  <c r="K152" i="13"/>
  <c r="E89" i="13"/>
  <c r="E110" i="13"/>
  <c r="E129" i="13" s="1"/>
  <c r="BN70" i="13"/>
  <c r="BN87" i="13" s="1"/>
  <c r="AI73" i="13"/>
  <c r="AK90" i="13"/>
  <c r="AK92" i="13" s="1"/>
  <c r="AR73" i="13"/>
  <c r="P73" i="13"/>
  <c r="L79" i="13"/>
  <c r="L99" i="13"/>
  <c r="K107" i="13"/>
  <c r="K126" i="13" s="1"/>
  <c r="K86" i="13"/>
  <c r="AP78" i="13"/>
  <c r="AP98" i="13"/>
  <c r="AJ85" i="13"/>
  <c r="AJ106" i="13"/>
  <c r="O77" i="13"/>
  <c r="O97" i="13"/>
  <c r="B82" i="13"/>
  <c r="B103" i="13"/>
  <c r="B122" i="13" s="1"/>
  <c r="G81" i="13"/>
  <c r="G102" i="13"/>
  <c r="G121" i="13" s="1"/>
  <c r="T107" i="13"/>
  <c r="T126" i="13" s="1"/>
  <c r="T86" i="13"/>
  <c r="F272" i="13"/>
  <c r="F273" i="13" s="1"/>
  <c r="F270" i="13"/>
  <c r="F271" i="13" s="1"/>
  <c r="F274" i="13"/>
  <c r="F275" i="13" s="1"/>
  <c r="R109" i="13"/>
  <c r="R88" i="13"/>
  <c r="E82" i="13"/>
  <c r="E103" i="13"/>
  <c r="E122" i="13" s="1"/>
  <c r="H128" i="13"/>
  <c r="H131" i="13" s="1"/>
  <c r="H108" i="13"/>
  <c r="H127" i="13" s="1"/>
  <c r="S97" i="13"/>
  <c r="S77" i="13"/>
  <c r="L103" i="13"/>
  <c r="L122" i="13" s="1"/>
  <c r="L82" i="13"/>
  <c r="K89" i="13"/>
  <c r="K110" i="13"/>
  <c r="K129" i="13" s="1"/>
  <c r="AV205" i="13"/>
  <c r="AV206" i="13" s="1"/>
  <c r="AV207" i="13"/>
  <c r="AV208" i="13" s="1"/>
  <c r="AV210" i="13"/>
  <c r="P79" i="13"/>
  <c r="P99" i="13"/>
  <c r="P118" i="13" s="1"/>
  <c r="P287" i="13" s="1"/>
  <c r="AP97" i="13"/>
  <c r="AP77" i="13"/>
  <c r="D68" i="13"/>
  <c r="D69" i="13"/>
  <c r="D64" i="13"/>
  <c r="D62" i="13"/>
  <c r="D65" i="13"/>
  <c r="D71" i="13"/>
  <c r="D60" i="13"/>
  <c r="D70" i="13"/>
  <c r="D87" i="13" s="1"/>
  <c r="D63" i="13"/>
  <c r="D80" i="13" s="1"/>
  <c r="D66" i="13"/>
  <c r="AJ104" i="13"/>
  <c r="AJ123" i="13" s="1"/>
  <c r="AJ83" i="13"/>
  <c r="O107" i="13"/>
  <c r="O126" i="13" s="1"/>
  <c r="O86" i="13"/>
  <c r="O103" i="13"/>
  <c r="O122" i="13" s="1"/>
  <c r="O82" i="13"/>
  <c r="B78" i="13"/>
  <c r="B98" i="13"/>
  <c r="AN78" i="13"/>
  <c r="AN98" i="13"/>
  <c r="AR76" i="13"/>
  <c r="AR96" i="13"/>
  <c r="G78" i="13"/>
  <c r="G90" i="13" s="1"/>
  <c r="G92" i="13" s="1"/>
  <c r="G100" i="13" s="1"/>
  <c r="G98" i="13"/>
  <c r="F251" i="13"/>
  <c r="F252" i="13" s="1"/>
  <c r="F253" i="13"/>
  <c r="F254" i="13" s="1"/>
  <c r="T78" i="13"/>
  <c r="T98" i="13"/>
  <c r="S103" i="13"/>
  <c r="S122" i="13" s="1"/>
  <c r="S82" i="13"/>
  <c r="R78" i="13"/>
  <c r="R98" i="13"/>
  <c r="BN61" i="13"/>
  <c r="BN72" i="13"/>
  <c r="I70" i="13"/>
  <c r="I87" i="13" s="1"/>
  <c r="I72" i="13"/>
  <c r="I59" i="13"/>
  <c r="I62" i="13"/>
  <c r="I64" i="13"/>
  <c r="I68" i="13"/>
  <c r="I67" i="13"/>
  <c r="I65" i="13"/>
  <c r="I69" i="13"/>
  <c r="I71" i="13"/>
  <c r="I60" i="13"/>
  <c r="I63" i="13"/>
  <c r="I80" i="13" s="1"/>
  <c r="I66" i="13"/>
  <c r="C109" i="13"/>
  <c r="C128" i="13" s="1"/>
  <c r="C88" i="13"/>
  <c r="L89" i="13"/>
  <c r="L110" i="13"/>
  <c r="L129" i="13" s="1"/>
  <c r="K104" i="13"/>
  <c r="K123" i="13" s="1"/>
  <c r="K83" i="13"/>
  <c r="P85" i="13"/>
  <c r="P106" i="13"/>
  <c r="AP85" i="13"/>
  <c r="AP106" i="13"/>
  <c r="AJ81" i="13"/>
  <c r="AJ102" i="13"/>
  <c r="AJ121" i="13" s="1"/>
  <c r="AJ105" i="13"/>
  <c r="AJ84" i="13"/>
  <c r="AN99" i="13"/>
  <c r="AN118" i="13" s="1"/>
  <c r="AN287" i="13" s="1"/>
  <c r="AN79" i="13"/>
  <c r="R86" i="13"/>
  <c r="R107" i="13"/>
  <c r="R126" i="13" s="1"/>
  <c r="O78" i="13"/>
  <c r="O98" i="13"/>
  <c r="O109" i="13"/>
  <c r="O88" i="13"/>
  <c r="B85" i="13"/>
  <c r="B106" i="13"/>
  <c r="AN102" i="13"/>
  <c r="AN121" i="13" s="1"/>
  <c r="AN81" i="13"/>
  <c r="AR104" i="13"/>
  <c r="AR123" i="13" s="1"/>
  <c r="AR83" i="13"/>
  <c r="G89" i="13"/>
  <c r="G110" i="13"/>
  <c r="G129" i="13" s="1"/>
  <c r="F260" i="13"/>
  <c r="F261" i="13" s="1"/>
  <c r="F258" i="13"/>
  <c r="F259" i="13" s="1"/>
  <c r="F256" i="13"/>
  <c r="F257" i="13" s="1"/>
  <c r="S76" i="13"/>
  <c r="S90" i="13" s="1"/>
  <c r="S92" i="13" s="1"/>
  <c r="S96" i="13"/>
  <c r="S83" i="13"/>
  <c r="S104" i="13"/>
  <c r="S123" i="13" s="1"/>
  <c r="N59" i="13"/>
  <c r="AX167" i="13"/>
  <c r="AX124" i="13"/>
  <c r="AX196" i="13"/>
  <c r="AX204" i="13" s="1"/>
  <c r="AZ265" i="13"/>
  <c r="AZ266" i="13" s="1"/>
  <c r="AZ267" i="13"/>
  <c r="AZ268" i="13" s="1"/>
  <c r="AP118" i="13"/>
  <c r="AP287" i="13" s="1"/>
  <c r="AT143" i="13"/>
  <c r="AT198" i="13" s="1"/>
  <c r="AT284" i="13"/>
  <c r="AW107" i="13"/>
  <c r="AW126" i="13" s="1"/>
  <c r="Z97" i="13"/>
  <c r="AT90" i="13"/>
  <c r="AT92" i="13" s="1"/>
  <c r="AJ78" i="13"/>
  <c r="AJ90" i="13" s="1"/>
  <c r="AJ92" i="13" s="1"/>
  <c r="AJ98" i="13"/>
  <c r="P82" i="13"/>
  <c r="P90" i="13" s="1"/>
  <c r="P92" i="13" s="1"/>
  <c r="P103" i="13"/>
  <c r="P122" i="13" s="1"/>
  <c r="AP109" i="13"/>
  <c r="AP88" i="13"/>
  <c r="O85" i="13"/>
  <c r="O106" i="13"/>
  <c r="B83" i="13"/>
  <c r="B104" i="13"/>
  <c r="B123" i="13" s="1"/>
  <c r="G104" i="13"/>
  <c r="G123" i="13" s="1"/>
  <c r="G83" i="13"/>
  <c r="E84" i="13"/>
  <c r="E105" i="13"/>
  <c r="T81" i="13"/>
  <c r="T102" i="13"/>
  <c r="T121" i="13" s="1"/>
  <c r="AP167" i="13"/>
  <c r="AP196" i="13"/>
  <c r="AP204" i="13" s="1"/>
  <c r="AP124" i="13"/>
  <c r="S99" i="13"/>
  <c r="S79" i="13"/>
  <c r="AX125" i="13"/>
  <c r="AX142" i="13"/>
  <c r="E86" i="13"/>
  <c r="E107" i="13"/>
  <c r="E126" i="13" s="1"/>
  <c r="J258" i="13"/>
  <c r="J259" i="13" s="1"/>
  <c r="J256" i="13"/>
  <c r="J257" i="13" s="1"/>
  <c r="J260" i="13"/>
  <c r="J261" i="13" s="1"/>
  <c r="AZ270" i="13"/>
  <c r="AZ271" i="13" s="1"/>
  <c r="AZ272" i="13"/>
  <c r="AZ273" i="13" s="1"/>
  <c r="AZ274" i="13"/>
  <c r="AZ275" i="13" s="1"/>
  <c r="L73" i="13"/>
  <c r="AT201" i="13"/>
  <c r="AT154" i="13"/>
  <c r="AT170" i="13" s="1"/>
  <c r="AT116" i="13"/>
  <c r="AT286" i="13" s="1"/>
  <c r="L85" i="13"/>
  <c r="L106" i="13"/>
  <c r="K79" i="13"/>
  <c r="K99" i="13"/>
  <c r="AP96" i="13"/>
  <c r="AP76" i="13"/>
  <c r="AZ117" i="13"/>
  <c r="AZ152" i="13"/>
  <c r="AJ109" i="13"/>
  <c r="AJ88" i="13"/>
  <c r="B96" i="13"/>
  <c r="B76" i="13"/>
  <c r="D61" i="13"/>
  <c r="D73" i="13" s="1"/>
  <c r="E85" i="13"/>
  <c r="E106" i="13"/>
  <c r="J251" i="13"/>
  <c r="J252" i="13" s="1"/>
  <c r="J253" i="13"/>
  <c r="J254" i="13" s="1"/>
  <c r="D67" i="13"/>
  <c r="BG96" i="13"/>
  <c r="BG283" i="13" s="1"/>
  <c r="R73" i="13"/>
  <c r="AK105" i="13"/>
  <c r="T96" i="13"/>
  <c r="T76" i="13"/>
  <c r="BN66" i="13"/>
  <c r="K77" i="13"/>
  <c r="K97" i="13"/>
  <c r="P110" i="13"/>
  <c r="P89" i="13"/>
  <c r="AP102" i="13"/>
  <c r="AP121" i="13" s="1"/>
  <c r="AP81" i="13"/>
  <c r="AJ103" i="13"/>
  <c r="AJ122" i="13" s="1"/>
  <c r="AJ82" i="13"/>
  <c r="AX128" i="13"/>
  <c r="AX131" i="13" s="1"/>
  <c r="AX108" i="13"/>
  <c r="AX127" i="13" s="1"/>
  <c r="AR88" i="13"/>
  <c r="AR109" i="13"/>
  <c r="AR102" i="13"/>
  <c r="AR121" i="13" s="1"/>
  <c r="AR81" i="13"/>
  <c r="G106" i="13"/>
  <c r="G85" i="13"/>
  <c r="S81" i="13"/>
  <c r="S102" i="13"/>
  <c r="S121" i="13" s="1"/>
  <c r="AX283" i="13"/>
  <c r="AX136" i="13"/>
  <c r="AX137" i="13" s="1"/>
  <c r="AX115" i="13"/>
  <c r="AX174" i="13"/>
  <c r="AX200" i="13"/>
  <c r="AX162" i="13"/>
  <c r="E81" i="13"/>
  <c r="E102" i="13"/>
  <c r="E121" i="13" s="1"/>
  <c r="AR196" i="13"/>
  <c r="AR204" i="13" s="1"/>
  <c r="AR124" i="13"/>
  <c r="AR167" i="13"/>
  <c r="B167" i="13"/>
  <c r="B124" i="13"/>
  <c r="B196" i="13"/>
  <c r="B204" i="13" s="1"/>
  <c r="AX172" i="13"/>
  <c r="AV143" i="13"/>
  <c r="AV198" i="13" s="1"/>
  <c r="AV284" i="13"/>
  <c r="O76" i="13"/>
  <c r="O96" i="13"/>
  <c r="O73" i="13"/>
  <c r="K82" i="13"/>
  <c r="K103" i="13"/>
  <c r="K122" i="13" s="1"/>
  <c r="P88" i="13"/>
  <c r="P109" i="13"/>
  <c r="P128" i="13" s="1"/>
  <c r="AP103" i="13"/>
  <c r="AP122" i="13" s="1"/>
  <c r="AP82" i="13"/>
  <c r="R274" i="13"/>
  <c r="R275" i="13" s="1"/>
  <c r="R272" i="13"/>
  <c r="R273" i="13" s="1"/>
  <c r="R270" i="13"/>
  <c r="R271" i="13" s="1"/>
  <c r="AJ96" i="13"/>
  <c r="AJ76" i="13"/>
  <c r="AJ73" i="13"/>
  <c r="O110" i="13"/>
  <c r="O129" i="13" s="1"/>
  <c r="O89" i="13"/>
  <c r="B81" i="13"/>
  <c r="B90" i="13" s="1"/>
  <c r="B92" i="13" s="1"/>
  <c r="B102" i="13"/>
  <c r="B121" i="13" s="1"/>
  <c r="AR82" i="13"/>
  <c r="AR103" i="13"/>
  <c r="AR122" i="13" s="1"/>
  <c r="BN62" i="13"/>
  <c r="G84" i="13"/>
  <c r="G105" i="13"/>
  <c r="T85" i="13"/>
  <c r="T106" i="13"/>
  <c r="S86" i="13"/>
  <c r="S107" i="13"/>
  <c r="S126" i="13" s="1"/>
  <c r="E109" i="13"/>
  <c r="E88" i="13"/>
  <c r="E79" i="13"/>
  <c r="E99" i="13"/>
  <c r="G154" i="13"/>
  <c r="G116" i="13"/>
  <c r="G286" i="13" s="1"/>
  <c r="G201" i="13"/>
  <c r="E154" i="13"/>
  <c r="E201" i="13"/>
  <c r="E116" i="13"/>
  <c r="E286" i="13" s="1"/>
  <c r="BH251" i="13"/>
  <c r="BH252" i="13" s="1"/>
  <c r="BH253" i="13"/>
  <c r="BH254" i="13" s="1"/>
  <c r="BH260" i="13"/>
  <c r="BH261" i="13" s="1"/>
  <c r="BH256" i="13"/>
  <c r="BH257" i="13" s="1"/>
  <c r="BH258" i="13"/>
  <c r="BH259" i="13" s="1"/>
  <c r="AJ256" i="13"/>
  <c r="AJ257" i="13" s="1"/>
  <c r="AJ258" i="13"/>
  <c r="AJ259" i="13" s="1"/>
  <c r="AJ260" i="13"/>
  <c r="AJ261" i="13" s="1"/>
  <c r="AJ251" i="13"/>
  <c r="AJ252" i="13" s="1"/>
  <c r="AJ253" i="13"/>
  <c r="AJ254" i="13" s="1"/>
  <c r="G96" i="14"/>
  <c r="G76" i="14"/>
  <c r="R100" i="14"/>
  <c r="R172" i="14" s="1"/>
  <c r="Q96" i="1"/>
  <c r="Q76" i="1"/>
  <c r="AO76" i="13"/>
  <c r="AO96" i="13"/>
  <c r="AO283" i="13" s="1"/>
  <c r="BC76" i="13"/>
  <c r="BC96" i="13"/>
  <c r="BC283" i="13" s="1"/>
  <c r="AL76" i="13"/>
  <c r="AL96" i="13"/>
  <c r="AL283" i="13" s="1"/>
  <c r="J242" i="14"/>
  <c r="J243" i="14" s="1"/>
  <c r="J238" i="14"/>
  <c r="J239" i="14" s="1"/>
  <c r="J246" i="14"/>
  <c r="J247" i="14" s="1"/>
  <c r="J240" i="14"/>
  <c r="J241" i="14" s="1"/>
  <c r="J244" i="14"/>
  <c r="J245" i="14" s="1"/>
  <c r="E76" i="1"/>
  <c r="E96" i="1"/>
  <c r="C100" i="1"/>
  <c r="C143" i="1"/>
  <c r="C172" i="1" s="1"/>
  <c r="L242" i="14"/>
  <c r="L243" i="14" s="1"/>
  <c r="L238" i="14"/>
  <c r="L239" i="14" s="1"/>
  <c r="L240" i="14"/>
  <c r="L241" i="14" s="1"/>
  <c r="L244" i="14"/>
  <c r="L245" i="14" s="1"/>
  <c r="L246" i="14"/>
  <c r="L247" i="14" s="1"/>
  <c r="T90" i="15"/>
  <c r="BE85" i="15"/>
  <c r="BF86" i="15"/>
  <c r="AK92" i="15"/>
  <c r="AK83" i="15"/>
  <c r="AV84" i="15"/>
  <c r="AP93" i="15"/>
  <c r="AP81" i="15"/>
  <c r="H100" i="13"/>
  <c r="H146" i="13"/>
  <c r="H175" i="13" s="1"/>
  <c r="F63" i="13"/>
  <c r="F65" i="13"/>
  <c r="F71" i="13"/>
  <c r="F59" i="13"/>
  <c r="F66" i="13"/>
  <c r="F72" i="13"/>
  <c r="F60" i="13"/>
  <c r="F69" i="13"/>
  <c r="F64" i="13"/>
  <c r="F61" i="13"/>
  <c r="F67" i="13"/>
  <c r="F68" i="13"/>
  <c r="F70" i="13"/>
  <c r="F87" i="13" s="1"/>
  <c r="AC77" i="13"/>
  <c r="AC97" i="13"/>
  <c r="AS107" i="13"/>
  <c r="AS126" i="13" s="1"/>
  <c r="AS86" i="13"/>
  <c r="F141" i="14"/>
  <c r="F197" i="14" s="1"/>
  <c r="F125" i="14"/>
  <c r="F142" i="14"/>
  <c r="F143" i="14" s="1"/>
  <c r="F198" i="14" s="1"/>
  <c r="L128" i="13"/>
  <c r="T123" i="1"/>
  <c r="T164" i="1"/>
  <c r="BD108" i="13"/>
  <c r="BD127" i="13" s="1"/>
  <c r="BD128" i="13"/>
  <c r="BD131" i="13" s="1"/>
  <c r="AE108" i="13"/>
  <c r="AE127" i="13" s="1"/>
  <c r="AE128" i="13"/>
  <c r="AE131" i="13" s="1"/>
  <c r="AI86" i="13"/>
  <c r="AI107" i="13"/>
  <c r="AI126" i="13" s="1"/>
  <c r="BA97" i="13"/>
  <c r="BA77" i="13"/>
  <c r="S89" i="14"/>
  <c r="S110" i="14"/>
  <c r="S129" i="14" s="1"/>
  <c r="AQ86" i="13"/>
  <c r="AQ107" i="13"/>
  <c r="AQ126" i="13" s="1"/>
  <c r="M149" i="1"/>
  <c r="M116" i="1"/>
  <c r="N66" i="1"/>
  <c r="N69" i="1"/>
  <c r="N70" i="1"/>
  <c r="N87" i="1" s="1"/>
  <c r="N59" i="1"/>
  <c r="N63" i="1"/>
  <c r="N71" i="1"/>
  <c r="N61" i="1"/>
  <c r="N65" i="1"/>
  <c r="N64" i="1"/>
  <c r="N68" i="1"/>
  <c r="N72" i="1"/>
  <c r="N60" i="1"/>
  <c r="N67" i="1"/>
  <c r="AS89" i="13"/>
  <c r="AS110" i="13"/>
  <c r="AS129" i="13" s="1"/>
  <c r="BD76" i="13"/>
  <c r="BD96" i="13"/>
  <c r="BD283" i="13" s="1"/>
  <c r="BD73" i="13"/>
  <c r="W80" i="13"/>
  <c r="AH80" i="13"/>
  <c r="AP253" i="13"/>
  <c r="AP254" i="13" s="1"/>
  <c r="AP251" i="13"/>
  <c r="AP252" i="13" s="1"/>
  <c r="BF76" i="13"/>
  <c r="BF96" i="13"/>
  <c r="BF283" i="13" s="1"/>
  <c r="BF73" i="13"/>
  <c r="BB80" i="13"/>
  <c r="N165" i="14"/>
  <c r="N181" i="14"/>
  <c r="N184" i="14"/>
  <c r="L169" i="1"/>
  <c r="O116" i="14"/>
  <c r="O154" i="14"/>
  <c r="O201" i="14"/>
  <c r="D96" i="1"/>
  <c r="D76" i="1"/>
  <c r="AY83" i="13"/>
  <c r="AY104" i="13"/>
  <c r="AP267" i="13"/>
  <c r="AP268" i="13" s="1"/>
  <c r="AP265" i="13"/>
  <c r="AP266" i="13" s="1"/>
  <c r="AS117" i="13"/>
  <c r="AS152" i="13"/>
  <c r="B201" i="13"/>
  <c r="B154" i="13"/>
  <c r="B116" i="13"/>
  <c r="B286" i="13" s="1"/>
  <c r="S123" i="1"/>
  <c r="S164" i="1"/>
  <c r="AW79" i="13"/>
  <c r="AW99" i="13"/>
  <c r="W109" i="13"/>
  <c r="W88" i="13"/>
  <c r="B159" i="1"/>
  <c r="B134" i="1"/>
  <c r="B117" i="1"/>
  <c r="R109" i="1"/>
  <c r="R88" i="1"/>
  <c r="BD152" i="13"/>
  <c r="BD117" i="13"/>
  <c r="Y124" i="13"/>
  <c r="Y167" i="13"/>
  <c r="Y196" i="13"/>
  <c r="Y204" i="13" s="1"/>
  <c r="BD118" i="13"/>
  <c r="BD287" i="13" s="1"/>
  <c r="AF77" i="13"/>
  <c r="AF97" i="13"/>
  <c r="BJ85" i="13"/>
  <c r="BJ106" i="13"/>
  <c r="BA118" i="13"/>
  <c r="BA287" i="13" s="1"/>
  <c r="H123" i="13"/>
  <c r="P97" i="1"/>
  <c r="P77" i="1"/>
  <c r="AZ170" i="13"/>
  <c r="P79" i="1"/>
  <c r="P99" i="1"/>
  <c r="X121" i="13"/>
  <c r="BH83" i="13"/>
  <c r="BH104" i="13"/>
  <c r="BG117" i="13"/>
  <c r="BG152" i="13"/>
  <c r="AQ253" i="13"/>
  <c r="AQ254" i="13" s="1"/>
  <c r="AQ251" i="13"/>
  <c r="AQ252" i="13" s="1"/>
  <c r="AF123" i="13"/>
  <c r="Y109" i="13"/>
  <c r="Y88" i="13"/>
  <c r="K161" i="1"/>
  <c r="K142" i="1"/>
  <c r="K139" i="1"/>
  <c r="K170" i="1"/>
  <c r="K146" i="1"/>
  <c r="K160" i="1"/>
  <c r="AQ97" i="13"/>
  <c r="AQ77" i="13"/>
  <c r="AC83" i="13"/>
  <c r="AC104" i="13"/>
  <c r="AK162" i="13"/>
  <c r="AK136" i="13"/>
  <c r="AK200" i="13"/>
  <c r="AK174" i="13"/>
  <c r="AK115" i="13"/>
  <c r="AU97" i="13"/>
  <c r="AU77" i="13"/>
  <c r="BJ83" i="13"/>
  <c r="BJ104" i="13"/>
  <c r="N211" i="14"/>
  <c r="H124" i="14"/>
  <c r="H167" i="14"/>
  <c r="H196" i="14"/>
  <c r="H204" i="14" s="1"/>
  <c r="F121" i="14"/>
  <c r="M143" i="13"/>
  <c r="M198" i="13" s="1"/>
  <c r="M126" i="13"/>
  <c r="AN108" i="13"/>
  <c r="AN127" i="13" s="1"/>
  <c r="AN129" i="13"/>
  <c r="AN131" i="13" s="1"/>
  <c r="AS85" i="13"/>
  <c r="AS106" i="13"/>
  <c r="V125" i="13"/>
  <c r="V142" i="13"/>
  <c r="V284" i="13" s="1"/>
  <c r="W78" i="13"/>
  <c r="W98" i="13"/>
  <c r="O118" i="14"/>
  <c r="O162" i="14"/>
  <c r="O136" i="14"/>
  <c r="O137" i="14" s="1"/>
  <c r="AI115" i="13"/>
  <c r="AI200" i="13"/>
  <c r="AI174" i="13"/>
  <c r="AU251" i="13"/>
  <c r="AU252" i="13" s="1"/>
  <c r="AU253" i="13"/>
  <c r="AU254" i="13" s="1"/>
  <c r="AR269" i="13"/>
  <c r="AR264" i="13"/>
  <c r="F79" i="13"/>
  <c r="F99" i="13"/>
  <c r="R78" i="1"/>
  <c r="R98" i="1"/>
  <c r="AS80" i="13"/>
  <c r="W86" i="13"/>
  <c r="W107" i="13"/>
  <c r="W126" i="13" s="1"/>
  <c r="H125" i="13"/>
  <c r="H142" i="13"/>
  <c r="L101" i="1"/>
  <c r="L138" i="1" s="1"/>
  <c r="L182" i="1"/>
  <c r="L199" i="1"/>
  <c r="L118" i="1"/>
  <c r="O124" i="14"/>
  <c r="O167" i="14"/>
  <c r="R201" i="13"/>
  <c r="R116" i="13"/>
  <c r="R286" i="13" s="1"/>
  <c r="R154" i="13"/>
  <c r="AL65" i="13"/>
  <c r="AL62" i="13"/>
  <c r="AL67" i="13"/>
  <c r="AL70" i="13"/>
  <c r="AL87" i="13" s="1"/>
  <c r="AL61" i="13"/>
  <c r="AL60" i="13"/>
  <c r="AL73" i="13" s="1"/>
  <c r="AL71" i="13"/>
  <c r="AL68" i="13"/>
  <c r="AL72" i="13"/>
  <c r="AL64" i="13"/>
  <c r="AL63" i="13"/>
  <c r="AL69" i="13"/>
  <c r="AL66" i="13"/>
  <c r="Q61" i="1"/>
  <c r="Q67" i="1"/>
  <c r="Q60" i="1"/>
  <c r="Q73" i="1" s="1"/>
  <c r="Q64" i="1"/>
  <c r="Q68" i="1"/>
  <c r="Q72" i="1"/>
  <c r="Q63" i="1"/>
  <c r="Q66" i="1"/>
  <c r="Q62" i="1"/>
  <c r="Q65" i="1"/>
  <c r="Q71" i="1"/>
  <c r="Q69" i="1"/>
  <c r="Q70" i="1"/>
  <c r="Q87" i="1" s="1"/>
  <c r="BB104" i="13"/>
  <c r="BB83" i="13"/>
  <c r="AS84" i="13"/>
  <c r="AS105" i="13"/>
  <c r="AQ256" i="13"/>
  <c r="AQ257" i="13" s="1"/>
  <c r="AQ260" i="13"/>
  <c r="AQ261" i="13" s="1"/>
  <c r="AQ258" i="13"/>
  <c r="AQ259" i="13" s="1"/>
  <c r="BG201" i="13"/>
  <c r="BG116" i="13"/>
  <c r="BG286" i="13" s="1"/>
  <c r="BG154" i="13"/>
  <c r="BB89" i="13"/>
  <c r="BB110" i="13"/>
  <c r="BB129" i="13" s="1"/>
  <c r="BD125" i="13"/>
  <c r="BD142" i="13"/>
  <c r="BJ128" i="13"/>
  <c r="AU260" i="13"/>
  <c r="AU261" i="13" s="1"/>
  <c r="AU258" i="13"/>
  <c r="AU259" i="13" s="1"/>
  <c r="AU256" i="13"/>
  <c r="AU257" i="13" s="1"/>
  <c r="O123" i="14"/>
  <c r="AA108" i="13"/>
  <c r="AA127" i="13" s="1"/>
  <c r="AA128" i="13"/>
  <c r="AA131" i="13" s="1"/>
  <c r="R79" i="1"/>
  <c r="R99" i="1"/>
  <c r="R81" i="1"/>
  <c r="R102" i="1"/>
  <c r="AH118" i="13"/>
  <c r="AH287" i="13" s="1"/>
  <c r="BH108" i="13"/>
  <c r="BH127" i="13" s="1"/>
  <c r="BH128" i="13"/>
  <c r="BH131" i="13" s="1"/>
  <c r="AD107" i="13"/>
  <c r="AD126" i="13" s="1"/>
  <c r="AD86" i="13"/>
  <c r="AI152" i="13"/>
  <c r="AI117" i="13"/>
  <c r="AK154" i="13"/>
  <c r="AK170" i="13" s="1"/>
  <c r="AK116" i="13"/>
  <c r="AK286" i="13" s="1"/>
  <c r="AK201" i="13"/>
  <c r="T196" i="14"/>
  <c r="T204" i="14" s="1"/>
  <c r="F123" i="14"/>
  <c r="R123" i="14"/>
  <c r="P82" i="1"/>
  <c r="P103" i="1"/>
  <c r="P121" i="1" s="1"/>
  <c r="AR116" i="13"/>
  <c r="AR286" i="13" s="1"/>
  <c r="AR154" i="13"/>
  <c r="AR201" i="13"/>
  <c r="P200" i="13"/>
  <c r="P174" i="13"/>
  <c r="P115" i="13"/>
  <c r="P162" i="13"/>
  <c r="P136" i="13"/>
  <c r="M115" i="13"/>
  <c r="M136" i="13"/>
  <c r="M174" i="13"/>
  <c r="M162" i="13"/>
  <c r="M200" i="13"/>
  <c r="AH97" i="13"/>
  <c r="AH77" i="13"/>
  <c r="AB96" i="13"/>
  <c r="AB283" i="13" s="1"/>
  <c r="AB76" i="13"/>
  <c r="W105" i="13"/>
  <c r="W84" i="13"/>
  <c r="E72" i="1"/>
  <c r="E62" i="1"/>
  <c r="E61" i="1"/>
  <c r="E70" i="1"/>
  <c r="E87" i="1" s="1"/>
  <c r="E63" i="1"/>
  <c r="E71" i="1"/>
  <c r="E60" i="1"/>
  <c r="E64" i="1"/>
  <c r="E68" i="1"/>
  <c r="E66" i="1"/>
  <c r="E69" i="1"/>
  <c r="E65" i="1"/>
  <c r="E67" i="1"/>
  <c r="AS81" i="13"/>
  <c r="AS102" i="13"/>
  <c r="BB121" i="13"/>
  <c r="BA167" i="13"/>
  <c r="BA124" i="13"/>
  <c r="BA196" i="13"/>
  <c r="BA204" i="13" s="1"/>
  <c r="AM102" i="13"/>
  <c r="AM81" i="13"/>
  <c r="AA83" i="13"/>
  <c r="AA104" i="13"/>
  <c r="Y117" i="13"/>
  <c r="Y152" i="13"/>
  <c r="S99" i="14"/>
  <c r="S79" i="14"/>
  <c r="AQ89" i="13"/>
  <c r="AQ110" i="13"/>
  <c r="AQ129" i="13" s="1"/>
  <c r="AH102" i="13"/>
  <c r="AH81" i="13"/>
  <c r="AH105" i="13"/>
  <c r="AH84" i="13"/>
  <c r="BF84" i="13"/>
  <c r="BF105" i="13"/>
  <c r="E213" i="14"/>
  <c r="E211" i="14"/>
  <c r="BH103" i="13"/>
  <c r="BH122" i="13" s="1"/>
  <c r="BH82" i="13"/>
  <c r="T137" i="14"/>
  <c r="T170" i="14"/>
  <c r="E152" i="14"/>
  <c r="E117" i="14"/>
  <c r="Z125" i="13"/>
  <c r="Z142" i="13"/>
  <c r="AT270" i="13"/>
  <c r="AT271" i="13" s="1"/>
  <c r="AT272" i="13"/>
  <c r="AT273" i="13" s="1"/>
  <c r="AT274" i="13"/>
  <c r="AT275" i="13" s="1"/>
  <c r="M123" i="13"/>
  <c r="BI83" i="13"/>
  <c r="BI104" i="13"/>
  <c r="BF103" i="13"/>
  <c r="BF122" i="13" s="1"/>
  <c r="BF82" i="13"/>
  <c r="BB84" i="13"/>
  <c r="BB105" i="13"/>
  <c r="K150" i="1"/>
  <c r="AA80" i="13"/>
  <c r="AF110" i="13"/>
  <c r="AF129" i="13" s="1"/>
  <c r="AF89" i="13"/>
  <c r="BE84" i="15"/>
  <c r="BE81" i="15"/>
  <c r="AK87" i="15"/>
  <c r="AV92" i="15"/>
  <c r="AV79" i="15"/>
  <c r="AP90" i="15"/>
  <c r="AP80" i="15"/>
  <c r="C125" i="1"/>
  <c r="J149" i="1"/>
  <c r="J169" i="1"/>
  <c r="J116" i="1"/>
  <c r="E100" i="14"/>
  <c r="E146" i="14"/>
  <c r="E175" i="14" s="1"/>
  <c r="G96" i="1"/>
  <c r="G76" i="1"/>
  <c r="AW106" i="13"/>
  <c r="AW85" i="13"/>
  <c r="B224" i="14"/>
  <c r="B225" i="14" s="1"/>
  <c r="B236" i="14" s="1"/>
  <c r="B237" i="14" s="1"/>
  <c r="B212" i="14"/>
  <c r="S129" i="13"/>
  <c r="S131" i="13" s="1"/>
  <c r="S108" i="13"/>
  <c r="S127" i="13" s="1"/>
  <c r="S88" i="14"/>
  <c r="S109" i="14"/>
  <c r="AW89" i="13"/>
  <c r="AW110" i="13"/>
  <c r="AW129" i="13" s="1"/>
  <c r="Z124" i="13"/>
  <c r="Z167" i="13"/>
  <c r="Z196" i="13"/>
  <c r="Z204" i="13" s="1"/>
  <c r="W81" i="13"/>
  <c r="W102" i="13"/>
  <c r="AH73" i="13"/>
  <c r="V201" i="13"/>
  <c r="V154" i="13"/>
  <c r="V116" i="13"/>
  <c r="V286" i="13" s="1"/>
  <c r="AU123" i="13"/>
  <c r="H125" i="14"/>
  <c r="H141" i="14"/>
  <c r="H197" i="14" s="1"/>
  <c r="G126" i="13"/>
  <c r="S117" i="1"/>
  <c r="S134" i="1"/>
  <c r="S135" i="1"/>
  <c r="S159" i="1"/>
  <c r="P96" i="14"/>
  <c r="P73" i="14"/>
  <c r="P76" i="14"/>
  <c r="BE86" i="13"/>
  <c r="BE107" i="13"/>
  <c r="BE126" i="13" s="1"/>
  <c r="BA88" i="13"/>
  <c r="BA109" i="13"/>
  <c r="BE77" i="13"/>
  <c r="BE97" i="13"/>
  <c r="AD89" i="13"/>
  <c r="AD110" i="13"/>
  <c r="AD129" i="13" s="1"/>
  <c r="AD77" i="13"/>
  <c r="AD97" i="13"/>
  <c r="BF79" i="13"/>
  <c r="BF99" i="13"/>
  <c r="BA121" i="13"/>
  <c r="BF125" i="13"/>
  <c r="BF142" i="13"/>
  <c r="BF284" i="13" s="1"/>
  <c r="L267" i="13"/>
  <c r="L268" i="13" s="1"/>
  <c r="L265" i="13"/>
  <c r="L266" i="13" s="1"/>
  <c r="BD83" i="13"/>
  <c r="BD104" i="13"/>
  <c r="AF79" i="13"/>
  <c r="AF99" i="13"/>
  <c r="AM201" i="13"/>
  <c r="AM116" i="13"/>
  <c r="AM286" i="13" s="1"/>
  <c r="AM154" i="13"/>
  <c r="F124" i="14"/>
  <c r="F167" i="14"/>
  <c r="AV121" i="13"/>
  <c r="AQ121" i="13"/>
  <c r="AE167" i="13"/>
  <c r="AE196" i="13"/>
  <c r="AE204" i="13" s="1"/>
  <c r="AE124" i="13"/>
  <c r="W73" i="13"/>
  <c r="B90" i="1"/>
  <c r="B92" i="1" s="1"/>
  <c r="R77" i="1"/>
  <c r="R97" i="1"/>
  <c r="R76" i="1"/>
  <c r="R96" i="1"/>
  <c r="R73" i="1"/>
  <c r="BG196" i="13"/>
  <c r="BG204" i="13" s="1"/>
  <c r="BG124" i="13"/>
  <c r="BG167" i="13"/>
  <c r="W77" i="13"/>
  <c r="W97" i="13"/>
  <c r="BF83" i="13"/>
  <c r="BF104" i="13"/>
  <c r="AI116" i="13"/>
  <c r="AI286" i="13" s="1"/>
  <c r="AI154" i="13"/>
  <c r="AI201" i="13"/>
  <c r="I155" i="14"/>
  <c r="I156" i="14"/>
  <c r="M207" i="14"/>
  <c r="M208" i="14" s="1"/>
  <c r="M210" i="14"/>
  <c r="M205" i="14"/>
  <c r="M206" i="14" s="1"/>
  <c r="P80" i="1"/>
  <c r="M90" i="13"/>
  <c r="M92" i="13" s="1"/>
  <c r="AB68" i="13"/>
  <c r="AB67" i="13"/>
  <c r="AB66" i="13"/>
  <c r="AB65" i="13"/>
  <c r="AB64" i="13"/>
  <c r="AB63" i="13"/>
  <c r="AB71" i="13"/>
  <c r="AB60" i="13"/>
  <c r="AB72" i="13"/>
  <c r="AB62" i="13"/>
  <c r="AB61" i="13"/>
  <c r="AB70" i="13"/>
  <c r="AB87" i="13" s="1"/>
  <c r="AB69" i="13"/>
  <c r="AM142" i="13"/>
  <c r="AM125" i="13"/>
  <c r="AD104" i="13"/>
  <c r="AD83" i="13"/>
  <c r="BI124" i="13"/>
  <c r="BI196" i="13"/>
  <c r="BI204" i="13" s="1"/>
  <c r="BI167" i="13"/>
  <c r="AA124" i="13"/>
  <c r="AA167" i="13"/>
  <c r="AA196" i="13"/>
  <c r="AA204" i="13" s="1"/>
  <c r="F108" i="14"/>
  <c r="F127" i="14" s="1"/>
  <c r="F128" i="14"/>
  <c r="F131" i="14" s="1"/>
  <c r="W82" i="13"/>
  <c r="W103" i="13"/>
  <c r="W122" i="13" s="1"/>
  <c r="R126" i="14"/>
  <c r="R143" i="14"/>
  <c r="R198" i="14" s="1"/>
  <c r="AH162" i="13"/>
  <c r="AH174" i="13"/>
  <c r="AH115" i="13"/>
  <c r="AH136" i="13"/>
  <c r="AH200" i="13"/>
  <c r="O121" i="14"/>
  <c r="AJ118" i="13"/>
  <c r="AJ287" i="13" s="1"/>
  <c r="AJ136" i="13"/>
  <c r="AJ162" i="13"/>
  <c r="AP256" i="13"/>
  <c r="AP257" i="13" s="1"/>
  <c r="AP260" i="13"/>
  <c r="AP261" i="13" s="1"/>
  <c r="AP258" i="13"/>
  <c r="AP259" i="13" s="1"/>
  <c r="BB86" i="13"/>
  <c r="BB107" i="13"/>
  <c r="BB126" i="13" s="1"/>
  <c r="J143" i="1"/>
  <c r="J172" i="1" s="1"/>
  <c r="J100" i="1"/>
  <c r="AE117" i="13"/>
  <c r="AE152" i="13"/>
  <c r="M129" i="14"/>
  <c r="M131" i="14" s="1"/>
  <c r="M108" i="14"/>
  <c r="M127" i="14" s="1"/>
  <c r="P85" i="14"/>
  <c r="P106" i="14"/>
  <c r="Y76" i="13"/>
  <c r="Y96" i="13"/>
  <c r="Y283" i="13" s="1"/>
  <c r="Y73" i="13"/>
  <c r="D108" i="14"/>
  <c r="D127" i="14" s="1"/>
  <c r="D129" i="14"/>
  <c r="D131" i="14" s="1"/>
  <c r="L270" i="13"/>
  <c r="L271" i="13" s="1"/>
  <c r="L274" i="13"/>
  <c r="L275" i="13" s="1"/>
  <c r="L272" i="13"/>
  <c r="L273" i="13" s="1"/>
  <c r="T82" i="15"/>
  <c r="T119" i="15" s="1"/>
  <c r="T185" i="15" s="1"/>
  <c r="BE92" i="15"/>
  <c r="BE83" i="15"/>
  <c r="AK82" i="15"/>
  <c r="AV90" i="15"/>
  <c r="AV80" i="15"/>
  <c r="AP83" i="15"/>
  <c r="H164" i="1"/>
  <c r="H123" i="1"/>
  <c r="AQ96" i="13"/>
  <c r="AQ283" i="13" s="1"/>
  <c r="AQ73" i="13"/>
  <c r="AQ76" i="13"/>
  <c r="AI102" i="13"/>
  <c r="AI81" i="13"/>
  <c r="J226" i="14"/>
  <c r="J227" i="14" s="1"/>
  <c r="J230" i="14"/>
  <c r="J231" i="14" s="1"/>
  <c r="J234" i="14"/>
  <c r="J235" i="14" s="1"/>
  <c r="J228" i="14"/>
  <c r="J229" i="14" s="1"/>
  <c r="J232" i="14"/>
  <c r="J233" i="14" s="1"/>
  <c r="G64" i="1"/>
  <c r="G61" i="1"/>
  <c r="G72" i="1"/>
  <c r="G63" i="1"/>
  <c r="G66" i="1"/>
  <c r="G69" i="1"/>
  <c r="G62" i="1"/>
  <c r="G70" i="1"/>
  <c r="G87" i="1" s="1"/>
  <c r="G67" i="1"/>
  <c r="G71" i="1"/>
  <c r="G60" i="1"/>
  <c r="G65" i="1"/>
  <c r="G68" i="1"/>
  <c r="Z200" i="13"/>
  <c r="Z162" i="13"/>
  <c r="Z174" i="13"/>
  <c r="Z115" i="13"/>
  <c r="Z136" i="13"/>
  <c r="BA104" i="13"/>
  <c r="BA83" i="13"/>
  <c r="BI78" i="13"/>
  <c r="BI98" i="13"/>
  <c r="AI83" i="13"/>
  <c r="AI104" i="13"/>
  <c r="B213" i="14"/>
  <c r="H123" i="14"/>
  <c r="S105" i="14"/>
  <c r="S84" i="14"/>
  <c r="P196" i="13"/>
  <c r="P204" i="13" s="1"/>
  <c r="P167" i="13"/>
  <c r="P124" i="13"/>
  <c r="AC85" i="13"/>
  <c r="AC106" i="13"/>
  <c r="BH78" i="13"/>
  <c r="BH98" i="13"/>
  <c r="AD80" i="13"/>
  <c r="BG200" i="13"/>
  <c r="BG174" i="13"/>
  <c r="U68" i="13"/>
  <c r="U69" i="13"/>
  <c r="U63" i="13"/>
  <c r="U72" i="13"/>
  <c r="U64" i="13"/>
  <c r="U67" i="13"/>
  <c r="U62" i="13"/>
  <c r="U71" i="13"/>
  <c r="U60" i="13"/>
  <c r="U70" i="13"/>
  <c r="U87" i="13" s="1"/>
  <c r="U65" i="13"/>
  <c r="U66" i="13"/>
  <c r="U61" i="13"/>
  <c r="P79" i="14"/>
  <c r="P99" i="14"/>
  <c r="U56" i="14"/>
  <c r="U59" i="14" s="1"/>
  <c r="BA80" i="13"/>
  <c r="AW82" i="13"/>
  <c r="AW103" i="13"/>
  <c r="AW122" i="13" s="1"/>
  <c r="V78" i="13"/>
  <c r="V98" i="13"/>
  <c r="AD79" i="13"/>
  <c r="AD99" i="13"/>
  <c r="BF109" i="13"/>
  <c r="BF88" i="13"/>
  <c r="Y123" i="13"/>
  <c r="Z128" i="13"/>
  <c r="Z131" i="13" s="1"/>
  <c r="Z108" i="13"/>
  <c r="Z127" i="13" s="1"/>
  <c r="N250" i="14"/>
  <c r="N255" i="14"/>
  <c r="O90" i="1"/>
  <c r="O92" i="1" s="1"/>
  <c r="AM84" i="13"/>
  <c r="AM105" i="13"/>
  <c r="AU107" i="13"/>
  <c r="AU126" i="13" s="1"/>
  <c r="AU86" i="13"/>
  <c r="AE106" i="13"/>
  <c r="AE85" i="13"/>
  <c r="P123" i="14"/>
  <c r="H117" i="14"/>
  <c r="H152" i="14"/>
  <c r="M121" i="14"/>
  <c r="P107" i="1"/>
  <c r="P125" i="1" s="1"/>
  <c r="P86" i="1"/>
  <c r="Z121" i="13"/>
  <c r="BI128" i="13"/>
  <c r="BI131" i="13" s="1"/>
  <c r="BI108" i="13"/>
  <c r="BI127" i="13" s="1"/>
  <c r="AH128" i="13"/>
  <c r="AH131" i="13" s="1"/>
  <c r="AH108" i="13"/>
  <c r="AH127" i="13" s="1"/>
  <c r="Z117" i="13"/>
  <c r="Z152" i="13"/>
  <c r="W174" i="13"/>
  <c r="W115" i="13"/>
  <c r="W200" i="13"/>
  <c r="F117" i="14"/>
  <c r="F152" i="14"/>
  <c r="C123" i="13"/>
  <c r="AA117" i="13"/>
  <c r="AA152" i="13"/>
  <c r="B149" i="1"/>
  <c r="B116" i="1"/>
  <c r="R84" i="1"/>
  <c r="R105" i="1"/>
  <c r="R80" i="1"/>
  <c r="AY108" i="13"/>
  <c r="AY127" i="13" s="1"/>
  <c r="AY128" i="13"/>
  <c r="AY131" i="13" s="1"/>
  <c r="AE123" i="13"/>
  <c r="AF86" i="13"/>
  <c r="AF107" i="13"/>
  <c r="AF126" i="13" s="1"/>
  <c r="M263" i="14"/>
  <c r="M249" i="14"/>
  <c r="R137" i="14"/>
  <c r="P109" i="1"/>
  <c r="P88" i="1"/>
  <c r="C90" i="13"/>
  <c r="C92" i="13" s="1"/>
  <c r="J128" i="1"/>
  <c r="J130" i="1" s="1"/>
  <c r="J108" i="1"/>
  <c r="J126" i="1" s="1"/>
  <c r="I83" i="1"/>
  <c r="I104" i="1"/>
  <c r="AC88" i="13"/>
  <c r="AC109" i="13"/>
  <c r="AS76" i="13"/>
  <c r="AS96" i="13"/>
  <c r="AS283" i="13" s="1"/>
  <c r="AS73" i="13"/>
  <c r="H154" i="13"/>
  <c r="H201" i="13"/>
  <c r="H116" i="13"/>
  <c r="H286" i="13" s="1"/>
  <c r="S122" i="1"/>
  <c r="BH73" i="13"/>
  <c r="BH96" i="13"/>
  <c r="BH283" i="13" s="1"/>
  <c r="BH76" i="13"/>
  <c r="BE81" i="13"/>
  <c r="BE102" i="13"/>
  <c r="AT265" i="13"/>
  <c r="AT266" i="13" s="1"/>
  <c r="AT267" i="13"/>
  <c r="AT268" i="13" s="1"/>
  <c r="L117" i="13"/>
  <c r="L152" i="13"/>
  <c r="AA82" i="13"/>
  <c r="AA103" i="13"/>
  <c r="AA122" i="13" s="1"/>
  <c r="BI90" i="13"/>
  <c r="BI92" i="13" s="1"/>
  <c r="AS77" i="13"/>
  <c r="AS97" i="13"/>
  <c r="AQ142" i="13"/>
  <c r="AQ125" i="13"/>
  <c r="M174" i="14"/>
  <c r="M115" i="14"/>
  <c r="M200" i="14"/>
  <c r="M136" i="14"/>
  <c r="M162" i="14"/>
  <c r="P110" i="1"/>
  <c r="P128" i="1" s="1"/>
  <c r="P89" i="1"/>
  <c r="V86" i="13"/>
  <c r="V107" i="13"/>
  <c r="V126" i="13" s="1"/>
  <c r="BH85" i="13"/>
  <c r="BH106" i="13"/>
  <c r="AI89" i="13"/>
  <c r="AI110" i="13"/>
  <c r="AI129" i="13" s="1"/>
  <c r="AV100" i="13"/>
  <c r="AV146" i="13" s="1"/>
  <c r="AV175" i="13" s="1"/>
  <c r="T83" i="15"/>
  <c r="BE93" i="15"/>
  <c r="BE79" i="15"/>
  <c r="AK85" i="15"/>
  <c r="AV93" i="15"/>
  <c r="AV82" i="15"/>
  <c r="AP92" i="15"/>
  <c r="H100" i="1"/>
  <c r="BG85" i="13"/>
  <c r="BG106" i="13"/>
  <c r="AY84" i="13"/>
  <c r="AY105" i="13"/>
  <c r="J216" i="14"/>
  <c r="J217" i="14" s="1"/>
  <c r="J220" i="14"/>
  <c r="J221" i="14" s="1"/>
  <c r="J214" i="14"/>
  <c r="J215" i="14" s="1"/>
  <c r="J218" i="14"/>
  <c r="J222" i="14"/>
  <c r="J223" i="14" s="1"/>
  <c r="T263" i="14"/>
  <c r="T249" i="14"/>
  <c r="AN125" i="13"/>
  <c r="AN142" i="13"/>
  <c r="S108" i="1"/>
  <c r="S126" i="1" s="1"/>
  <c r="S127" i="1"/>
  <c r="S130" i="1" s="1"/>
  <c r="AW77" i="13"/>
  <c r="AW97" i="13"/>
  <c r="V108" i="13"/>
  <c r="V127" i="13" s="1"/>
  <c r="V128" i="13"/>
  <c r="V131" i="13" s="1"/>
  <c r="C201" i="13"/>
  <c r="C154" i="13"/>
  <c r="C116" i="13"/>
  <c r="C286" i="13" s="1"/>
  <c r="S81" i="14"/>
  <c r="S102" i="14"/>
  <c r="AC73" i="13"/>
  <c r="AC76" i="13"/>
  <c r="AC96" i="13"/>
  <c r="AC283" i="13" s="1"/>
  <c r="AS88" i="13"/>
  <c r="AS109" i="13"/>
  <c r="AY152" i="13"/>
  <c r="AY117" i="13"/>
  <c r="AE116" i="13"/>
  <c r="AE286" i="13" s="1"/>
  <c r="AE201" i="13"/>
  <c r="AE154" i="13"/>
  <c r="BJ79" i="13"/>
  <c r="BJ99" i="13"/>
  <c r="BJ136" i="13" s="1"/>
  <c r="BG73" i="13"/>
  <c r="P124" i="1"/>
  <c r="U59" i="13"/>
  <c r="P98" i="14"/>
  <c r="P78" i="14"/>
  <c r="BJ102" i="13"/>
  <c r="BJ81" i="13"/>
  <c r="AF80" i="13"/>
  <c r="AH83" i="13"/>
  <c r="AH104" i="13"/>
  <c r="AW117" i="13"/>
  <c r="AW152" i="13"/>
  <c r="BF102" i="13"/>
  <c r="BF81" i="13"/>
  <c r="BB98" i="13"/>
  <c r="BB78" i="13"/>
  <c r="AF76" i="13"/>
  <c r="AF73" i="13"/>
  <c r="AF96" i="13"/>
  <c r="AF283" i="13" s="1"/>
  <c r="N264" i="14"/>
  <c r="N269" i="14"/>
  <c r="R136" i="13"/>
  <c r="R174" i="13"/>
  <c r="R200" i="13"/>
  <c r="R162" i="13"/>
  <c r="R115" i="13"/>
  <c r="O159" i="1"/>
  <c r="O197" i="1"/>
  <c r="O134" i="1"/>
  <c r="O171" i="1"/>
  <c r="O114" i="1"/>
  <c r="BG118" i="13"/>
  <c r="BG287" i="13" s="1"/>
  <c r="X107" i="13"/>
  <c r="X126" i="13" s="1"/>
  <c r="X86" i="13"/>
  <c r="AM99" i="13"/>
  <c r="AM136" i="13" s="1"/>
  <c r="AM79" i="13"/>
  <c r="AU88" i="13"/>
  <c r="AU109" i="13"/>
  <c r="AW124" i="13"/>
  <c r="AW196" i="13"/>
  <c r="AW204" i="13" s="1"/>
  <c r="AW167" i="13"/>
  <c r="M125" i="1"/>
  <c r="AV129" i="13"/>
  <c r="AV131" i="13" s="1"/>
  <c r="AV108" i="13"/>
  <c r="AV127" i="13" s="1"/>
  <c r="AH142" i="13"/>
  <c r="AH125" i="13"/>
  <c r="AQ152" i="13"/>
  <c r="AQ117" i="13"/>
  <c r="AK125" i="13"/>
  <c r="AK142" i="13"/>
  <c r="AD174" i="13"/>
  <c r="AD115" i="13"/>
  <c r="AD136" i="13"/>
  <c r="AD200" i="13"/>
  <c r="M128" i="13"/>
  <c r="M131" i="13" s="1"/>
  <c r="M108" i="13"/>
  <c r="M127" i="13" s="1"/>
  <c r="R83" i="1"/>
  <c r="R104" i="1"/>
  <c r="R85" i="1"/>
  <c r="R106" i="1"/>
  <c r="AC121" i="13"/>
  <c r="B129" i="13"/>
  <c r="B131" i="13" s="1"/>
  <c r="B108" i="13"/>
  <c r="B127" i="13" s="1"/>
  <c r="AM123" i="13"/>
  <c r="H201" i="14"/>
  <c r="H116" i="14"/>
  <c r="H154" i="14"/>
  <c r="H170" i="14" s="1"/>
  <c r="AN115" i="13"/>
  <c r="AN136" i="13"/>
  <c r="AN200" i="13"/>
  <c r="AN174" i="13"/>
  <c r="P98" i="1"/>
  <c r="P78" i="1"/>
  <c r="AA162" i="13"/>
  <c r="AA174" i="13"/>
  <c r="AA115" i="13"/>
  <c r="AA136" i="13"/>
  <c r="AA200" i="13"/>
  <c r="AC118" i="13"/>
  <c r="AC287" i="13" s="1"/>
  <c r="I60" i="1"/>
  <c r="I59" i="1"/>
  <c r="I68" i="1"/>
  <c r="I70" i="1"/>
  <c r="I87" i="1" s="1"/>
  <c r="I64" i="1"/>
  <c r="I65" i="1"/>
  <c r="I61" i="1"/>
  <c r="I69" i="1"/>
  <c r="I62" i="1"/>
  <c r="I63" i="1"/>
  <c r="I67" i="1"/>
  <c r="I71" i="1"/>
  <c r="I72" i="1"/>
  <c r="AC78" i="13"/>
  <c r="AC98" i="13"/>
  <c r="BE196" i="13"/>
  <c r="BE204" i="13" s="1"/>
  <c r="BE167" i="13"/>
  <c r="BE124" i="13"/>
  <c r="BA86" i="13"/>
  <c r="BA107" i="13"/>
  <c r="BA126" i="13" s="1"/>
  <c r="AG60" i="13"/>
  <c r="AG69" i="13"/>
  <c r="AG72" i="13"/>
  <c r="AG67" i="13"/>
  <c r="AG62" i="13"/>
  <c r="AG71" i="13"/>
  <c r="AG70" i="13"/>
  <c r="AG87" i="13" s="1"/>
  <c r="AG68" i="13"/>
  <c r="AG64" i="13"/>
  <c r="AG61" i="13"/>
  <c r="AG63" i="13"/>
  <c r="AG65" i="13"/>
  <c r="AG66" i="13"/>
  <c r="AM128" i="13"/>
  <c r="AM131" i="13" s="1"/>
  <c r="AM108" i="13"/>
  <c r="AM127" i="13" s="1"/>
  <c r="V118" i="13"/>
  <c r="V287" i="13" s="1"/>
  <c r="B119" i="14"/>
  <c r="B185" i="14"/>
  <c r="B202" i="14"/>
  <c r="B101" i="14"/>
  <c r="B140" i="14" s="1"/>
  <c r="B111" i="14"/>
  <c r="B172" i="14"/>
  <c r="K202" i="14"/>
  <c r="K119" i="14"/>
  <c r="K185" i="14"/>
  <c r="K140" i="14"/>
  <c r="K101" i="14"/>
  <c r="K172" i="14"/>
  <c r="K111" i="14"/>
  <c r="K211" i="14"/>
  <c r="P86" i="14"/>
  <c r="P107" i="14"/>
  <c r="P126" i="14" s="1"/>
  <c r="BG88" i="13"/>
  <c r="BG109" i="13"/>
  <c r="W142" i="13"/>
  <c r="W284" i="13" s="1"/>
  <c r="W125" i="13"/>
  <c r="T100" i="1"/>
  <c r="T143" i="1"/>
  <c r="T172" i="1" s="1"/>
  <c r="S103" i="14"/>
  <c r="S122" i="14" s="1"/>
  <c r="S82" i="14"/>
  <c r="AU174" i="13"/>
  <c r="AU115" i="13"/>
  <c r="AU162" i="13"/>
  <c r="AU136" i="13"/>
  <c r="AU200" i="13"/>
  <c r="BH105" i="13"/>
  <c r="BH84" i="13"/>
  <c r="AY96" i="13"/>
  <c r="AY283" i="13" s="1"/>
  <c r="AY73" i="13"/>
  <c r="AY76" i="13"/>
  <c r="Z137" i="13"/>
  <c r="Z118" i="13"/>
  <c r="Z287" i="13" s="1"/>
  <c r="M146" i="14"/>
  <c r="M175" i="14" s="1"/>
  <c r="M100" i="14"/>
  <c r="AK100" i="13"/>
  <c r="AK146" i="13"/>
  <c r="AK175" i="13" s="1"/>
  <c r="BH107" i="13"/>
  <c r="BH126" i="13" s="1"/>
  <c r="BH86" i="13"/>
  <c r="T80" i="15"/>
  <c r="C121" i="13"/>
  <c r="AU78" i="13"/>
  <c r="AU98" i="13"/>
  <c r="C232" i="14"/>
  <c r="C233" i="14" s="1"/>
  <c r="C230" i="14"/>
  <c r="C231" i="14" s="1"/>
  <c r="C234" i="14"/>
  <c r="C235" i="14" s="1"/>
  <c r="C228" i="14"/>
  <c r="C229" i="14" s="1"/>
  <c r="C226" i="14"/>
  <c r="C227" i="14" s="1"/>
  <c r="C236" i="14"/>
  <c r="C237" i="14" s="1"/>
  <c r="D125" i="14"/>
  <c r="D142" i="14"/>
  <c r="D143" i="14" s="1"/>
  <c r="D198" i="14" s="1"/>
  <c r="D141" i="14"/>
  <c r="BG123" i="13"/>
  <c r="C119" i="14"/>
  <c r="C101" i="14"/>
  <c r="C111" i="14"/>
  <c r="C172" i="14"/>
  <c r="C185" i="14"/>
  <c r="C153" i="14" s="1"/>
  <c r="C202" i="14"/>
  <c r="S80" i="14"/>
  <c r="AK137" i="13"/>
  <c r="AK118" i="13"/>
  <c r="AK287" i="13" s="1"/>
  <c r="BH77" i="13"/>
  <c r="BH97" i="13"/>
  <c r="BC71" i="13"/>
  <c r="BC62" i="13"/>
  <c r="BC60" i="13"/>
  <c r="BC67" i="13"/>
  <c r="BC65" i="13"/>
  <c r="BC64" i="13"/>
  <c r="BC72" i="13"/>
  <c r="BC70" i="13"/>
  <c r="BC87" i="13" s="1"/>
  <c r="BC68" i="13"/>
  <c r="BC61" i="13"/>
  <c r="BC69" i="13"/>
  <c r="BC63" i="13"/>
  <c r="BC66" i="13"/>
  <c r="AT256" i="13"/>
  <c r="AT257" i="13" s="1"/>
  <c r="AT258" i="13"/>
  <c r="AT259" i="13" s="1"/>
  <c r="AT260" i="13"/>
  <c r="AT261" i="13" s="1"/>
  <c r="BG90" i="13"/>
  <c r="BG92" i="13" s="1"/>
  <c r="C117" i="1"/>
  <c r="L123" i="13"/>
  <c r="AA102" i="13"/>
  <c r="AA81" i="13"/>
  <c r="P110" i="14"/>
  <c r="P129" i="14" s="1"/>
  <c r="P89" i="14"/>
  <c r="G60" i="14"/>
  <c r="G73" i="14" s="1"/>
  <c r="G69" i="14"/>
  <c r="G62" i="14"/>
  <c r="G65" i="14"/>
  <c r="G64" i="14"/>
  <c r="G71" i="14"/>
  <c r="G67" i="14"/>
  <c r="G66" i="14"/>
  <c r="G68" i="14"/>
  <c r="G70" i="14"/>
  <c r="G87" i="14" s="1"/>
  <c r="G72" i="14"/>
  <c r="G63" i="14"/>
  <c r="G61" i="14"/>
  <c r="Z104" i="13"/>
  <c r="Z83" i="13"/>
  <c r="Z90" i="13" s="1"/>
  <c r="Z92" i="13" s="1"/>
  <c r="X97" i="13"/>
  <c r="X77" i="13"/>
  <c r="AQ105" i="13"/>
  <c r="AQ84" i="13"/>
  <c r="BF80" i="13"/>
  <c r="BB76" i="13"/>
  <c r="BB96" i="13"/>
  <c r="BB283" i="13" s="1"/>
  <c r="BB73" i="13"/>
  <c r="AD125" i="13"/>
  <c r="AD142" i="13"/>
  <c r="Y121" i="13"/>
  <c r="BE125" i="13"/>
  <c r="BE142" i="13"/>
  <c r="H121" i="13"/>
  <c r="C115" i="1"/>
  <c r="C151" i="1"/>
  <c r="C198" i="1"/>
  <c r="R90" i="13"/>
  <c r="R92" i="13" s="1"/>
  <c r="S149" i="1"/>
  <c r="S116" i="1"/>
  <c r="W110" i="13"/>
  <c r="W129" i="13" s="1"/>
  <c r="W89" i="13"/>
  <c r="AW109" i="13"/>
  <c r="AW88" i="13"/>
  <c r="BG121" i="13"/>
  <c r="L251" i="13"/>
  <c r="L252" i="13" s="1"/>
  <c r="L253" i="13"/>
  <c r="L254" i="13" s="1"/>
  <c r="X125" i="13"/>
  <c r="X142" i="13"/>
  <c r="AW81" i="13"/>
  <c r="AW102" i="13"/>
  <c r="BI154" i="13"/>
  <c r="BI116" i="13"/>
  <c r="BI286" i="13" s="1"/>
  <c r="BI201" i="13"/>
  <c r="BJ201" i="13"/>
  <c r="BJ154" i="13"/>
  <c r="BJ116" i="13"/>
  <c r="BJ286" i="13" s="1"/>
  <c r="C118" i="13"/>
  <c r="C287" i="13" s="1"/>
  <c r="AI82" i="13"/>
  <c r="AI103" i="13"/>
  <c r="AI122" i="13" s="1"/>
  <c r="R103" i="1"/>
  <c r="R121" i="1" s="1"/>
  <c r="R82" i="1"/>
  <c r="X196" i="13"/>
  <c r="X204" i="13" s="1"/>
  <c r="X124" i="13"/>
  <c r="X167" i="13"/>
  <c r="H90" i="14"/>
  <c r="H92" i="14" s="1"/>
  <c r="AZ101" i="13"/>
  <c r="AZ140" i="13" s="1"/>
  <c r="AZ119" i="13"/>
  <c r="AZ202" i="13"/>
  <c r="AZ172" i="13"/>
  <c r="AZ185" i="13"/>
  <c r="AZ153" i="13" s="1"/>
  <c r="K210" i="13"/>
  <c r="K205" i="13"/>
  <c r="K206" i="13" s="1"/>
  <c r="K207" i="13"/>
  <c r="K208" i="13" s="1"/>
  <c r="M117" i="13"/>
  <c r="M152" i="13"/>
  <c r="AN90" i="13"/>
  <c r="AN92" i="13" s="1"/>
  <c r="P84" i="1"/>
  <c r="P105" i="1"/>
  <c r="AR118" i="13"/>
  <c r="AR287" i="13" s="1"/>
  <c r="AR162" i="13"/>
  <c r="AR136" i="13"/>
  <c r="AR137" i="13"/>
  <c r="C136" i="13"/>
  <c r="C162" i="13"/>
  <c r="C174" i="13"/>
  <c r="C200" i="13"/>
  <c r="C115" i="13"/>
  <c r="AV269" i="13"/>
  <c r="AV264" i="13"/>
  <c r="BI82" i="13"/>
  <c r="BI103" i="13"/>
  <c r="BI122" i="13" s="1"/>
  <c r="AW80" i="13"/>
  <c r="AG59" i="13"/>
  <c r="BE117" i="13"/>
  <c r="BE152" i="13"/>
  <c r="BE115" i="13"/>
  <c r="BE136" i="13"/>
  <c r="BE162" i="13"/>
  <c r="BE174" i="13"/>
  <c r="BE200" i="13"/>
  <c r="S201" i="14"/>
  <c r="S154" i="14"/>
  <c r="S116" i="14"/>
  <c r="P80" i="15"/>
  <c r="T85" i="15"/>
  <c r="S115" i="1"/>
  <c r="S151" i="1"/>
  <c r="S167" i="1" s="1"/>
  <c r="S198" i="1"/>
  <c r="BE90" i="15"/>
  <c r="BF80" i="15"/>
  <c r="AK86" i="15"/>
  <c r="AK105" i="15" s="1"/>
  <c r="AV81" i="15"/>
  <c r="AP86" i="15"/>
  <c r="M201" i="13"/>
  <c r="M154" i="13"/>
  <c r="M170" i="13" s="1"/>
  <c r="M116" i="13"/>
  <c r="M286" i="13" s="1"/>
  <c r="R123" i="13"/>
  <c r="S90" i="1"/>
  <c r="S92" i="1" s="1"/>
  <c r="AE99" i="13"/>
  <c r="AE79" i="13"/>
  <c r="H136" i="14"/>
  <c r="H118" i="14"/>
  <c r="H137" i="14"/>
  <c r="H162" i="14"/>
  <c r="H152" i="13"/>
  <c r="H117" i="13"/>
  <c r="T152" i="14"/>
  <c r="T117" i="14"/>
  <c r="AC107" i="13"/>
  <c r="AC126" i="13" s="1"/>
  <c r="AC86" i="13"/>
  <c r="AI99" i="13"/>
  <c r="AI162" i="13" s="1"/>
  <c r="AI79" i="13"/>
  <c r="AF82" i="13"/>
  <c r="AF103" i="13"/>
  <c r="AF122" i="13" s="1"/>
  <c r="S83" i="14"/>
  <c r="S104" i="14"/>
  <c r="S124" i="1"/>
  <c r="X128" i="13"/>
  <c r="X131" i="13" s="1"/>
  <c r="X108" i="13"/>
  <c r="X127" i="13" s="1"/>
  <c r="V123" i="13"/>
  <c r="BA110" i="13"/>
  <c r="BA129" i="13" s="1"/>
  <c r="BA89" i="13"/>
  <c r="AT251" i="13"/>
  <c r="AT252" i="13" s="1"/>
  <c r="AT253" i="13"/>
  <c r="AT254" i="13" s="1"/>
  <c r="M196" i="13"/>
  <c r="M204" i="13" s="1"/>
  <c r="M167" i="13"/>
  <c r="M124" i="13"/>
  <c r="Q62" i="14"/>
  <c r="Q60" i="14"/>
  <c r="Q68" i="14"/>
  <c r="Q69" i="14"/>
  <c r="Q70" i="14"/>
  <c r="Q87" i="14" s="1"/>
  <c r="Q63" i="14"/>
  <c r="Q65" i="14"/>
  <c r="Q64" i="14"/>
  <c r="Q67" i="14"/>
  <c r="Q71" i="14"/>
  <c r="Q72" i="14"/>
  <c r="Q66" i="14"/>
  <c r="Q61" i="14"/>
  <c r="P88" i="14"/>
  <c r="P109" i="14"/>
  <c r="AI88" i="13"/>
  <c r="AI109" i="13"/>
  <c r="BD77" i="13"/>
  <c r="BD97" i="13"/>
  <c r="Y103" i="13"/>
  <c r="Y122" i="13" s="1"/>
  <c r="Y82" i="13"/>
  <c r="BF77" i="13"/>
  <c r="BF97" i="13"/>
  <c r="BB88" i="13"/>
  <c r="BB109" i="13"/>
  <c r="AU137" i="13"/>
  <c r="AU118" i="13"/>
  <c r="AU287" i="13" s="1"/>
  <c r="K137" i="1"/>
  <c r="K119" i="1"/>
  <c r="K129" i="1" s="1"/>
  <c r="K131" i="1" s="1"/>
  <c r="K186" i="1"/>
  <c r="K136" i="1"/>
  <c r="K196" i="1" s="1"/>
  <c r="L111" i="1"/>
  <c r="F174" i="14"/>
  <c r="F200" i="14"/>
  <c r="F162" i="14"/>
  <c r="F115" i="14"/>
  <c r="F136" i="14"/>
  <c r="R152" i="14"/>
  <c r="R117" i="14"/>
  <c r="M114" i="1"/>
  <c r="M134" i="1"/>
  <c r="M159" i="1"/>
  <c r="M171" i="1"/>
  <c r="M197" i="1"/>
  <c r="E126" i="14"/>
  <c r="BJ78" i="13"/>
  <c r="BJ90" i="13" s="1"/>
  <c r="BJ92" i="13" s="1"/>
  <c r="BJ98" i="13"/>
  <c r="W79" i="13"/>
  <c r="W99" i="13"/>
  <c r="W162" i="13" s="1"/>
  <c r="BI81" i="13"/>
  <c r="BI102" i="13"/>
  <c r="BI118" i="13"/>
  <c r="BI287" i="13" s="1"/>
  <c r="AY118" i="13"/>
  <c r="AY287" i="13" s="1"/>
  <c r="C159" i="1"/>
  <c r="O152" i="14"/>
  <c r="O117" i="14"/>
  <c r="L258" i="13"/>
  <c r="L259" i="13" s="1"/>
  <c r="L260" i="13"/>
  <c r="L261" i="13" s="1"/>
  <c r="L256" i="13"/>
  <c r="L257" i="13" s="1"/>
  <c r="BJ84" i="13"/>
  <c r="BJ105" i="13"/>
  <c r="X90" i="13"/>
  <c r="X92" i="13" s="1"/>
  <c r="AY121" i="13"/>
  <c r="AD73" i="13"/>
  <c r="AE121" i="13"/>
  <c r="L234" i="14"/>
  <c r="L235" i="14" s="1"/>
  <c r="L228" i="14"/>
  <c r="L229" i="14" s="1"/>
  <c r="L232" i="14"/>
  <c r="L233" i="14" s="1"/>
  <c r="L226" i="14"/>
  <c r="L227" i="14" s="1"/>
  <c r="L277" i="14" s="1"/>
  <c r="L230" i="14"/>
  <c r="L231" i="14" s="1"/>
  <c r="C131" i="13"/>
  <c r="AN116" i="13"/>
  <c r="AN286" i="13" s="1"/>
  <c r="AN201" i="13"/>
  <c r="AN154" i="13"/>
  <c r="AN170" i="13" s="1"/>
  <c r="B108" i="1"/>
  <c r="B126" i="1" s="1"/>
  <c r="B127" i="1"/>
  <c r="B130" i="1" s="1"/>
  <c r="O122" i="1"/>
  <c r="R86" i="1"/>
  <c r="R107" i="1"/>
  <c r="R125" i="1" s="1"/>
  <c r="AH107" i="13"/>
  <c r="AH126" i="13" s="1"/>
  <c r="AH86" i="13"/>
  <c r="BJ107" i="13"/>
  <c r="BJ126" i="13" s="1"/>
  <c r="BJ86" i="13"/>
  <c r="AA116" i="13"/>
  <c r="AA286" i="13" s="1"/>
  <c r="AA201" i="13"/>
  <c r="AA154" i="13"/>
  <c r="AA170" i="13" s="1"/>
  <c r="V256" i="13"/>
  <c r="V257" i="13" s="1"/>
  <c r="V258" i="13"/>
  <c r="V259" i="13" s="1"/>
  <c r="V260" i="13"/>
  <c r="V261" i="13" s="1"/>
  <c r="BJ115" i="13"/>
  <c r="BJ200" i="13"/>
  <c r="BJ174" i="13"/>
  <c r="M137" i="13"/>
  <c r="M118" i="13"/>
  <c r="M287" i="13" s="1"/>
  <c r="O141" i="14"/>
  <c r="O197" i="14" s="1"/>
  <c r="O125" i="14"/>
  <c r="G108" i="13"/>
  <c r="G127" i="13" s="1"/>
  <c r="G128" i="13"/>
  <c r="G131" i="13" s="1"/>
  <c r="P104" i="1"/>
  <c r="P83" i="1"/>
  <c r="AA73" i="13"/>
  <c r="AQ123" i="13"/>
  <c r="AA85" i="13"/>
  <c r="AA106" i="13"/>
  <c r="AK121" i="13"/>
  <c r="Z116" i="13"/>
  <c r="Z286" i="13" s="1"/>
  <c r="Z201" i="13"/>
  <c r="Z154" i="13"/>
  <c r="Z170" i="13" s="1"/>
  <c r="BA78" i="13"/>
  <c r="BA98" i="13"/>
  <c r="AF105" i="13"/>
  <c r="AF84" i="13"/>
  <c r="AU125" i="13"/>
  <c r="AU142" i="13"/>
  <c r="AO61" i="13"/>
  <c r="AO71" i="13"/>
  <c r="AO65" i="13"/>
  <c r="AO68" i="13"/>
  <c r="AO64" i="13"/>
  <c r="AO67" i="13"/>
  <c r="AO63" i="13"/>
  <c r="AO60" i="13"/>
  <c r="AO69" i="13"/>
  <c r="AO62" i="13"/>
  <c r="AO72" i="13"/>
  <c r="AO70" i="13"/>
  <c r="AO87" i="13" s="1"/>
  <c r="AO66" i="13"/>
  <c r="AM117" i="13"/>
  <c r="AM152" i="13"/>
  <c r="AU124" i="13"/>
  <c r="AU196" i="13"/>
  <c r="AU204" i="13" s="1"/>
  <c r="AU167" i="13"/>
  <c r="J119" i="14"/>
  <c r="J101" i="14"/>
  <c r="J172" i="14"/>
  <c r="J202" i="14"/>
  <c r="J185" i="14"/>
  <c r="J153" i="14" s="1"/>
  <c r="P121" i="14"/>
  <c r="BE87" i="15"/>
  <c r="BE94" i="15" s="1"/>
  <c r="AK90" i="15"/>
  <c r="AP88" i="15"/>
  <c r="B90" i="15"/>
  <c r="T81" i="15"/>
  <c r="T135" i="15" s="1"/>
  <c r="BF90" i="15"/>
  <c r="BF94" i="15" s="1"/>
  <c r="T86" i="15"/>
  <c r="U93" i="15"/>
  <c r="AK88" i="15"/>
  <c r="AN124" i="13"/>
  <c r="AN167" i="13"/>
  <c r="AN196" i="13"/>
  <c r="AN204" i="13" s="1"/>
  <c r="P201" i="13"/>
  <c r="P154" i="13"/>
  <c r="P170" i="13" s="1"/>
  <c r="P116" i="13"/>
  <c r="P286" i="13" s="1"/>
  <c r="C117" i="13"/>
  <c r="C152" i="13"/>
  <c r="AS79" i="13"/>
  <c r="AS99" i="13"/>
  <c r="X118" i="13"/>
  <c r="X287" i="13" s="1"/>
  <c r="J96" i="13"/>
  <c r="J283" i="13" s="1"/>
  <c r="J76" i="13"/>
  <c r="BB106" i="13"/>
  <c r="BB85" i="13"/>
  <c r="AW83" i="13"/>
  <c r="AW104" i="13"/>
  <c r="S125" i="13"/>
  <c r="S142" i="13"/>
  <c r="P84" i="14"/>
  <c r="P105" i="14"/>
  <c r="AE107" i="13"/>
  <c r="AE126" i="13" s="1"/>
  <c r="AE86" i="13"/>
  <c r="BF86" i="13"/>
  <c r="BF107" i="13"/>
  <c r="BF126" i="13" s="1"/>
  <c r="BH121" i="13"/>
  <c r="F90" i="14"/>
  <c r="F92" i="14" s="1"/>
  <c r="M100" i="1"/>
  <c r="B118" i="13"/>
  <c r="B287" i="13" s="1"/>
  <c r="B162" i="13"/>
  <c r="B136" i="13"/>
  <c r="V76" i="13"/>
  <c r="V73" i="13"/>
  <c r="V96" i="13"/>
  <c r="V283" i="13" s="1"/>
  <c r="AD88" i="13"/>
  <c r="AD109" i="13"/>
  <c r="AW76" i="13"/>
  <c r="AW96" i="13"/>
  <c r="AW283" i="13" s="1"/>
  <c r="AW73" i="13"/>
  <c r="AY116" i="13"/>
  <c r="AY286" i="13" s="1"/>
  <c r="AY201" i="13"/>
  <c r="AY154" i="13"/>
  <c r="L183" i="14"/>
  <c r="L166" i="14"/>
  <c r="L182" i="14"/>
  <c r="L150" i="14" s="1"/>
  <c r="D162" i="14"/>
  <c r="D200" i="14"/>
  <c r="D174" i="14"/>
  <c r="D136" i="14"/>
  <c r="D115" i="14"/>
  <c r="AS103" i="13"/>
  <c r="AS122" i="13" s="1"/>
  <c r="AS82" i="13"/>
  <c r="BH79" i="13"/>
  <c r="BH99" i="13"/>
  <c r="Y125" i="13"/>
  <c r="Y142" i="13"/>
  <c r="X162" i="13"/>
  <c r="X174" i="13"/>
  <c r="X115" i="13"/>
  <c r="X136" i="13"/>
  <c r="X137" i="13" s="1"/>
  <c r="X200" i="13"/>
  <c r="AF88" i="13"/>
  <c r="AF109" i="13"/>
  <c r="C108" i="13"/>
  <c r="C127" i="13" s="1"/>
  <c r="AK196" i="13"/>
  <c r="AK204" i="13" s="1"/>
  <c r="AK167" i="13"/>
  <c r="AK124" i="13"/>
  <c r="BA76" i="13"/>
  <c r="BA96" i="13"/>
  <c r="BA283" i="13" s="1"/>
  <c r="BA73" i="13"/>
  <c r="V253" i="13"/>
  <c r="V254" i="13" s="1"/>
  <c r="V251" i="13"/>
  <c r="V252" i="13" s="1"/>
  <c r="BJ73" i="13"/>
  <c r="M121" i="13"/>
  <c r="P76" i="1"/>
  <c r="P96" i="1"/>
  <c r="P73" i="1"/>
  <c r="T118" i="13"/>
  <c r="T287" i="13" s="1"/>
  <c r="V105" i="13"/>
  <c r="V84" i="13"/>
  <c r="AH117" i="13"/>
  <c r="AH152" i="13"/>
  <c r="BE73" i="13"/>
  <c r="W123" i="13"/>
  <c r="H118" i="13"/>
  <c r="H287" i="13" s="1"/>
  <c r="H162" i="13"/>
  <c r="H136" i="13"/>
  <c r="AV86" i="15"/>
  <c r="AV172" i="15" s="1"/>
  <c r="BD103" i="13"/>
  <c r="BD122" i="13" s="1"/>
  <c r="BD82" i="13"/>
  <c r="BE89" i="15"/>
  <c r="U83" i="15"/>
  <c r="BF88" i="15"/>
  <c r="BF107" i="15" s="1"/>
  <c r="AK80" i="15"/>
  <c r="AK94" i="15" s="1"/>
  <c r="AV83" i="15"/>
  <c r="AV94" i="15" s="1"/>
  <c r="AP79" i="15"/>
  <c r="AP119" i="15" s="1"/>
  <c r="AP120" i="15" s="1"/>
  <c r="AP155" i="15" s="1"/>
  <c r="Z92" i="15"/>
  <c r="F76" i="1"/>
  <c r="F96" i="1"/>
  <c r="AS83" i="13"/>
  <c r="AS104" i="13"/>
  <c r="T90" i="14"/>
  <c r="T92" i="14" s="1"/>
  <c r="AK108" i="13"/>
  <c r="AK127" i="13" s="1"/>
  <c r="AK128" i="13"/>
  <c r="AK131" i="13" s="1"/>
  <c r="T123" i="13"/>
  <c r="S78" i="14"/>
  <c r="S98" i="14"/>
  <c r="AF81" i="13"/>
  <c r="AF102" i="13"/>
  <c r="R196" i="14"/>
  <c r="R204" i="14" s="1"/>
  <c r="R124" i="14"/>
  <c r="R167" i="14"/>
  <c r="Q59" i="14"/>
  <c r="V81" i="13"/>
  <c r="V102" i="13"/>
  <c r="BE88" i="13"/>
  <c r="BE109" i="13"/>
  <c r="AN123" i="13"/>
  <c r="BB77" i="13"/>
  <c r="BB97" i="13"/>
  <c r="AK123" i="13"/>
  <c r="U89" i="15"/>
  <c r="AD88" i="15"/>
  <c r="AI93" i="15"/>
  <c r="AI91" i="15" s="1"/>
  <c r="AK84" i="15"/>
  <c r="AK121" i="15" s="1"/>
  <c r="AK182" i="15" s="1"/>
  <c r="AG87" i="15"/>
  <c r="AA86" i="15"/>
  <c r="H121" i="14"/>
  <c r="AJ269" i="13"/>
  <c r="AJ264" i="13"/>
  <c r="T154" i="13"/>
  <c r="T116" i="13"/>
  <c r="T286" i="13" s="1"/>
  <c r="T201" i="13"/>
  <c r="F70" i="1"/>
  <c r="F87" i="1" s="1"/>
  <c r="F61" i="1"/>
  <c r="F71" i="1"/>
  <c r="F67" i="1"/>
  <c r="F62" i="1"/>
  <c r="F66" i="1"/>
  <c r="F69" i="1"/>
  <c r="F63" i="1"/>
  <c r="F65" i="1"/>
  <c r="F64" i="1"/>
  <c r="F72" i="1"/>
  <c r="F60" i="1"/>
  <c r="F68" i="1"/>
  <c r="BD121" i="13"/>
  <c r="BB79" i="13"/>
  <c r="BB99" i="13"/>
  <c r="AD81" i="13"/>
  <c r="AD102" i="13"/>
  <c r="BE123" i="13"/>
  <c r="D123" i="14"/>
  <c r="P116" i="14"/>
  <c r="P154" i="14"/>
  <c r="P201" i="14"/>
  <c r="B126" i="13"/>
  <c r="S73" i="14"/>
  <c r="S76" i="14"/>
  <c r="S96" i="14"/>
  <c r="S85" i="14"/>
  <c r="S106" i="14"/>
  <c r="J69" i="13"/>
  <c r="J62" i="13"/>
  <c r="J72" i="13"/>
  <c r="J61" i="13"/>
  <c r="J67" i="13"/>
  <c r="J70" i="13"/>
  <c r="J87" i="13" s="1"/>
  <c r="J66" i="13"/>
  <c r="J64" i="13"/>
  <c r="J65" i="13"/>
  <c r="J68" i="13"/>
  <c r="J71" i="13"/>
  <c r="J63" i="13"/>
  <c r="J60" i="13"/>
  <c r="AU81" i="13"/>
  <c r="AU102" i="13"/>
  <c r="Y201" i="13"/>
  <c r="Y154" i="13"/>
  <c r="Y116" i="13"/>
  <c r="Y286" i="13" s="1"/>
  <c r="X117" i="13"/>
  <c r="X152" i="13"/>
  <c r="BI115" i="13"/>
  <c r="BI136" i="13"/>
  <c r="BI137" i="13" s="1"/>
  <c r="BI174" i="13"/>
  <c r="BI200" i="13"/>
  <c r="BI162" i="13"/>
  <c r="N62" i="1"/>
  <c r="AC84" i="13"/>
  <c r="AC105" i="13"/>
  <c r="AK117" i="13"/>
  <c r="AK152" i="13"/>
  <c r="BD84" i="13"/>
  <c r="BD105" i="13"/>
  <c r="AE96" i="13"/>
  <c r="AE283" i="13" s="1"/>
  <c r="AE73" i="13"/>
  <c r="AE76" i="13"/>
  <c r="BA82" i="13"/>
  <c r="BA103" i="13"/>
  <c r="BA122" i="13" s="1"/>
  <c r="BF78" i="13"/>
  <c r="BF98" i="13"/>
  <c r="BB82" i="13"/>
  <c r="BB103" i="13"/>
  <c r="BB122" i="13" s="1"/>
  <c r="O128" i="14"/>
  <c r="O131" i="14" s="1"/>
  <c r="O108" i="14"/>
  <c r="O127" i="14" s="1"/>
  <c r="O90" i="14"/>
  <c r="O92" i="14" s="1"/>
  <c r="D65" i="1"/>
  <c r="D67" i="1"/>
  <c r="D69" i="1"/>
  <c r="D72" i="1"/>
  <c r="D66" i="1"/>
  <c r="D70" i="1"/>
  <c r="D87" i="1" s="1"/>
  <c r="D63" i="1"/>
  <c r="D71" i="1"/>
  <c r="D60" i="1"/>
  <c r="D62" i="1"/>
  <c r="D61" i="1"/>
  <c r="D64" i="1"/>
  <c r="D68" i="1"/>
  <c r="AD98" i="13"/>
  <c r="AD78" i="13"/>
  <c r="AP274" i="13"/>
  <c r="AP275" i="13" s="1"/>
  <c r="AP272" i="13"/>
  <c r="AP273" i="13" s="1"/>
  <c r="AP270" i="13"/>
  <c r="AP271" i="13" s="1"/>
  <c r="BI125" i="13"/>
  <c r="BI142" i="13"/>
  <c r="L168" i="14"/>
  <c r="L151" i="14"/>
  <c r="L188" i="14" s="1"/>
  <c r="C134" i="1"/>
  <c r="C135" i="1" s="1"/>
  <c r="D90" i="14"/>
  <c r="D92" i="14" s="1"/>
  <c r="Q118" i="13"/>
  <c r="Q287" i="13" s="1"/>
  <c r="R121" i="13"/>
  <c r="AA137" i="13"/>
  <c r="AA118" i="13"/>
  <c r="AA287" i="13" s="1"/>
  <c r="BA85" i="13"/>
  <c r="BA106" i="13"/>
  <c r="X73" i="13"/>
  <c r="AF98" i="13"/>
  <c r="AF78" i="13"/>
  <c r="BJ110" i="13"/>
  <c r="BJ129" i="13" s="1"/>
  <c r="BJ89" i="13"/>
  <c r="BE118" i="13"/>
  <c r="BE287" i="13" s="1"/>
  <c r="AY125" i="13"/>
  <c r="AY142" i="13"/>
  <c r="AD196" i="13"/>
  <c r="AD204" i="13" s="1"/>
  <c r="AD124" i="13"/>
  <c r="AD167" i="13"/>
  <c r="O123" i="1"/>
  <c r="O164" i="1"/>
  <c r="AI85" i="13"/>
  <c r="AI106" i="13"/>
  <c r="R110" i="1"/>
  <c r="R128" i="1" s="1"/>
  <c r="R89" i="1"/>
  <c r="AQ128" i="13"/>
  <c r="AQ131" i="13" s="1"/>
  <c r="AQ108" i="13"/>
  <c r="AQ127" i="13" s="1"/>
  <c r="O128" i="1"/>
  <c r="O130" i="1" s="1"/>
  <c r="O108" i="1"/>
  <c r="O126" i="1" s="1"/>
  <c r="X123" i="13"/>
  <c r="AF106" i="13"/>
  <c r="AF85" i="13"/>
  <c r="F118" i="14"/>
  <c r="F137" i="14"/>
  <c r="H128" i="14"/>
  <c r="H131" i="14" s="1"/>
  <c r="H108" i="14"/>
  <c r="H127" i="14" s="1"/>
  <c r="AZ111" i="13"/>
  <c r="P102" i="1"/>
  <c r="P81" i="1"/>
  <c r="AM174" i="13"/>
  <c r="AM200" i="13"/>
  <c r="AM162" i="13"/>
  <c r="AM115" i="13"/>
  <c r="H124" i="13"/>
  <c r="H167" i="13"/>
  <c r="H196" i="13"/>
  <c r="H204" i="13" s="1"/>
  <c r="C196" i="13"/>
  <c r="C204" i="13" s="1"/>
  <c r="C167" i="13"/>
  <c r="C124" i="13"/>
  <c r="C125" i="13"/>
  <c r="C142" i="13"/>
  <c r="Y118" i="13"/>
  <c r="Y287" i="13" s="1"/>
  <c r="AQ118" i="13"/>
  <c r="AQ287" i="13" s="1"/>
  <c r="AI124" i="13"/>
  <c r="AI167" i="13"/>
  <c r="AI196" i="13"/>
  <c r="AI204" i="13" s="1"/>
  <c r="AW150" i="15"/>
  <c r="AM91" i="15"/>
  <c r="AH150" i="15"/>
  <c r="AH172" i="15"/>
  <c r="AZ135" i="15"/>
  <c r="BK122" i="15"/>
  <c r="BK121" i="15"/>
  <c r="BK182" i="15" s="1"/>
  <c r="BH135" i="15"/>
  <c r="AB135" i="15"/>
  <c r="AJ150" i="15"/>
  <c r="AJ172" i="15"/>
  <c r="BB150" i="15"/>
  <c r="BB172" i="15"/>
  <c r="AL137" i="15"/>
  <c r="AL184" i="15"/>
  <c r="BD135" i="15"/>
  <c r="AN137" i="15"/>
  <c r="AN184" i="15"/>
  <c r="X123" i="15"/>
  <c r="X168" i="15"/>
  <c r="X136" i="15" s="1"/>
  <c r="BC94" i="15"/>
  <c r="BC112" i="15" s="1"/>
  <c r="BC119" i="15"/>
  <c r="BC120" i="15" s="1"/>
  <c r="BC145" i="15"/>
  <c r="BC183" i="15"/>
  <c r="BC157" i="15"/>
  <c r="AX184" i="15"/>
  <c r="AX137" i="15"/>
  <c r="BI122" i="15"/>
  <c r="BI121" i="15"/>
  <c r="BI182" i="15" s="1"/>
  <c r="BE150" i="15"/>
  <c r="U137" i="15"/>
  <c r="U184" i="15"/>
  <c r="AF172" i="15"/>
  <c r="AR137" i="15"/>
  <c r="AR184" i="15"/>
  <c r="BJ135" i="15"/>
  <c r="V122" i="15"/>
  <c r="V121" i="15"/>
  <c r="V182" i="15" s="1"/>
  <c r="AY91" i="15"/>
  <c r="AK150" i="15"/>
  <c r="AK168" i="15"/>
  <c r="AK136" i="15" s="1"/>
  <c r="AV150" i="15"/>
  <c r="AM94" i="15"/>
  <c r="AM98" i="15" s="1"/>
  <c r="AM119" i="15"/>
  <c r="AM120" i="15" s="1"/>
  <c r="AM145" i="15"/>
  <c r="AM157" i="15"/>
  <c r="AM183" i="15"/>
  <c r="BK137" i="15"/>
  <c r="BK184" i="15"/>
  <c r="BH172" i="15"/>
  <c r="W91" i="15"/>
  <c r="W123" i="15"/>
  <c r="W168" i="15"/>
  <c r="W136" i="15" s="1"/>
  <c r="AJ135" i="15"/>
  <c r="AJ123" i="15"/>
  <c r="AJ168" i="15"/>
  <c r="AJ136" i="15" s="1"/>
  <c r="BI150" i="15"/>
  <c r="BG122" i="15"/>
  <c r="BG121" i="15"/>
  <c r="BG182" i="15" s="1"/>
  <c r="BG94" i="15"/>
  <c r="BG108" i="15" s="1"/>
  <c r="BG119" i="15"/>
  <c r="BG120" i="15" s="1"/>
  <c r="BG155" i="15" s="1"/>
  <c r="BG157" i="15"/>
  <c r="BG145" i="15"/>
  <c r="BG183" i="15"/>
  <c r="AQ137" i="15"/>
  <c r="AQ184" i="15"/>
  <c r="AQ122" i="15"/>
  <c r="AQ121" i="15"/>
  <c r="AQ182" i="15" s="1"/>
  <c r="BB123" i="15"/>
  <c r="BB168" i="15"/>
  <c r="BB136" i="15" s="1"/>
  <c r="BB137" i="15"/>
  <c r="BB184" i="15"/>
  <c r="AL94" i="15"/>
  <c r="AL99" i="15" s="1"/>
  <c r="AL119" i="15"/>
  <c r="AL145" i="15"/>
  <c r="AL157" i="15"/>
  <c r="AL183" i="15"/>
  <c r="AL122" i="15"/>
  <c r="AL121" i="15"/>
  <c r="AL182" i="15" s="1"/>
  <c r="AW122" i="15"/>
  <c r="AW121" i="15"/>
  <c r="AW182" i="15" s="1"/>
  <c r="AW135" i="15"/>
  <c r="AC172" i="15"/>
  <c r="AC135" i="15"/>
  <c r="BD150" i="15"/>
  <c r="AN91" i="15"/>
  <c r="X150" i="15"/>
  <c r="X137" i="15"/>
  <c r="X184" i="15"/>
  <c r="AS172" i="15"/>
  <c r="BC108" i="15"/>
  <c r="BC99" i="15"/>
  <c r="BC137" i="15"/>
  <c r="BC184" i="15"/>
  <c r="BC100" i="15"/>
  <c r="BC135" i="15"/>
  <c r="AX135" i="15"/>
  <c r="BI135" i="15"/>
  <c r="Y122" i="15"/>
  <c r="Y121" i="15"/>
  <c r="Y182" i="15" s="1"/>
  <c r="Y135" i="15"/>
  <c r="BE172" i="15"/>
  <c r="BE145" i="15"/>
  <c r="BE157" i="15"/>
  <c r="BE119" i="15"/>
  <c r="BE183" i="15"/>
  <c r="U172" i="15"/>
  <c r="U135" i="15"/>
  <c r="AF91" i="15"/>
  <c r="BF119" i="15"/>
  <c r="BF120" i="15" s="1"/>
  <c r="BF155" i="15" s="1"/>
  <c r="BF145" i="15"/>
  <c r="BF157" i="15"/>
  <c r="BF183" i="15"/>
  <c r="AR172" i="15"/>
  <c r="AE91" i="15"/>
  <c r="AE137" i="15"/>
  <c r="AE184" i="15"/>
  <c r="AE123" i="15"/>
  <c r="AE168" i="15"/>
  <c r="AE136" i="15" s="1"/>
  <c r="AD91" i="15"/>
  <c r="AD123" i="15"/>
  <c r="AD168" i="15"/>
  <c r="AD136" i="15" s="1"/>
  <c r="AD137" i="15"/>
  <c r="AD184" i="15"/>
  <c r="AU91" i="15"/>
  <c r="AU137" i="15"/>
  <c r="AU184" i="15"/>
  <c r="AU123" i="15"/>
  <c r="AU168" i="15"/>
  <c r="AU136" i="15" s="1"/>
  <c r="BJ91" i="15"/>
  <c r="BJ137" i="15"/>
  <c r="BJ184" i="15"/>
  <c r="V135" i="15"/>
  <c r="BA172" i="15"/>
  <c r="BA145" i="15"/>
  <c r="BA157" i="15"/>
  <c r="BA119" i="15"/>
  <c r="BA183" i="15"/>
  <c r="BA94" i="15"/>
  <c r="BA108" i="15" s="1"/>
  <c r="AI172" i="15"/>
  <c r="AI123" i="15"/>
  <c r="AI168" i="15"/>
  <c r="AI136" i="15" s="1"/>
  <c r="AY122" i="15"/>
  <c r="AY121" i="15"/>
  <c r="AY182" i="15" s="1"/>
  <c r="AY135" i="15"/>
  <c r="AT150" i="15"/>
  <c r="AT135" i="15"/>
  <c r="AK145" i="15"/>
  <c r="AK157" i="15"/>
  <c r="AK119" i="15"/>
  <c r="AK120" i="15" s="1"/>
  <c r="AK155" i="15" s="1"/>
  <c r="AK183" i="15"/>
  <c r="AV121" i="15"/>
  <c r="AV182" i="15" s="1"/>
  <c r="AV137" i="15"/>
  <c r="AV184" i="15"/>
  <c r="AG91" i="15"/>
  <c r="AG137" i="15"/>
  <c r="AG184" i="15"/>
  <c r="AP123" i="15"/>
  <c r="AP168" i="15"/>
  <c r="AP136" i="15" s="1"/>
  <c r="AP145" i="15"/>
  <c r="AP157" i="15"/>
  <c r="AP183" i="15"/>
  <c r="Z150" i="15"/>
  <c r="Z122" i="15"/>
  <c r="Z121" i="15"/>
  <c r="Z182" i="15" s="1"/>
  <c r="Z184" i="15"/>
  <c r="Z137" i="15"/>
  <c r="AA91" i="15"/>
  <c r="AA123" i="15"/>
  <c r="AA168" i="15"/>
  <c r="AA136" i="15" s="1"/>
  <c r="X121" i="15"/>
  <c r="X182" i="15" s="1"/>
  <c r="X122" i="15"/>
  <c r="AM106" i="15"/>
  <c r="AM122" i="15"/>
  <c r="AM121" i="15"/>
  <c r="AM182" i="15" s="1"/>
  <c r="AH94" i="15"/>
  <c r="AH119" i="15"/>
  <c r="AH145" i="15"/>
  <c r="AH157" i="15"/>
  <c r="AH183" i="15"/>
  <c r="AZ123" i="15"/>
  <c r="AZ168" i="15"/>
  <c r="AZ136" i="15" s="1"/>
  <c r="AB137" i="15"/>
  <c r="AB184" i="15"/>
  <c r="AS135" i="15"/>
  <c r="BC109" i="15"/>
  <c r="AQ91" i="15"/>
  <c r="AL123" i="15"/>
  <c r="AL185" i="15"/>
  <c r="AL168" i="15"/>
  <c r="AL136" i="15" s="1"/>
  <c r="AW137" i="15"/>
  <c r="AW184" i="15"/>
  <c r="BD91" i="15"/>
  <c r="X172" i="15"/>
  <c r="BC106" i="15"/>
  <c r="BC122" i="15"/>
  <c r="BC121" i="15"/>
  <c r="BC182" i="15" s="1"/>
  <c r="AX122" i="15"/>
  <c r="AX121" i="15"/>
  <c r="AX182" i="15" s="1"/>
  <c r="BI137" i="15"/>
  <c r="BI184" i="15"/>
  <c r="Y172" i="15"/>
  <c r="AF135" i="15"/>
  <c r="AF137" i="15"/>
  <c r="AF184" i="15"/>
  <c r="BF135" i="15"/>
  <c r="AR135" i="15"/>
  <c r="AE122" i="15"/>
  <c r="AE121" i="15"/>
  <c r="AE182" i="15" s="1"/>
  <c r="AD119" i="15"/>
  <c r="AD120" i="15" s="1"/>
  <c r="AD145" i="15"/>
  <c r="AD157" i="15"/>
  <c r="AD183" i="15"/>
  <c r="AU122" i="15"/>
  <c r="AU121" i="15"/>
  <c r="AU182" i="15" s="1"/>
  <c r="BJ119" i="15"/>
  <c r="BJ94" i="15"/>
  <c r="BJ98" i="15" s="1"/>
  <c r="BJ145" i="15"/>
  <c r="BJ157" i="15"/>
  <c r="BJ183" i="15"/>
  <c r="V91" i="15"/>
  <c r="AI150" i="15"/>
  <c r="AY94" i="15"/>
  <c r="AY101" i="15" s="1"/>
  <c r="AY119" i="15"/>
  <c r="AY185" i="15" s="1"/>
  <c r="AY98" i="15"/>
  <c r="AY145" i="15"/>
  <c r="AY157" i="15"/>
  <c r="AY183" i="15"/>
  <c r="AT122" i="15"/>
  <c r="AT121" i="15"/>
  <c r="AT182" i="15" s="1"/>
  <c r="AG172" i="15"/>
  <c r="Z91" i="15"/>
  <c r="Z172" i="15"/>
  <c r="AA150" i="15"/>
  <c r="Y91" i="15"/>
  <c r="AH123" i="15"/>
  <c r="AH185" i="15"/>
  <c r="AH168" i="15"/>
  <c r="AH136" i="15" s="1"/>
  <c r="AH99" i="15"/>
  <c r="AH137" i="15"/>
  <c r="AH153" i="15" s="1"/>
  <c r="AH184" i="15"/>
  <c r="AZ137" i="15"/>
  <c r="AZ184" i="15"/>
  <c r="BK91" i="15"/>
  <c r="BH150" i="15"/>
  <c r="AB172" i="15"/>
  <c r="AS122" i="15"/>
  <c r="AS121" i="15"/>
  <c r="AS182" i="15" s="1"/>
  <c r="AS123" i="15"/>
  <c r="AS168" i="15"/>
  <c r="AS136" i="15" s="1"/>
  <c r="BB94" i="15"/>
  <c r="BB98" i="15" s="1"/>
  <c r="BB119" i="15"/>
  <c r="BB120" i="15" s="1"/>
  <c r="BB145" i="15"/>
  <c r="BB157" i="15"/>
  <c r="BB183" i="15"/>
  <c r="BD121" i="15"/>
  <c r="BD182" i="15" s="1"/>
  <c r="BD122" i="15"/>
  <c r="AW172" i="15"/>
  <c r="AS150" i="15"/>
  <c r="AM108" i="15"/>
  <c r="AM107" i="15"/>
  <c r="AM150" i="15"/>
  <c r="AM135" i="15"/>
  <c r="AH100" i="15"/>
  <c r="AH135" i="15"/>
  <c r="AZ91" i="15"/>
  <c r="AZ94" i="15"/>
  <c r="AZ103" i="15" s="1"/>
  <c r="AZ119" i="15"/>
  <c r="AZ120" i="15" s="1"/>
  <c r="AZ145" i="15"/>
  <c r="AZ183" i="15"/>
  <c r="AZ157" i="15"/>
  <c r="AJ121" i="15"/>
  <c r="AJ182" i="15" s="1"/>
  <c r="AJ122" i="15"/>
  <c r="BK150" i="15"/>
  <c r="BK94" i="15"/>
  <c r="BK119" i="15"/>
  <c r="BK145" i="15"/>
  <c r="BK157" i="15"/>
  <c r="BK183" i="15"/>
  <c r="BH91" i="15"/>
  <c r="BH123" i="15"/>
  <c r="BH168" i="15"/>
  <c r="BH136" i="15" s="1"/>
  <c r="AB91" i="15"/>
  <c r="AB94" i="15"/>
  <c r="AB104" i="15" s="1"/>
  <c r="AB119" i="15"/>
  <c r="AB145" i="15"/>
  <c r="AB183" i="15"/>
  <c r="AB157" i="15"/>
  <c r="W137" i="15"/>
  <c r="W184" i="15"/>
  <c r="W94" i="15"/>
  <c r="W103" i="15" s="1"/>
  <c r="W98" i="15"/>
  <c r="W119" i="15"/>
  <c r="W145" i="15"/>
  <c r="W183" i="15"/>
  <c r="W157" i="15"/>
  <c r="AS94" i="15"/>
  <c r="AS145" i="15"/>
  <c r="AS157" i="15"/>
  <c r="AS183" i="15"/>
  <c r="AS119" i="15"/>
  <c r="AS185" i="15" s="1"/>
  <c r="AJ137" i="15"/>
  <c r="AJ184" i="15"/>
  <c r="AO79" i="15"/>
  <c r="AO83" i="15"/>
  <c r="AO81" i="15"/>
  <c r="AO86" i="15"/>
  <c r="AO90" i="15"/>
  <c r="AO82" i="15"/>
  <c r="AO85" i="15"/>
  <c r="AO80" i="15"/>
  <c r="AO89" i="15"/>
  <c r="AO87" i="15"/>
  <c r="AO93" i="15"/>
  <c r="AO92" i="15"/>
  <c r="AO84" i="15"/>
  <c r="AO88" i="15"/>
  <c r="BG103" i="15"/>
  <c r="BG172" i="15"/>
  <c r="BG100" i="15"/>
  <c r="BG135" i="15"/>
  <c r="AQ103" i="15"/>
  <c r="AQ172" i="15"/>
  <c r="AQ135" i="15"/>
  <c r="BB91" i="15"/>
  <c r="BB122" i="15"/>
  <c r="BB121" i="15"/>
  <c r="BB182" i="15" s="1"/>
  <c r="BB106" i="15"/>
  <c r="AL150" i="15"/>
  <c r="AL100" i="15"/>
  <c r="AL135" i="15"/>
  <c r="AL120" i="15"/>
  <c r="AW168" i="15"/>
  <c r="AW136" i="15" s="1"/>
  <c r="AW123" i="15"/>
  <c r="AC123" i="15"/>
  <c r="AC168" i="15"/>
  <c r="AC136" i="15" s="1"/>
  <c r="BD109" i="15"/>
  <c r="BD172" i="15"/>
  <c r="BD98" i="15"/>
  <c r="BD94" i="15"/>
  <c r="BD111" i="15" s="1"/>
  <c r="BD119" i="15"/>
  <c r="BD145" i="15"/>
  <c r="BD157" i="15"/>
  <c r="BD183" i="15"/>
  <c r="AN135" i="15"/>
  <c r="AN172" i="15"/>
  <c r="X91" i="15"/>
  <c r="BC104" i="15"/>
  <c r="BC103" i="15"/>
  <c r="BC172" i="15"/>
  <c r="BC150" i="15"/>
  <c r="AX123" i="15"/>
  <c r="AX168" i="15"/>
  <c r="AX136" i="15" s="1"/>
  <c r="BI102" i="15"/>
  <c r="BI123" i="15"/>
  <c r="BI168" i="15"/>
  <c r="BI136" i="15" s="1"/>
  <c r="Y123" i="15"/>
  <c r="Y168" i="15"/>
  <c r="Y136" i="15" s="1"/>
  <c r="BE91" i="15"/>
  <c r="U150" i="15"/>
  <c r="U123" i="15"/>
  <c r="U168" i="15"/>
  <c r="U136" i="15" s="1"/>
  <c r="AF123" i="15"/>
  <c r="AF168" i="15"/>
  <c r="AF136" i="15" s="1"/>
  <c r="BF150" i="15"/>
  <c r="BF122" i="15"/>
  <c r="BF121" i="15"/>
  <c r="BF182" i="15" s="1"/>
  <c r="BF172" i="15"/>
  <c r="AR91" i="15"/>
  <c r="AR94" i="15"/>
  <c r="AR119" i="15"/>
  <c r="AR145" i="15"/>
  <c r="AR183" i="15"/>
  <c r="AR157" i="15"/>
  <c r="AE109" i="15"/>
  <c r="AE108" i="15"/>
  <c r="AE107" i="15"/>
  <c r="AE150" i="15"/>
  <c r="AE94" i="15"/>
  <c r="AE106" i="15" s="1"/>
  <c r="AE119" i="15"/>
  <c r="AE145" i="15"/>
  <c r="AE157" i="15"/>
  <c r="AE183" i="15"/>
  <c r="AD122" i="15"/>
  <c r="AD121" i="15"/>
  <c r="AD182" i="15" s="1"/>
  <c r="AU150" i="15"/>
  <c r="AU94" i="15"/>
  <c r="AU105" i="15" s="1"/>
  <c r="AU98" i="15"/>
  <c r="AU119" i="15"/>
  <c r="AU145" i="15"/>
  <c r="AU157" i="15"/>
  <c r="AU183" i="15"/>
  <c r="BJ104" i="15"/>
  <c r="BJ150" i="15"/>
  <c r="BJ122" i="15"/>
  <c r="BJ121" i="15"/>
  <c r="BJ182" i="15" s="1"/>
  <c r="V150" i="15"/>
  <c r="V172" i="15"/>
  <c r="BA150" i="15"/>
  <c r="BA106" i="15"/>
  <c r="BA122" i="15"/>
  <c r="BA121" i="15"/>
  <c r="BA182" i="15" s="1"/>
  <c r="BA137" i="15"/>
  <c r="BA184" i="15"/>
  <c r="AI94" i="15"/>
  <c r="AI104" i="15" s="1"/>
  <c r="AI119" i="15"/>
  <c r="AI120" i="15" s="1"/>
  <c r="AI155" i="15" s="1"/>
  <c r="AI157" i="15"/>
  <c r="AI145" i="15"/>
  <c r="AI183" i="15"/>
  <c r="AY137" i="15"/>
  <c r="AY184" i="15"/>
  <c r="AY108" i="15"/>
  <c r="AY107" i="15"/>
  <c r="AY150" i="15"/>
  <c r="AT91" i="15"/>
  <c r="AT111" i="15"/>
  <c r="AT172" i="15"/>
  <c r="AK91" i="15"/>
  <c r="AV91" i="15"/>
  <c r="AV135" i="15"/>
  <c r="AG122" i="15"/>
  <c r="AG121" i="15"/>
  <c r="AG182" i="15" s="1"/>
  <c r="AG135" i="15"/>
  <c r="AP91" i="15"/>
  <c r="AP122" i="15"/>
  <c r="AP121" i="15"/>
  <c r="AP182" i="15" s="1"/>
  <c r="AP137" i="15"/>
  <c r="AP184" i="15"/>
  <c r="Z123" i="15"/>
  <c r="Z168" i="15"/>
  <c r="Z136" i="15" s="1"/>
  <c r="Z100" i="15"/>
  <c r="Z135" i="15"/>
  <c r="AA122" i="15"/>
  <c r="AA121" i="15"/>
  <c r="AA182" i="15" s="1"/>
  <c r="AA94" i="15"/>
  <c r="AA111" i="15" s="1"/>
  <c r="AA119" i="15"/>
  <c r="AA185" i="15" s="1"/>
  <c r="AA98" i="15"/>
  <c r="AA157" i="15"/>
  <c r="AA145" i="15"/>
  <c r="AA183" i="15"/>
  <c r="AB121" i="15"/>
  <c r="AB182" i="15" s="1"/>
  <c r="AB122" i="15"/>
  <c r="AM123" i="15"/>
  <c r="AM168" i="15"/>
  <c r="AM136" i="15" s="1"/>
  <c r="AZ112" i="15"/>
  <c r="BK123" i="15"/>
  <c r="BK168" i="15"/>
  <c r="BK136" i="15" s="1"/>
  <c r="W172" i="15"/>
  <c r="BG91" i="15"/>
  <c r="BG110" i="15" s="1"/>
  <c r="BG111" i="15"/>
  <c r="BG107" i="15"/>
  <c r="BG150" i="15"/>
  <c r="AQ102" i="15"/>
  <c r="AQ123" i="15"/>
  <c r="AQ168" i="15"/>
  <c r="AQ136" i="15" s="1"/>
  <c r="AL91" i="15"/>
  <c r="AC137" i="15"/>
  <c r="AC184" i="15"/>
  <c r="BD108" i="15"/>
  <c r="AN150" i="15"/>
  <c r="X94" i="15"/>
  <c r="X104" i="15" s="1"/>
  <c r="X119" i="15"/>
  <c r="X145" i="15"/>
  <c r="X157" i="15"/>
  <c r="X183" i="15"/>
  <c r="AX150" i="15"/>
  <c r="BE122" i="15"/>
  <c r="BE121" i="15"/>
  <c r="BE182" i="15" s="1"/>
  <c r="BE123" i="15"/>
  <c r="BE168" i="15"/>
  <c r="BE136" i="15" s="1"/>
  <c r="BE185" i="15"/>
  <c r="AF121" i="15"/>
  <c r="AF182" i="15" s="1"/>
  <c r="AF122" i="15"/>
  <c r="AR121" i="15"/>
  <c r="AR182" i="15" s="1"/>
  <c r="AR122" i="15"/>
  <c r="AE104" i="15"/>
  <c r="AD172" i="15"/>
  <c r="BJ172" i="15"/>
  <c r="BA91" i="15"/>
  <c r="BA123" i="15"/>
  <c r="BA168" i="15"/>
  <c r="BA136" i="15" s="1"/>
  <c r="BA185" i="15"/>
  <c r="AI137" i="15"/>
  <c r="AI153" i="15" s="1"/>
  <c r="AI184" i="15"/>
  <c r="AT94" i="15"/>
  <c r="AT106" i="15" s="1"/>
  <c r="AT98" i="15"/>
  <c r="AT119" i="15"/>
  <c r="AT145" i="15"/>
  <c r="AT157" i="15"/>
  <c r="AT183" i="15"/>
  <c r="AS91" i="15"/>
  <c r="AV119" i="15"/>
  <c r="AV120" i="15" s="1"/>
  <c r="AV145" i="15"/>
  <c r="AV157" i="15"/>
  <c r="AV183" i="15"/>
  <c r="AG94" i="15"/>
  <c r="AG108" i="15" s="1"/>
  <c r="AG145" i="15"/>
  <c r="AG119" i="15"/>
  <c r="AG120" i="15" s="1"/>
  <c r="AG157" i="15"/>
  <c r="AG183" i="15"/>
  <c r="Z119" i="15"/>
  <c r="Z145" i="15"/>
  <c r="Z94" i="15"/>
  <c r="Z107" i="15" s="1"/>
  <c r="Z157" i="15"/>
  <c r="Z183" i="15"/>
  <c r="AA99" i="15"/>
  <c r="AA137" i="15"/>
  <c r="AA184" i="15"/>
  <c r="AC150" i="15"/>
  <c r="AH108" i="15"/>
  <c r="AM137" i="15"/>
  <c r="AM184" i="15"/>
  <c r="AH106" i="15"/>
  <c r="AH122" i="15"/>
  <c r="AH121" i="15"/>
  <c r="AH182" i="15" s="1"/>
  <c r="Y150" i="15"/>
  <c r="W122" i="15"/>
  <c r="W121" i="15"/>
  <c r="W182" i="15" s="1"/>
  <c r="AQ94" i="15"/>
  <c r="AQ104" i="15" s="1"/>
  <c r="AQ98" i="15"/>
  <c r="AQ119" i="15"/>
  <c r="AQ145" i="15"/>
  <c r="AQ157" i="15"/>
  <c r="AQ183" i="15"/>
  <c r="AN121" i="15"/>
  <c r="AN182" i="15" s="1"/>
  <c r="AN122" i="15"/>
  <c r="BI91" i="15"/>
  <c r="BH121" i="15"/>
  <c r="BH182" i="15" s="1"/>
  <c r="BH122" i="15"/>
  <c r="AM104" i="15"/>
  <c r="AM172" i="15"/>
  <c r="AH91" i="15"/>
  <c r="AH110" i="15" s="1"/>
  <c r="AH111" i="15"/>
  <c r="AH105" i="15"/>
  <c r="AH101" i="15"/>
  <c r="AH120" i="15"/>
  <c r="AZ105" i="15"/>
  <c r="AZ150" i="15"/>
  <c r="AZ172" i="15"/>
  <c r="AC91" i="15"/>
  <c r="BI172" i="15"/>
  <c r="BK112" i="15"/>
  <c r="BK172" i="15"/>
  <c r="BK100" i="15"/>
  <c r="BK135" i="15"/>
  <c r="BH94" i="15"/>
  <c r="BH105" i="15" s="1"/>
  <c r="BH119" i="15"/>
  <c r="BH185" i="15" s="1"/>
  <c r="BH145" i="15"/>
  <c r="BH183" i="15"/>
  <c r="BH157" i="15"/>
  <c r="BH137" i="15"/>
  <c r="BH153" i="15" s="1"/>
  <c r="BH184" i="15"/>
  <c r="AB112" i="15"/>
  <c r="AB107" i="15"/>
  <c r="AB150" i="15"/>
  <c r="AB123" i="15"/>
  <c r="AB168" i="15"/>
  <c r="AB136" i="15" s="1"/>
  <c r="W107" i="15"/>
  <c r="W150" i="15"/>
  <c r="W100" i="15"/>
  <c r="W135" i="15"/>
  <c r="AS108" i="15"/>
  <c r="AS99" i="15"/>
  <c r="AS137" i="15"/>
  <c r="AS184" i="15"/>
  <c r="AJ91" i="15"/>
  <c r="AJ94" i="15"/>
  <c r="AJ105" i="15" s="1"/>
  <c r="AJ119" i="15"/>
  <c r="AJ145" i="15"/>
  <c r="AJ183" i="15"/>
  <c r="AJ157" i="15"/>
  <c r="BG137" i="15"/>
  <c r="BG184" i="15"/>
  <c r="BG102" i="15"/>
  <c r="BG123" i="15"/>
  <c r="BG185" i="15"/>
  <c r="BG168" i="15"/>
  <c r="BG136" i="15" s="1"/>
  <c r="AQ150" i="15"/>
  <c r="BB135" i="15"/>
  <c r="BB101" i="15"/>
  <c r="AL105" i="15"/>
  <c r="AL172" i="15"/>
  <c r="AW145" i="15"/>
  <c r="AW94" i="15"/>
  <c r="AW103" i="15" s="1"/>
  <c r="AW119" i="15"/>
  <c r="AW185" i="15" s="1"/>
  <c r="AW157" i="15"/>
  <c r="AW183" i="15"/>
  <c r="AC122" i="15"/>
  <c r="AC121" i="15"/>
  <c r="AC182" i="15" s="1"/>
  <c r="AC94" i="15"/>
  <c r="AC145" i="15"/>
  <c r="AC157" i="15"/>
  <c r="AC119" i="15"/>
  <c r="AC183" i="15"/>
  <c r="BD105" i="15"/>
  <c r="BD102" i="15"/>
  <c r="BD123" i="15"/>
  <c r="BD185" i="15"/>
  <c r="BD168" i="15"/>
  <c r="BD136" i="15" s="1"/>
  <c r="BD137" i="15"/>
  <c r="BD153" i="15" s="1"/>
  <c r="BD184" i="15"/>
  <c r="AN123" i="15"/>
  <c r="AN168" i="15"/>
  <c r="AN136" i="15" s="1"/>
  <c r="AN94" i="15"/>
  <c r="AN106" i="15" s="1"/>
  <c r="AN119" i="15"/>
  <c r="AN145" i="15"/>
  <c r="AN157" i="15"/>
  <c r="AN183" i="15"/>
  <c r="X135" i="15"/>
  <c r="BC105" i="15"/>
  <c r="BC91" i="15"/>
  <c r="BC110" i="15" s="1"/>
  <c r="BC111" i="15"/>
  <c r="BC102" i="15"/>
  <c r="BC123" i="15"/>
  <c r="BC185" i="15"/>
  <c r="BC168" i="15"/>
  <c r="BC136" i="15" s="1"/>
  <c r="AX91" i="15"/>
  <c r="AX94" i="15"/>
  <c r="AX103" i="15" s="1"/>
  <c r="AX119" i="15"/>
  <c r="AX145" i="15"/>
  <c r="AX98" i="15"/>
  <c r="AX157" i="15"/>
  <c r="AX183" i="15"/>
  <c r="AX172" i="15"/>
  <c r="BI94" i="15"/>
  <c r="BI98" i="15" s="1"/>
  <c r="BI145" i="15"/>
  <c r="BI157" i="15"/>
  <c r="BI183" i="15"/>
  <c r="BI119" i="15"/>
  <c r="Y137" i="15"/>
  <c r="Y184" i="15"/>
  <c r="Y94" i="15"/>
  <c r="Y145" i="15"/>
  <c r="Y157" i="15"/>
  <c r="Y119" i="15"/>
  <c r="Y183" i="15"/>
  <c r="BE137" i="15"/>
  <c r="BE153" i="15" s="1"/>
  <c r="BE184" i="15"/>
  <c r="BE135" i="15"/>
  <c r="U91" i="15"/>
  <c r="U122" i="15"/>
  <c r="U121" i="15"/>
  <c r="U182" i="15" s="1"/>
  <c r="U94" i="15"/>
  <c r="U119" i="15"/>
  <c r="U145" i="15"/>
  <c r="U157" i="15"/>
  <c r="U183" i="15"/>
  <c r="AF150" i="15"/>
  <c r="AF94" i="15"/>
  <c r="AF99" i="15" s="1"/>
  <c r="AF119" i="15"/>
  <c r="AF185" i="15" s="1"/>
  <c r="AF145" i="15"/>
  <c r="AF157" i="15"/>
  <c r="AF183" i="15"/>
  <c r="BF91" i="15"/>
  <c r="BF123" i="15"/>
  <c r="BF168" i="15"/>
  <c r="BF136" i="15" s="1"/>
  <c r="BF184" i="15"/>
  <c r="BF137" i="15"/>
  <c r="BF153" i="15" s="1"/>
  <c r="AR150" i="15"/>
  <c r="AR102" i="15"/>
  <c r="AR123" i="15"/>
  <c r="AR168" i="15"/>
  <c r="AR136" i="15" s="1"/>
  <c r="AR185" i="15"/>
  <c r="AE105" i="15"/>
  <c r="AE112" i="15"/>
  <c r="AE103" i="15"/>
  <c r="AE172" i="15"/>
  <c r="AE100" i="15"/>
  <c r="AE135" i="15"/>
  <c r="AD135" i="15"/>
  <c r="AU109" i="15"/>
  <c r="AU103" i="15"/>
  <c r="AU172" i="15"/>
  <c r="AU135" i="15"/>
  <c r="AZ121" i="15"/>
  <c r="AZ182" i="15" s="1"/>
  <c r="BJ123" i="15"/>
  <c r="BJ185" i="15"/>
  <c r="BJ168" i="15"/>
  <c r="BJ136" i="15" s="1"/>
  <c r="BJ101" i="15"/>
  <c r="BJ120" i="15"/>
  <c r="V94" i="15"/>
  <c r="V111" i="15" s="1"/>
  <c r="V119" i="15"/>
  <c r="V145" i="15"/>
  <c r="V157" i="15"/>
  <c r="V183" i="15"/>
  <c r="V123" i="15"/>
  <c r="V185" i="15"/>
  <c r="V168" i="15"/>
  <c r="V136" i="15" s="1"/>
  <c r="V137" i="15"/>
  <c r="V153" i="15" s="1"/>
  <c r="V184" i="15"/>
  <c r="BA112" i="15"/>
  <c r="BA135" i="15"/>
  <c r="AI122" i="15"/>
  <c r="AI121" i="15"/>
  <c r="AI182" i="15" s="1"/>
  <c r="AI135" i="15"/>
  <c r="AY103" i="15"/>
  <c r="AY172" i="15"/>
  <c r="AY104" i="15"/>
  <c r="AY123" i="15"/>
  <c r="AY168" i="15"/>
  <c r="AY136" i="15" s="1"/>
  <c r="AT104" i="15"/>
  <c r="AT102" i="15"/>
  <c r="AT123" i="15"/>
  <c r="AT185" i="15"/>
  <c r="AT168" i="15"/>
  <c r="AT136" i="15" s="1"/>
  <c r="AT99" i="15"/>
  <c r="AT137" i="15"/>
  <c r="AT184" i="15"/>
  <c r="AK135" i="15"/>
  <c r="AV185" i="15"/>
  <c r="AG150" i="15"/>
  <c r="AG123" i="15"/>
  <c r="AG168" i="15"/>
  <c r="AG136" i="15" s="1"/>
  <c r="AP150" i="15"/>
  <c r="AP135" i="15"/>
  <c r="Z120" i="15"/>
  <c r="AA104" i="15"/>
  <c r="AA103" i="15"/>
  <c r="AA172" i="15"/>
  <c r="AA135" i="15"/>
  <c r="P82" i="15"/>
  <c r="P90" i="15"/>
  <c r="P86" i="15"/>
  <c r="P88" i="15"/>
  <c r="P150" i="15" s="1"/>
  <c r="P83" i="15"/>
  <c r="P168" i="15" s="1"/>
  <c r="P136" i="15" s="1"/>
  <c r="P89" i="15"/>
  <c r="P84" i="15"/>
  <c r="P79" i="15"/>
  <c r="P119" i="15" s="1"/>
  <c r="P185" i="15" s="1"/>
  <c r="P85" i="15"/>
  <c r="P92" i="15"/>
  <c r="P91" i="15" s="1"/>
  <c r="P87" i="15"/>
  <c r="P81" i="15"/>
  <c r="P135" i="15" s="1"/>
  <c r="O88" i="15"/>
  <c r="O85" i="15"/>
  <c r="O79" i="15"/>
  <c r="O157" i="15" s="1"/>
  <c r="O92" i="15"/>
  <c r="K85" i="15"/>
  <c r="O87" i="15"/>
  <c r="O81" i="15"/>
  <c r="O135" i="15" s="1"/>
  <c r="K79" i="15"/>
  <c r="K157" i="15" s="1"/>
  <c r="G89" i="15"/>
  <c r="O89" i="15"/>
  <c r="O90" i="15"/>
  <c r="G92" i="15"/>
  <c r="J83" i="15"/>
  <c r="J168" i="15" s="1"/>
  <c r="J136" i="15" s="1"/>
  <c r="O93" i="15"/>
  <c r="O83" i="15"/>
  <c r="O82" i="15"/>
  <c r="K93" i="15"/>
  <c r="G79" i="15"/>
  <c r="G157" i="15" s="1"/>
  <c r="G84" i="15"/>
  <c r="G83" i="15"/>
  <c r="G168" i="15" s="1"/>
  <c r="G136" i="15" s="1"/>
  <c r="J85" i="15"/>
  <c r="O84" i="15"/>
  <c r="O86" i="15"/>
  <c r="K92" i="15"/>
  <c r="G82" i="15"/>
  <c r="J80" i="15"/>
  <c r="J137" i="15" s="1"/>
  <c r="G93" i="15"/>
  <c r="G90" i="15"/>
  <c r="G85" i="15"/>
  <c r="G80" i="15"/>
  <c r="G137" i="15" s="1"/>
  <c r="L82" i="15"/>
  <c r="M183" i="15"/>
  <c r="G87" i="15"/>
  <c r="G86" i="15"/>
  <c r="G81" i="15"/>
  <c r="G135" i="15" s="1"/>
  <c r="K84" i="15"/>
  <c r="K121" i="15" s="1"/>
  <c r="K182" i="15" s="1"/>
  <c r="K89" i="15"/>
  <c r="K82" i="15"/>
  <c r="K88" i="15"/>
  <c r="K150" i="15" s="1"/>
  <c r="K90" i="15"/>
  <c r="K83" i="15"/>
  <c r="K80" i="15"/>
  <c r="K137" i="15" s="1"/>
  <c r="K86" i="15"/>
  <c r="K81" i="15"/>
  <c r="K135" i="15" s="1"/>
  <c r="B88" i="15"/>
  <c r="B150" i="15" s="1"/>
  <c r="F81" i="15"/>
  <c r="F135" i="15" s="1"/>
  <c r="I90" i="15"/>
  <c r="B92" i="15"/>
  <c r="B91" i="15" s="1"/>
  <c r="I89" i="15"/>
  <c r="F89" i="15"/>
  <c r="M123" i="15"/>
  <c r="B85" i="15"/>
  <c r="L83" i="15"/>
  <c r="N87" i="15"/>
  <c r="N121" i="15" s="1"/>
  <c r="N182" i="15" s="1"/>
  <c r="B81" i="15"/>
  <c r="B135" i="15" s="1"/>
  <c r="B87" i="15"/>
  <c r="F93" i="15"/>
  <c r="F91" i="15" s="1"/>
  <c r="N82" i="15"/>
  <c r="B89" i="15"/>
  <c r="B82" i="15"/>
  <c r="F82" i="15"/>
  <c r="H172" i="15"/>
  <c r="N80" i="15"/>
  <c r="N137" i="15" s="1"/>
  <c r="N83" i="15"/>
  <c r="N168" i="15" s="1"/>
  <c r="N136" i="15" s="1"/>
  <c r="N93" i="15"/>
  <c r="B86" i="15"/>
  <c r="B84" i="15"/>
  <c r="B83" i="15"/>
  <c r="B168" i="15" s="1"/>
  <c r="B136" i="15" s="1"/>
  <c r="I83" i="15"/>
  <c r="I168" i="15" s="1"/>
  <c r="I136" i="15" s="1"/>
  <c r="F90" i="15"/>
  <c r="F88" i="15"/>
  <c r="F150" i="15" s="1"/>
  <c r="N90" i="15"/>
  <c r="N81" i="15"/>
  <c r="N135" i="15" s="1"/>
  <c r="N89" i="15"/>
  <c r="N88" i="15"/>
  <c r="N150" i="15" s="1"/>
  <c r="N79" i="15"/>
  <c r="B79" i="15"/>
  <c r="B157" i="15" s="1"/>
  <c r="B80" i="15"/>
  <c r="B184" i="15" s="1"/>
  <c r="I84" i="15"/>
  <c r="H157" i="15"/>
  <c r="F84" i="15"/>
  <c r="F87" i="15"/>
  <c r="N92" i="15"/>
  <c r="N86" i="15"/>
  <c r="N85" i="15"/>
  <c r="L93" i="15"/>
  <c r="L85" i="15"/>
  <c r="J86" i="15"/>
  <c r="J79" i="15"/>
  <c r="J157" i="15" s="1"/>
  <c r="L84" i="15"/>
  <c r="L81" i="15"/>
  <c r="L135" i="15" s="1"/>
  <c r="J93" i="15"/>
  <c r="J82" i="15"/>
  <c r="J89" i="15"/>
  <c r="L87" i="15"/>
  <c r="L89" i="15"/>
  <c r="L92" i="15"/>
  <c r="J87" i="15"/>
  <c r="J81" i="15"/>
  <c r="J135" i="15" s="1"/>
  <c r="J84" i="15"/>
  <c r="R83" i="15"/>
  <c r="R168" i="15" s="1"/>
  <c r="R136" i="15" s="1"/>
  <c r="R89" i="15"/>
  <c r="M122" i="15"/>
  <c r="I92" i="15"/>
  <c r="I80" i="15"/>
  <c r="I184" i="15" s="1"/>
  <c r="I86" i="15"/>
  <c r="I85" i="15"/>
  <c r="L86" i="15"/>
  <c r="L90" i="15"/>
  <c r="L80" i="15"/>
  <c r="L79" i="15"/>
  <c r="L119" i="15" s="1"/>
  <c r="J92" i="15"/>
  <c r="J91" i="15" s="1"/>
  <c r="J90" i="15"/>
  <c r="H137" i="15"/>
  <c r="I88" i="15"/>
  <c r="I150" i="15" s="1"/>
  <c r="I87" i="15"/>
  <c r="I93" i="15"/>
  <c r="I81" i="15"/>
  <c r="I135" i="15" s="1"/>
  <c r="I79" i="15"/>
  <c r="I119" i="15" s="1"/>
  <c r="H119" i="15"/>
  <c r="H120" i="15" s="1"/>
  <c r="H155" i="15" s="1"/>
  <c r="H91" i="15"/>
  <c r="H123" i="15"/>
  <c r="R82" i="15"/>
  <c r="R80" i="15"/>
  <c r="R137" i="15" s="1"/>
  <c r="H121" i="15"/>
  <c r="H182" i="15" s="1"/>
  <c r="F86" i="15"/>
  <c r="F85" i="15"/>
  <c r="F83" i="15"/>
  <c r="F168" i="15" s="1"/>
  <c r="F136" i="15" s="1"/>
  <c r="D90" i="15"/>
  <c r="D79" i="15"/>
  <c r="D157" i="15" s="1"/>
  <c r="R81" i="15"/>
  <c r="R135" i="15" s="1"/>
  <c r="R86" i="15"/>
  <c r="R79" i="15"/>
  <c r="F79" i="15"/>
  <c r="F183" i="15" s="1"/>
  <c r="F80" i="15"/>
  <c r="F137" i="15" s="1"/>
  <c r="M172" i="15"/>
  <c r="R85" i="15"/>
  <c r="D88" i="15"/>
  <c r="D150" i="15" s="1"/>
  <c r="R87" i="15"/>
  <c r="D93" i="15"/>
  <c r="D86" i="15"/>
  <c r="D81" i="15"/>
  <c r="D135" i="15" s="1"/>
  <c r="D92" i="15"/>
  <c r="R184" i="15"/>
  <c r="H183" i="15"/>
  <c r="R92" i="15"/>
  <c r="D89" i="15"/>
  <c r="D80" i="15"/>
  <c r="D184" i="15" s="1"/>
  <c r="D83" i="15"/>
  <c r="R84" i="15"/>
  <c r="D85" i="15"/>
  <c r="R93" i="15"/>
  <c r="D82" i="15"/>
  <c r="D87" i="15"/>
  <c r="D121" i="15" s="1"/>
  <c r="D182" i="15" s="1"/>
  <c r="R88" i="15"/>
  <c r="H94" i="15"/>
  <c r="H98" i="15" s="1"/>
  <c r="M94" i="15"/>
  <c r="M99" i="15" s="1"/>
  <c r="M119" i="15"/>
  <c r="M185" i="15" s="1"/>
  <c r="M91" i="15"/>
  <c r="H122" i="15"/>
  <c r="M145" i="15"/>
  <c r="M184" i="15"/>
  <c r="M137" i="15"/>
  <c r="S91" i="15"/>
  <c r="S122" i="15"/>
  <c r="S121" i="15"/>
  <c r="S182" i="15" s="1"/>
  <c r="T123" i="15"/>
  <c r="T168" i="15"/>
  <c r="T136" i="15" s="1"/>
  <c r="S135" i="15"/>
  <c r="C75" i="15"/>
  <c r="Q184" i="15"/>
  <c r="Q137" i="15"/>
  <c r="T172" i="15"/>
  <c r="J150" i="15"/>
  <c r="S183" i="15"/>
  <c r="S157" i="15"/>
  <c r="S145" i="15"/>
  <c r="S119" i="15"/>
  <c r="S185" i="15" s="1"/>
  <c r="S94" i="15"/>
  <c r="S100" i="15" s="1"/>
  <c r="S137" i="15"/>
  <c r="S184" i="15"/>
  <c r="T137" i="15"/>
  <c r="T184" i="15"/>
  <c r="T121" i="15"/>
  <c r="T182" i="15" s="1"/>
  <c r="T122" i="15"/>
  <c r="T157" i="15"/>
  <c r="T183" i="15"/>
  <c r="T145" i="15"/>
  <c r="BM66" i="15"/>
  <c r="BM75" i="15" s="1"/>
  <c r="BM57" i="15"/>
  <c r="O150" i="15"/>
  <c r="O183" i="15"/>
  <c r="E93" i="15"/>
  <c r="E87" i="15"/>
  <c r="E80" i="15"/>
  <c r="E83" i="15"/>
  <c r="E79" i="15"/>
  <c r="E88" i="15"/>
  <c r="E92" i="15"/>
  <c r="E84" i="15"/>
  <c r="E85" i="15"/>
  <c r="E89" i="15"/>
  <c r="E86" i="15"/>
  <c r="E90" i="15"/>
  <c r="E81" i="15"/>
  <c r="T150" i="15"/>
  <c r="O184" i="15"/>
  <c r="O137" i="15"/>
  <c r="Q89" i="15"/>
  <c r="Q85" i="15"/>
  <c r="Q86" i="15"/>
  <c r="Q83" i="15"/>
  <c r="Q82" i="15"/>
  <c r="Q79" i="15"/>
  <c r="Q81" i="15"/>
  <c r="Q93" i="15"/>
  <c r="Q92" i="15"/>
  <c r="Q87" i="15"/>
  <c r="Q90" i="15"/>
  <c r="Q84" i="15"/>
  <c r="Q88" i="15"/>
  <c r="S150" i="15"/>
  <c r="S168" i="15"/>
  <c r="S136" i="15" s="1"/>
  <c r="S123" i="15"/>
  <c r="P184" i="15"/>
  <c r="P137" i="15"/>
  <c r="S172" i="15"/>
  <c r="T91" i="15"/>
  <c r="L279" i="14"/>
  <c r="I280" i="14"/>
  <c r="L100" i="13" l="1"/>
  <c r="L146" i="13" s="1"/>
  <c r="L175" i="13" s="1"/>
  <c r="B100" i="13"/>
  <c r="B146" i="13" s="1"/>
  <c r="B175" i="13" s="1"/>
  <c r="AJ100" i="13"/>
  <c r="AJ146" i="13" s="1"/>
  <c r="AJ175" i="13" s="1"/>
  <c r="K100" i="13"/>
  <c r="K146" i="13" s="1"/>
  <c r="K175" i="13" s="1"/>
  <c r="W90" i="13"/>
  <c r="W92" i="13" s="1"/>
  <c r="AK143" i="13"/>
  <c r="AK198" i="13" s="1"/>
  <c r="AK284" i="13"/>
  <c r="S100" i="13"/>
  <c r="S146" i="13" s="1"/>
  <c r="S175" i="13" s="1"/>
  <c r="O90" i="13"/>
  <c r="O92" i="13" s="1"/>
  <c r="O100" i="13" s="1"/>
  <c r="I89" i="13"/>
  <c r="I110" i="13"/>
  <c r="I129" i="13" s="1"/>
  <c r="D109" i="13"/>
  <c r="D88" i="13"/>
  <c r="AV211" i="13"/>
  <c r="BN103" i="13"/>
  <c r="BN122" i="13" s="1"/>
  <c r="BN82" i="13"/>
  <c r="Q98" i="13"/>
  <c r="Q78" i="13"/>
  <c r="Q103" i="13"/>
  <c r="Q122" i="13" s="1"/>
  <c r="Q82" i="13"/>
  <c r="T128" i="13"/>
  <c r="T108" i="13"/>
  <c r="T127" i="13" s="1"/>
  <c r="N81" i="13"/>
  <c r="N102" i="13"/>
  <c r="N121" i="13" s="1"/>
  <c r="AR117" i="13"/>
  <c r="AR152" i="13"/>
  <c r="E128" i="13"/>
  <c r="E108" i="13"/>
  <c r="E127" i="13" s="1"/>
  <c r="G125" i="13"/>
  <c r="G142" i="13"/>
  <c r="AJ108" i="13"/>
  <c r="AJ127" i="13" s="1"/>
  <c r="AJ128" i="13"/>
  <c r="AJ131" i="13" s="1"/>
  <c r="AP128" i="13"/>
  <c r="AP131" i="13" s="1"/>
  <c r="AP108" i="13"/>
  <c r="AP127" i="13" s="1"/>
  <c r="S283" i="13"/>
  <c r="S115" i="13"/>
  <c r="S200" i="13"/>
  <c r="S162" i="13"/>
  <c r="S136" i="13"/>
  <c r="S174" i="13"/>
  <c r="I97" i="13"/>
  <c r="I77" i="13"/>
  <c r="D82" i="13"/>
  <c r="D103" i="13"/>
  <c r="D122" i="13" s="1"/>
  <c r="BN81" i="13"/>
  <c r="BN102" i="13"/>
  <c r="BN121" i="13" s="1"/>
  <c r="P152" i="13"/>
  <c r="P117" i="13"/>
  <c r="Q97" i="13"/>
  <c r="Q77" i="13"/>
  <c r="E283" i="13"/>
  <c r="E200" i="13"/>
  <c r="E162" i="13"/>
  <c r="E115" i="13"/>
  <c r="E136" i="13"/>
  <c r="E174" i="13"/>
  <c r="N109" i="13"/>
  <c r="N88" i="13"/>
  <c r="D105" i="13"/>
  <c r="D84" i="13"/>
  <c r="E124" i="13"/>
  <c r="E167" i="13"/>
  <c r="E196" i="13"/>
  <c r="E204" i="13" s="1"/>
  <c r="B142" i="13"/>
  <c r="B125" i="13"/>
  <c r="I88" i="13"/>
  <c r="I109" i="13"/>
  <c r="BN89" i="13"/>
  <c r="BN110" i="13"/>
  <c r="BN129" i="13" s="1"/>
  <c r="G117" i="13"/>
  <c r="G152" i="13"/>
  <c r="D79" i="13"/>
  <c r="D99" i="13"/>
  <c r="E131" i="13"/>
  <c r="BN84" i="13"/>
  <c r="BN105" i="13"/>
  <c r="BN106" i="13"/>
  <c r="BN85" i="13"/>
  <c r="K283" i="13"/>
  <c r="K115" i="13"/>
  <c r="K136" i="13"/>
  <c r="K137" i="13" s="1"/>
  <c r="K172" i="13" s="1"/>
  <c r="K200" i="13"/>
  <c r="K174" i="13"/>
  <c r="K162" i="13"/>
  <c r="Q85" i="13"/>
  <c r="Q106" i="13"/>
  <c r="N104" i="13"/>
  <c r="N123" i="13" s="1"/>
  <c r="N83" i="13"/>
  <c r="T167" i="13"/>
  <c r="T124" i="13"/>
  <c r="T196" i="13"/>
  <c r="T204" i="13" s="1"/>
  <c r="L283" i="13"/>
  <c r="L115" i="13"/>
  <c r="L136" i="13"/>
  <c r="L170" i="13" s="1"/>
  <c r="L162" i="13"/>
  <c r="L174" i="13"/>
  <c r="L200" i="13"/>
  <c r="D115" i="13"/>
  <c r="D283" i="13"/>
  <c r="D174" i="13"/>
  <c r="D136" i="13"/>
  <c r="D162" i="13"/>
  <c r="D200" i="13"/>
  <c r="Y143" i="13"/>
  <c r="Y198" i="13" s="1"/>
  <c r="Y284" i="13"/>
  <c r="AU90" i="13"/>
  <c r="AU92" i="13" s="1"/>
  <c r="BG136" i="13"/>
  <c r="BG137" i="13" s="1"/>
  <c r="AM143" i="13"/>
  <c r="AM198" i="13" s="1"/>
  <c r="AM284" i="13"/>
  <c r="Z143" i="13"/>
  <c r="Z198" i="13" s="1"/>
  <c r="Z284" i="13"/>
  <c r="P108" i="13"/>
  <c r="P127" i="13" s="1"/>
  <c r="P129" i="13"/>
  <c r="AX143" i="13"/>
  <c r="AX198" i="13" s="1"/>
  <c r="AX264" i="13" s="1"/>
  <c r="AX284" i="13"/>
  <c r="AJ167" i="13"/>
  <c r="AJ124" i="13"/>
  <c r="AJ196" i="13"/>
  <c r="AJ204" i="13" s="1"/>
  <c r="I86" i="13"/>
  <c r="I107" i="13"/>
  <c r="I126" i="13" s="1"/>
  <c r="BN98" i="13"/>
  <c r="BN78" i="13"/>
  <c r="D102" i="13"/>
  <c r="D121" i="13" s="1"/>
  <c r="D81" i="13"/>
  <c r="L118" i="13"/>
  <c r="L287" i="13" s="1"/>
  <c r="L137" i="13"/>
  <c r="BN76" i="13"/>
  <c r="BN96" i="13"/>
  <c r="BN73" i="13"/>
  <c r="Q84" i="13"/>
  <c r="Q105" i="13"/>
  <c r="E90" i="13"/>
  <c r="E92" i="13" s="1"/>
  <c r="E100" i="13" s="1"/>
  <c r="N85" i="13"/>
  <c r="N106" i="13"/>
  <c r="C143" i="13"/>
  <c r="C198" i="13" s="1"/>
  <c r="C284" i="13"/>
  <c r="BG115" i="13"/>
  <c r="E170" i="13"/>
  <c r="P131" i="13"/>
  <c r="B205" i="13"/>
  <c r="B206" i="13" s="1"/>
  <c r="B207" i="13"/>
  <c r="B208" i="13" s="1"/>
  <c r="B210" i="13"/>
  <c r="B211" i="13" s="1"/>
  <c r="AR108" i="13"/>
  <c r="AR127" i="13" s="1"/>
  <c r="AR128" i="13"/>
  <c r="AR131" i="13" s="1"/>
  <c r="K201" i="13"/>
  <c r="K116" i="13"/>
  <c r="K286" i="13" s="1"/>
  <c r="K154" i="13"/>
  <c r="AP90" i="13"/>
  <c r="AP92" i="13" s="1"/>
  <c r="AJ152" i="13"/>
  <c r="AJ117" i="13"/>
  <c r="I103" i="13"/>
  <c r="I122" i="13" s="1"/>
  <c r="I82" i="13"/>
  <c r="R117" i="13"/>
  <c r="R152" i="13"/>
  <c r="AR283" i="13"/>
  <c r="AR174" i="13"/>
  <c r="AR200" i="13"/>
  <c r="AR115" i="13"/>
  <c r="D107" i="13"/>
  <c r="D126" i="13" s="1"/>
  <c r="D86" i="13"/>
  <c r="BN107" i="13"/>
  <c r="BN126" i="13" s="1"/>
  <c r="BN86" i="13"/>
  <c r="Q81" i="13"/>
  <c r="Q102" i="13"/>
  <c r="Q121" i="13" s="1"/>
  <c r="R124" i="13"/>
  <c r="R167" i="13"/>
  <c r="R196" i="13"/>
  <c r="R204" i="13" s="1"/>
  <c r="N98" i="13"/>
  <c r="N78" i="13"/>
  <c r="BJ170" i="13"/>
  <c r="S143" i="13"/>
  <c r="S198" i="13" s="1"/>
  <c r="S284" i="13"/>
  <c r="AI90" i="13"/>
  <c r="AI92" i="13" s="1"/>
  <c r="AH143" i="13"/>
  <c r="AH198" i="13" s="1"/>
  <c r="AH284" i="13"/>
  <c r="AN143" i="13"/>
  <c r="AN198" i="13" s="1"/>
  <c r="AN284" i="13"/>
  <c r="BG162" i="13"/>
  <c r="T142" i="13"/>
  <c r="T125" i="13"/>
  <c r="O131" i="13"/>
  <c r="E142" i="13"/>
  <c r="E125" i="13"/>
  <c r="AP283" i="13"/>
  <c r="AP162" i="13"/>
  <c r="AP136" i="13"/>
  <c r="AP137" i="13" s="1"/>
  <c r="AP200" i="13"/>
  <c r="AP115" i="13"/>
  <c r="AP174" i="13"/>
  <c r="AX207" i="13"/>
  <c r="AX208" i="13" s="1"/>
  <c r="AX205" i="13"/>
  <c r="AX206" i="13" s="1"/>
  <c r="AX210" i="13"/>
  <c r="O128" i="13"/>
  <c r="O108" i="13"/>
  <c r="O127" i="13" s="1"/>
  <c r="I84" i="13"/>
  <c r="I105" i="13"/>
  <c r="D85" i="13"/>
  <c r="D106" i="13"/>
  <c r="R128" i="13"/>
  <c r="R131" i="13" s="1"/>
  <c r="R108" i="13"/>
  <c r="R127" i="13" s="1"/>
  <c r="O201" i="13"/>
  <c r="O154" i="13"/>
  <c r="O116" i="13"/>
  <c r="O286" i="13" s="1"/>
  <c r="T131" i="13"/>
  <c r="BN109" i="13"/>
  <c r="BN88" i="13"/>
  <c r="O167" i="13"/>
  <c r="O196" i="13"/>
  <c r="O204" i="13" s="1"/>
  <c r="O124" i="13"/>
  <c r="K108" i="13"/>
  <c r="K127" i="13" s="1"/>
  <c r="K128" i="13"/>
  <c r="K131" i="13" s="1"/>
  <c r="E152" i="13"/>
  <c r="E117" i="13"/>
  <c r="G118" i="13"/>
  <c r="G287" i="13" s="1"/>
  <c r="AX170" i="13"/>
  <c r="BE143" i="13"/>
  <c r="BE198" i="13" s="1"/>
  <c r="BE284" i="13"/>
  <c r="H143" i="13"/>
  <c r="H198" i="13" s="1"/>
  <c r="H284" i="13"/>
  <c r="L108" i="13"/>
  <c r="L127" i="13" s="1"/>
  <c r="BN83" i="13"/>
  <c r="BN104" i="13"/>
  <c r="BN123" i="13" s="1"/>
  <c r="K118" i="13"/>
  <c r="K287" i="13" s="1"/>
  <c r="S137" i="13"/>
  <c r="S118" i="13"/>
  <c r="S287" i="13" s="1"/>
  <c r="AT100" i="13"/>
  <c r="AT146" i="13" s="1"/>
  <c r="AT175" i="13" s="1"/>
  <c r="O117" i="13"/>
  <c r="O152" i="13"/>
  <c r="AP125" i="13"/>
  <c r="AP142" i="13"/>
  <c r="I106" i="13"/>
  <c r="I85" i="13"/>
  <c r="AN117" i="13"/>
  <c r="AN152" i="13"/>
  <c r="D83" i="13"/>
  <c r="D104" i="13"/>
  <c r="D123" i="13" s="1"/>
  <c r="AT211" i="13"/>
  <c r="AZ143" i="13"/>
  <c r="AZ198" i="13" s="1"/>
  <c r="AZ213" i="13" s="1"/>
  <c r="AZ284" i="13"/>
  <c r="Q88" i="13"/>
  <c r="Q109" i="13"/>
  <c r="I152" i="13"/>
  <c r="I117" i="13"/>
  <c r="AD90" i="13"/>
  <c r="AD92" i="13" s="1"/>
  <c r="AD100" i="13" s="1"/>
  <c r="AU143" i="13"/>
  <c r="AU198" i="13" s="1"/>
  <c r="AU284" i="13"/>
  <c r="AN162" i="13"/>
  <c r="AS90" i="13"/>
  <c r="AS92" i="13" s="1"/>
  <c r="BE90" i="13"/>
  <c r="BE92" i="13" s="1"/>
  <c r="BD143" i="13"/>
  <c r="BD198" i="13" s="1"/>
  <c r="BD284" i="13"/>
  <c r="L131" i="13"/>
  <c r="G167" i="13"/>
  <c r="G196" i="13"/>
  <c r="G204" i="13" s="1"/>
  <c r="G124" i="13"/>
  <c r="T90" i="13"/>
  <c r="T92" i="13" s="1"/>
  <c r="T100" i="13" s="1"/>
  <c r="D78" i="13"/>
  <c r="D98" i="13"/>
  <c r="I102" i="13"/>
  <c r="I121" i="13" s="1"/>
  <c r="I81" i="13"/>
  <c r="AP154" i="13"/>
  <c r="AP170" i="13" s="1"/>
  <c r="AP201" i="13"/>
  <c r="AP116" i="13"/>
  <c r="AP286" i="13" s="1"/>
  <c r="AJ125" i="13"/>
  <c r="AJ142" i="13"/>
  <c r="R142" i="13"/>
  <c r="R125" i="13"/>
  <c r="G283" i="13"/>
  <c r="G174" i="13"/>
  <c r="G200" i="13"/>
  <c r="G162" i="13"/>
  <c r="G115" i="13"/>
  <c r="G136" i="13"/>
  <c r="G137" i="13" s="1"/>
  <c r="G172" i="13" s="1"/>
  <c r="Q96" i="13"/>
  <c r="Q76" i="13"/>
  <c r="Q90" i="13" s="1"/>
  <c r="Q92" i="13" s="1"/>
  <c r="Q100" i="13" s="1"/>
  <c r="Q73" i="13"/>
  <c r="S167" i="13"/>
  <c r="S196" i="13"/>
  <c r="S204" i="13" s="1"/>
  <c r="S124" i="13"/>
  <c r="N103" i="13"/>
  <c r="N122" i="13" s="1"/>
  <c r="N82" i="13"/>
  <c r="N97" i="13"/>
  <c r="N77" i="13"/>
  <c r="K142" i="13"/>
  <c r="K125" i="13"/>
  <c r="X143" i="13"/>
  <c r="X198" i="13" s="1"/>
  <c r="X284" i="13"/>
  <c r="BC73" i="13"/>
  <c r="AQ143" i="13"/>
  <c r="AQ198" i="13" s="1"/>
  <c r="AQ284" i="13"/>
  <c r="AH90" i="13"/>
  <c r="AH92" i="13" s="1"/>
  <c r="E118" i="13"/>
  <c r="E287" i="13" s="1"/>
  <c r="E137" i="13"/>
  <c r="AJ283" i="13"/>
  <c r="AJ200" i="13"/>
  <c r="AJ174" i="13"/>
  <c r="AJ115" i="13"/>
  <c r="T283" i="13"/>
  <c r="T115" i="13"/>
  <c r="T200" i="13"/>
  <c r="T174" i="13"/>
  <c r="T162" i="13"/>
  <c r="T136" i="13"/>
  <c r="T137" i="13" s="1"/>
  <c r="L142" i="13"/>
  <c r="L125" i="13"/>
  <c r="AP207" i="13"/>
  <c r="AP208" i="13" s="1"/>
  <c r="AP210" i="13"/>
  <c r="AP205" i="13"/>
  <c r="AP206" i="13" s="1"/>
  <c r="O125" i="13"/>
  <c r="O142" i="13"/>
  <c r="N96" i="13"/>
  <c r="N76" i="13"/>
  <c r="P142" i="13"/>
  <c r="P125" i="13"/>
  <c r="I79" i="13"/>
  <c r="I99" i="13"/>
  <c r="I118" i="13" s="1"/>
  <c r="I287" i="13" s="1"/>
  <c r="T117" i="13"/>
  <c r="T152" i="13"/>
  <c r="B117" i="13"/>
  <c r="B152" i="13"/>
  <c r="S116" i="13"/>
  <c r="S286" i="13" s="1"/>
  <c r="S154" i="13"/>
  <c r="S170" i="13" s="1"/>
  <c r="S201" i="13"/>
  <c r="BN97" i="13"/>
  <c r="BN77" i="13"/>
  <c r="Q107" i="13"/>
  <c r="Q126" i="13" s="1"/>
  <c r="Q86" i="13"/>
  <c r="L124" i="13"/>
  <c r="L196" i="13"/>
  <c r="L204" i="13" s="1"/>
  <c r="L167" i="13"/>
  <c r="S117" i="13"/>
  <c r="S152" i="13"/>
  <c r="N86" i="13"/>
  <c r="N107" i="13"/>
  <c r="N126" i="13" s="1"/>
  <c r="N105" i="13"/>
  <c r="N84" i="13"/>
  <c r="AX119" i="13"/>
  <c r="AX185" i="13"/>
  <c r="AX153" i="13" s="1"/>
  <c r="AX202" i="13"/>
  <c r="AX101" i="13"/>
  <c r="AY143" i="13"/>
  <c r="AY198" i="13" s="1"/>
  <c r="AY284" i="13"/>
  <c r="BI143" i="13"/>
  <c r="BI198" i="13" s="1"/>
  <c r="BI284" i="13"/>
  <c r="AE90" i="13"/>
  <c r="AE92" i="13" s="1"/>
  <c r="AO73" i="13"/>
  <c r="AD143" i="13"/>
  <c r="AD198" i="13" s="1"/>
  <c r="AD284" i="13"/>
  <c r="AM90" i="13"/>
  <c r="AM92" i="13" s="1"/>
  <c r="AM100" i="13" s="1"/>
  <c r="AM146" i="13" s="1"/>
  <c r="AM175" i="13" s="1"/>
  <c r="AA90" i="13"/>
  <c r="AA92" i="13" s="1"/>
  <c r="BN99" i="13"/>
  <c r="BN118" i="13" s="1"/>
  <c r="BN79" i="13"/>
  <c r="O283" i="13"/>
  <c r="O115" i="13"/>
  <c r="O174" i="13"/>
  <c r="O200" i="13"/>
  <c r="O136" i="13"/>
  <c r="O137" i="13" s="1"/>
  <c r="O162" i="13"/>
  <c r="AR207" i="13"/>
  <c r="AR208" i="13" s="1"/>
  <c r="AR210" i="13"/>
  <c r="AR211" i="13" s="1"/>
  <c r="AR205" i="13"/>
  <c r="AR206" i="13" s="1"/>
  <c r="B174" i="13"/>
  <c r="B283" i="13"/>
  <c r="B115" i="13"/>
  <c r="B200" i="13"/>
  <c r="I104" i="13"/>
  <c r="I123" i="13" s="1"/>
  <c r="I83" i="13"/>
  <c r="I76" i="13"/>
  <c r="I96" i="13"/>
  <c r="I73" i="13"/>
  <c r="D77" i="13"/>
  <c r="D97" i="13"/>
  <c r="AP117" i="13"/>
  <c r="AP152" i="13"/>
  <c r="Q83" i="13"/>
  <c r="Q104" i="13"/>
  <c r="Q123" i="13" s="1"/>
  <c r="Q89" i="13"/>
  <c r="Q110" i="13"/>
  <c r="Q129" i="13" s="1"/>
  <c r="N73" i="13"/>
  <c r="N79" i="13"/>
  <c r="N99" i="13"/>
  <c r="N89" i="13"/>
  <c r="N110" i="13"/>
  <c r="N129" i="13" s="1"/>
  <c r="AR125" i="13"/>
  <c r="AR142" i="13"/>
  <c r="I177" i="14"/>
  <c r="AK108" i="15"/>
  <c r="AK111" i="15"/>
  <c r="AK112" i="15"/>
  <c r="AK98" i="15"/>
  <c r="AK101" i="15"/>
  <c r="AK104" i="15"/>
  <c r="AK100" i="15"/>
  <c r="AK106" i="15"/>
  <c r="BF105" i="15"/>
  <c r="BF111" i="15"/>
  <c r="BF114" i="15" s="1"/>
  <c r="BF112" i="15"/>
  <c r="BF102" i="15"/>
  <c r="BF100" i="15"/>
  <c r="BF99" i="15"/>
  <c r="BF104" i="15"/>
  <c r="BF106" i="15"/>
  <c r="BF103" i="15"/>
  <c r="BF108" i="15"/>
  <c r="U76" i="14"/>
  <c r="U96" i="14"/>
  <c r="Z100" i="13"/>
  <c r="BE100" i="13"/>
  <c r="BE146" i="13" s="1"/>
  <c r="BE175" i="13" s="1"/>
  <c r="B238" i="14"/>
  <c r="B239" i="14" s="1"/>
  <c r="B246" i="14"/>
  <c r="B247" i="14" s="1"/>
  <c r="B244" i="14"/>
  <c r="B245" i="14" s="1"/>
  <c r="B242" i="14"/>
  <c r="B243" i="14" s="1"/>
  <c r="B240" i="14"/>
  <c r="B241" i="14" s="1"/>
  <c r="AH100" i="13"/>
  <c r="AA100" i="13"/>
  <c r="AA146" i="13" s="1"/>
  <c r="AA175" i="13" s="1"/>
  <c r="W100" i="13"/>
  <c r="BE107" i="15"/>
  <c r="BE100" i="15"/>
  <c r="BE106" i="15"/>
  <c r="BE112" i="15"/>
  <c r="BE108" i="15"/>
  <c r="BE99" i="15"/>
  <c r="BE105" i="15"/>
  <c r="BE102" i="15"/>
  <c r="BE111" i="15"/>
  <c r="BJ100" i="13"/>
  <c r="AI100" i="13"/>
  <c r="AI146" i="13" s="1"/>
  <c r="AI175" i="13" s="1"/>
  <c r="C169" i="1"/>
  <c r="AK109" i="15"/>
  <c r="AV112" i="15"/>
  <c r="AV109" i="15"/>
  <c r="AU100" i="13"/>
  <c r="AK99" i="15"/>
  <c r="P123" i="15"/>
  <c r="U110" i="15"/>
  <c r="AJ111" i="15"/>
  <c r="AM99" i="15"/>
  <c r="BA111" i="15"/>
  <c r="BA114" i="15" s="1"/>
  <c r="AK123" i="15"/>
  <c r="AA100" i="15"/>
  <c r="AG107" i="15"/>
  <c r="AT153" i="15"/>
  <c r="AY102" i="15"/>
  <c r="BA104" i="15"/>
  <c r="BF110" i="15"/>
  <c r="AL103" i="15"/>
  <c r="AQ108" i="15"/>
  <c r="AJ104" i="15"/>
  <c r="AZ107" i="15"/>
  <c r="AM103" i="15"/>
  <c r="AZ108" i="15"/>
  <c r="BJ112" i="15"/>
  <c r="BB112" i="15"/>
  <c r="BJ107" i="15"/>
  <c r="AM100" i="15"/>
  <c r="AP94" i="15"/>
  <c r="AV122" i="15"/>
  <c r="AK122" i="15"/>
  <c r="BC153" i="15"/>
  <c r="AL98" i="15"/>
  <c r="D81" i="1"/>
  <c r="D102" i="1"/>
  <c r="D84" i="1"/>
  <c r="D105" i="1"/>
  <c r="J106" i="13"/>
  <c r="J85" i="13"/>
  <c r="S125" i="14"/>
  <c r="S141" i="14"/>
  <c r="S197" i="14" s="1"/>
  <c r="AD121" i="13"/>
  <c r="F89" i="1"/>
  <c r="F110" i="1"/>
  <c r="F128" i="1" s="1"/>
  <c r="P90" i="1"/>
  <c r="P92" i="1" s="1"/>
  <c r="L186" i="14"/>
  <c r="L187" i="14" s="1"/>
  <c r="L158" i="14"/>
  <c r="L190" i="14" s="1"/>
  <c r="L191" i="14" s="1"/>
  <c r="L171" i="14" s="1"/>
  <c r="L157" i="14"/>
  <c r="L169" i="14"/>
  <c r="AD128" i="13"/>
  <c r="AD131" i="13" s="1"/>
  <c r="AD108" i="13"/>
  <c r="AD127" i="13" s="1"/>
  <c r="M199" i="1"/>
  <c r="M118" i="1"/>
  <c r="M138" i="1"/>
  <c r="M182" i="1"/>
  <c r="M150" i="1" s="1"/>
  <c r="M101" i="1"/>
  <c r="P124" i="14"/>
  <c r="P167" i="14"/>
  <c r="AO105" i="13"/>
  <c r="AO84" i="13"/>
  <c r="AA125" i="13"/>
  <c r="AA142" i="13"/>
  <c r="BJ117" i="13"/>
  <c r="BJ152" i="13"/>
  <c r="Q83" i="14"/>
  <c r="Q104" i="14"/>
  <c r="Q97" i="14"/>
  <c r="Q77" i="14"/>
  <c r="S123" i="14"/>
  <c r="AE118" i="13"/>
  <c r="AE287" i="13" s="1"/>
  <c r="AW108" i="13"/>
  <c r="AW127" i="13" s="1"/>
  <c r="AW128" i="13"/>
  <c r="AW131" i="13" s="1"/>
  <c r="BC86" i="13"/>
  <c r="BC107" i="13"/>
  <c r="BC126" i="13" s="1"/>
  <c r="BC88" i="13"/>
  <c r="BC109" i="13"/>
  <c r="D197" i="14"/>
  <c r="D196" i="14"/>
  <c r="D204" i="14" s="1"/>
  <c r="AU152" i="13"/>
  <c r="AU117" i="13"/>
  <c r="W143" i="13"/>
  <c r="W198" i="13" s="1"/>
  <c r="AG105" i="13"/>
  <c r="AG84" i="13"/>
  <c r="BE205" i="13"/>
  <c r="BE206" i="13" s="1"/>
  <c r="BE207" i="13"/>
  <c r="BE208" i="13" s="1"/>
  <c r="BE210" i="13"/>
  <c r="I82" i="1"/>
  <c r="I103" i="1"/>
  <c r="I121" i="1" s="1"/>
  <c r="BJ137" i="13"/>
  <c r="BJ118" i="13"/>
  <c r="BJ287" i="13" s="1"/>
  <c r="AC115" i="13"/>
  <c r="AC136" i="13"/>
  <c r="AC200" i="13"/>
  <c r="AC174" i="13"/>
  <c r="AC162" i="13"/>
  <c r="AM196" i="13"/>
  <c r="AM204" i="13" s="1"/>
  <c r="AM167" i="13"/>
  <c r="AM124" i="13"/>
  <c r="U79" i="13"/>
  <c r="U99" i="13"/>
  <c r="AC142" i="13"/>
  <c r="AC125" i="13"/>
  <c r="G119" i="13"/>
  <c r="G202" i="13"/>
  <c r="G185" i="13"/>
  <c r="G101" i="13"/>
  <c r="G111" i="13" s="1"/>
  <c r="AI123" i="13"/>
  <c r="G83" i="1"/>
  <c r="G104" i="1"/>
  <c r="P125" i="14"/>
  <c r="P141" i="14"/>
  <c r="P197" i="14" s="1"/>
  <c r="AB79" i="13"/>
  <c r="AB99" i="13"/>
  <c r="M100" i="13"/>
  <c r="BF118" i="13"/>
  <c r="BF287" i="13" s="1"/>
  <c r="E218" i="14"/>
  <c r="E219" i="14" s="1"/>
  <c r="E222" i="14"/>
  <c r="E223" i="14" s="1"/>
  <c r="E216" i="14"/>
  <c r="E217" i="14" s="1"/>
  <c r="E220" i="14"/>
  <c r="E214" i="14"/>
  <c r="E215" i="14" s="1"/>
  <c r="S118" i="14"/>
  <c r="E109" i="1"/>
  <c r="E88" i="1"/>
  <c r="AB115" i="13"/>
  <c r="AB200" i="13"/>
  <c r="AB162" i="13"/>
  <c r="AB174" i="13"/>
  <c r="R120" i="1"/>
  <c r="Q79" i="1"/>
  <c r="Q99" i="1"/>
  <c r="AL86" i="13"/>
  <c r="AL107" i="13"/>
  <c r="AL126" i="13" s="1"/>
  <c r="AL99" i="13"/>
  <c r="AL79" i="13"/>
  <c r="AR267" i="13"/>
  <c r="AR268" i="13" s="1"/>
  <c r="AR265" i="13"/>
  <c r="AR266" i="13" s="1"/>
  <c r="AS142" i="13"/>
  <c r="AS125" i="13"/>
  <c r="Y108" i="13"/>
  <c r="Y127" i="13" s="1"/>
  <c r="Y128" i="13"/>
  <c r="Y131" i="13" s="1"/>
  <c r="N166" i="14"/>
  <c r="N182" i="14"/>
  <c r="N150" i="14" s="1"/>
  <c r="N183" i="14" s="1"/>
  <c r="N110" i="1"/>
  <c r="N128" i="1" s="1"/>
  <c r="N89" i="1"/>
  <c r="N83" i="1"/>
  <c r="N104" i="1"/>
  <c r="AC116" i="13"/>
  <c r="AC286" i="13" s="1"/>
  <c r="AC201" i="13"/>
  <c r="AC154" i="13"/>
  <c r="F104" i="13"/>
  <c r="F83" i="13"/>
  <c r="Q110" i="14"/>
  <c r="Q129" i="14" s="1"/>
  <c r="Q89" i="14"/>
  <c r="Q99" i="14"/>
  <c r="Q79" i="14"/>
  <c r="AV265" i="13"/>
  <c r="AV266" i="13" s="1"/>
  <c r="AV267" i="13"/>
  <c r="AV268" i="13" s="1"/>
  <c r="P123" i="1"/>
  <c r="P164" i="1"/>
  <c r="G85" i="14"/>
  <c r="G106" i="14"/>
  <c r="BC98" i="13"/>
  <c r="BC78" i="13"/>
  <c r="BH154" i="13"/>
  <c r="BH116" i="13"/>
  <c r="BH286" i="13" s="1"/>
  <c r="BH201" i="13"/>
  <c r="C163" i="14"/>
  <c r="C164" i="14"/>
  <c r="C149" i="14"/>
  <c r="C145" i="14"/>
  <c r="C173" i="14"/>
  <c r="K212" i="14"/>
  <c r="B163" i="14"/>
  <c r="B145" i="14"/>
  <c r="B149" i="14"/>
  <c r="B164" i="14"/>
  <c r="B173" i="14"/>
  <c r="AG83" i="13"/>
  <c r="AG104" i="13"/>
  <c r="AG110" i="13"/>
  <c r="AG129" i="13" s="1"/>
  <c r="AG89" i="13"/>
  <c r="AC117" i="13"/>
  <c r="AC152" i="13"/>
  <c r="I102" i="1"/>
  <c r="I81" i="1"/>
  <c r="BB152" i="13"/>
  <c r="BB117" i="13"/>
  <c r="BJ121" i="13"/>
  <c r="AC90" i="13"/>
  <c r="AC92" i="13" s="1"/>
  <c r="AY124" i="13"/>
  <c r="AY196" i="13"/>
  <c r="AY204" i="13" s="1"/>
  <c r="AY167" i="13"/>
  <c r="BI100" i="13"/>
  <c r="BI146" i="13"/>
  <c r="BI175" i="13" s="1"/>
  <c r="AS174" i="13"/>
  <c r="AS136" i="13"/>
  <c r="AS200" i="13"/>
  <c r="AS162" i="13"/>
  <c r="AS115" i="13"/>
  <c r="P127" i="1"/>
  <c r="P130" i="1" s="1"/>
  <c r="P108" i="1"/>
  <c r="P126" i="1" s="1"/>
  <c r="BF128" i="13"/>
  <c r="BF131" i="13" s="1"/>
  <c r="BF108" i="13"/>
  <c r="BF127" i="13" s="1"/>
  <c r="U70" i="14"/>
  <c r="U87" i="14" s="1"/>
  <c r="U61" i="14"/>
  <c r="U68" i="14"/>
  <c r="U63" i="14"/>
  <c r="U72" i="14"/>
  <c r="U62" i="14"/>
  <c r="U64" i="14"/>
  <c r="U66" i="14"/>
  <c r="U69" i="14"/>
  <c r="U60" i="14"/>
  <c r="U73" i="14" s="1"/>
  <c r="U67" i="14"/>
  <c r="U71" i="14"/>
  <c r="U65" i="14"/>
  <c r="U84" i="13"/>
  <c r="U105" i="13"/>
  <c r="G80" i="1"/>
  <c r="AA210" i="13"/>
  <c r="AA205" i="13"/>
  <c r="AA206" i="13" s="1"/>
  <c r="AA207" i="13"/>
  <c r="AA208" i="13" s="1"/>
  <c r="AB89" i="13"/>
  <c r="AB110" i="13"/>
  <c r="AB129" i="13" s="1"/>
  <c r="BF124" i="13"/>
  <c r="BF167" i="13"/>
  <c r="BF196" i="13"/>
  <c r="BF204" i="13" s="1"/>
  <c r="AS121" i="13"/>
  <c r="E80" i="1"/>
  <c r="T210" i="14"/>
  <c r="T205" i="14"/>
  <c r="T206" i="14" s="1"/>
  <c r="T207" i="14"/>
  <c r="T208" i="14" s="1"/>
  <c r="BD264" i="13"/>
  <c r="BD269" i="13"/>
  <c r="Q83" i="1"/>
  <c r="Q104" i="1"/>
  <c r="AL80" i="13"/>
  <c r="AL82" i="13"/>
  <c r="AL103" i="13"/>
  <c r="AL122" i="13" s="1"/>
  <c r="AR274" i="13"/>
  <c r="AR275" i="13" s="1"/>
  <c r="AR272" i="13"/>
  <c r="AR273" i="13" s="1"/>
  <c r="AR270" i="13"/>
  <c r="AR271" i="13" s="1"/>
  <c r="P115" i="1"/>
  <c r="P151" i="1"/>
  <c r="P198" i="1"/>
  <c r="R108" i="1"/>
  <c r="R126" i="1" s="1"/>
  <c r="R127" i="1"/>
  <c r="R130" i="1" s="1"/>
  <c r="N85" i="1"/>
  <c r="N106" i="1"/>
  <c r="F76" i="13"/>
  <c r="F96" i="13"/>
  <c r="F283" i="13" s="1"/>
  <c r="F73" i="13"/>
  <c r="BC106" i="13"/>
  <c r="BC85" i="13"/>
  <c r="AG103" i="13"/>
  <c r="AG122" i="13" s="1"/>
  <c r="AG82" i="13"/>
  <c r="AG86" i="13"/>
  <c r="AG107" i="13"/>
  <c r="AG126" i="13" s="1"/>
  <c r="AW116" i="13"/>
  <c r="AW286" i="13" s="1"/>
  <c r="AW154" i="13"/>
  <c r="AW201" i="13"/>
  <c r="AN269" i="13"/>
  <c r="AN264" i="13"/>
  <c r="AV119" i="13"/>
  <c r="AV185" i="13"/>
  <c r="AV101" i="13"/>
  <c r="AV111" i="13" s="1"/>
  <c r="AV202" i="13"/>
  <c r="AV172" i="13"/>
  <c r="BE121" i="13"/>
  <c r="AS100" i="13"/>
  <c r="AS146" i="13" s="1"/>
  <c r="AS175" i="13" s="1"/>
  <c r="O100" i="1"/>
  <c r="O143" i="1"/>
  <c r="O172" i="1" s="1"/>
  <c r="AD118" i="13"/>
  <c r="AD287" i="13" s="1"/>
  <c r="AD137" i="13"/>
  <c r="P118" i="14"/>
  <c r="U81" i="13"/>
  <c r="U102" i="13"/>
  <c r="BI152" i="13"/>
  <c r="BI117" i="13"/>
  <c r="G85" i="1"/>
  <c r="G106" i="1"/>
  <c r="G89" i="1"/>
  <c r="G110" i="1"/>
  <c r="G128" i="1" s="1"/>
  <c r="AI121" i="13"/>
  <c r="AD123" i="13"/>
  <c r="AB77" i="13"/>
  <c r="AB97" i="13"/>
  <c r="AR101" i="13"/>
  <c r="AR111" i="13" s="1"/>
  <c r="AR185" i="13"/>
  <c r="AR153" i="13" s="1"/>
  <c r="AR119" i="13"/>
  <c r="AR202" i="13"/>
  <c r="AR140" i="13"/>
  <c r="AM170" i="13"/>
  <c r="AD116" i="13"/>
  <c r="AD286" i="13" s="1"/>
  <c r="AD201" i="13"/>
  <c r="AD154" i="13"/>
  <c r="AD170" i="13" s="1"/>
  <c r="P90" i="14"/>
  <c r="P92" i="14" s="1"/>
  <c r="B234" i="14"/>
  <c r="B235" i="14" s="1"/>
  <c r="B228" i="14"/>
  <c r="B229" i="14" s="1"/>
  <c r="B232" i="14"/>
  <c r="B233" i="14" s="1"/>
  <c r="B226" i="14"/>
  <c r="B227" i="14" s="1"/>
  <c r="B230" i="14"/>
  <c r="B231" i="14" s="1"/>
  <c r="BI123" i="13"/>
  <c r="AH154" i="13"/>
  <c r="AH170" i="13" s="1"/>
  <c r="AH116" i="13"/>
  <c r="AH286" i="13" s="1"/>
  <c r="AH201" i="13"/>
  <c r="R117" i="1"/>
  <c r="AS124" i="13"/>
  <c r="AS167" i="13"/>
  <c r="AS196" i="13"/>
  <c r="AS204" i="13" s="1"/>
  <c r="Q80" i="1"/>
  <c r="AL81" i="13"/>
  <c r="AL102" i="13"/>
  <c r="H210" i="14"/>
  <c r="H207" i="14"/>
  <c r="H208" i="14" s="1"/>
  <c r="H205" i="14"/>
  <c r="H206" i="14" s="1"/>
  <c r="AU116" i="13"/>
  <c r="AU286" i="13" s="1"/>
  <c r="AU154" i="13"/>
  <c r="AU170" i="13" s="1"/>
  <c r="AU201" i="13"/>
  <c r="AQ201" i="13"/>
  <c r="AQ116" i="13"/>
  <c r="AQ286" i="13" s="1"/>
  <c r="AQ154" i="13"/>
  <c r="N81" i="1"/>
  <c r="N102" i="1"/>
  <c r="F88" i="13"/>
  <c r="F109" i="13"/>
  <c r="BC200" i="13"/>
  <c r="BC115" i="13"/>
  <c r="BC174" i="13"/>
  <c r="Q197" i="1"/>
  <c r="Q114" i="1"/>
  <c r="Q171" i="1"/>
  <c r="D78" i="1"/>
  <c r="D98" i="1"/>
  <c r="F100" i="14"/>
  <c r="F146" i="14" s="1"/>
  <c r="F175" i="14" s="1"/>
  <c r="AV168" i="15"/>
  <c r="AV136" i="15" s="1"/>
  <c r="AE100" i="13"/>
  <c r="AE146" i="13" s="1"/>
  <c r="AE175" i="13" s="1"/>
  <c r="S162" i="14"/>
  <c r="S174" i="14"/>
  <c r="S115" i="14"/>
  <c r="S200" i="14"/>
  <c r="S136" i="14"/>
  <c r="S137" i="14" s="1"/>
  <c r="BB118" i="13"/>
  <c r="BB287" i="13" s="1"/>
  <c r="V115" i="13"/>
  <c r="V136" i="13"/>
  <c r="V170" i="13" s="1"/>
  <c r="V174" i="13"/>
  <c r="V162" i="13"/>
  <c r="V200" i="13"/>
  <c r="X205" i="13"/>
  <c r="X206" i="13" s="1"/>
  <c r="X207" i="13"/>
  <c r="X208" i="13" s="1"/>
  <c r="X210" i="13"/>
  <c r="G104" i="14"/>
  <c r="G83" i="14"/>
  <c r="BG128" i="13"/>
  <c r="BG131" i="13" s="1"/>
  <c r="BG108" i="13"/>
  <c r="BG127" i="13" s="1"/>
  <c r="AK184" i="15"/>
  <c r="BA107" i="15"/>
  <c r="BI104" i="15"/>
  <c r="AL107" i="15"/>
  <c r="AJ109" i="15"/>
  <c r="AP172" i="15"/>
  <c r="AI205" i="13"/>
  <c r="AI206" i="13" s="1"/>
  <c r="AI207" i="13"/>
  <c r="AI208" i="13" s="1"/>
  <c r="AI210" i="13"/>
  <c r="AD207" i="13"/>
  <c r="AD208" i="13" s="1"/>
  <c r="AD210" i="13"/>
  <c r="AD205" i="13"/>
  <c r="AD206" i="13" s="1"/>
  <c r="AF152" i="13"/>
  <c r="AF117" i="13"/>
  <c r="D77" i="1"/>
  <c r="D97" i="1"/>
  <c r="J104" i="13"/>
  <c r="J83" i="13"/>
  <c r="S90" i="14"/>
  <c r="S92" i="14" s="1"/>
  <c r="F80" i="1"/>
  <c r="BE128" i="13"/>
  <c r="BE131" i="13" s="1"/>
  <c r="BE108" i="13"/>
  <c r="BE127" i="13" s="1"/>
  <c r="AF121" i="13"/>
  <c r="BA115" i="13"/>
  <c r="BA200" i="13"/>
  <c r="BA162" i="13"/>
  <c r="BA136" i="13"/>
  <c r="BA174" i="13"/>
  <c r="AF108" i="13"/>
  <c r="AF127" i="13" s="1"/>
  <c r="AF128" i="13"/>
  <c r="AF131" i="13" s="1"/>
  <c r="J120" i="14"/>
  <c r="J130" i="14" s="1"/>
  <c r="J132" i="14" s="1"/>
  <c r="J189" i="14"/>
  <c r="J138" i="14"/>
  <c r="J199" i="14" s="1"/>
  <c r="J219" i="14" s="1"/>
  <c r="J277" i="14" s="1"/>
  <c r="J139" i="14"/>
  <c r="J111" i="14"/>
  <c r="AO83" i="13"/>
  <c r="AO104" i="13"/>
  <c r="AO82" i="13"/>
  <c r="AO103" i="13"/>
  <c r="AO122" i="13" s="1"/>
  <c r="O249" i="14"/>
  <c r="O263" i="14"/>
  <c r="X100" i="13"/>
  <c r="X146" i="13" s="1"/>
  <c r="X175" i="13" s="1"/>
  <c r="BD154" i="13"/>
  <c r="BD201" i="13"/>
  <c r="BD116" i="13"/>
  <c r="BD286" i="13" s="1"/>
  <c r="Q84" i="14"/>
  <c r="Q105" i="14"/>
  <c r="AN100" i="13"/>
  <c r="AN146" i="13" s="1"/>
  <c r="AN175" i="13" s="1"/>
  <c r="X269" i="13"/>
  <c r="X264" i="13"/>
  <c r="G105" i="14"/>
  <c r="G84" i="14"/>
  <c r="AA121" i="13"/>
  <c r="AY90" i="13"/>
  <c r="AY92" i="13" s="1"/>
  <c r="K163" i="14"/>
  <c r="K149" i="14"/>
  <c r="K145" i="14"/>
  <c r="K173" i="14"/>
  <c r="K164" i="14"/>
  <c r="AG80" i="13"/>
  <c r="AG97" i="13"/>
  <c r="AG77" i="13"/>
  <c r="I89" i="1"/>
  <c r="I110" i="1"/>
  <c r="I128" i="1" s="1"/>
  <c r="I106" i="1"/>
  <c r="I85" i="1"/>
  <c r="AH264" i="13"/>
  <c r="AH269" i="13"/>
  <c r="AW210" i="13"/>
  <c r="AW205" i="13"/>
  <c r="AW206" i="13" s="1"/>
  <c r="AW207" i="13"/>
  <c r="AW208" i="13" s="1"/>
  <c r="BF121" i="13"/>
  <c r="P117" i="14"/>
  <c r="P152" i="14"/>
  <c r="S121" i="14"/>
  <c r="BG142" i="13"/>
  <c r="BG125" i="13"/>
  <c r="AC108" i="13"/>
  <c r="AC127" i="13" s="1"/>
  <c r="AC128" i="13"/>
  <c r="AC131" i="13" s="1"/>
  <c r="N258" i="14"/>
  <c r="N259" i="14" s="1"/>
  <c r="N256" i="14"/>
  <c r="N257" i="14" s="1"/>
  <c r="N260" i="14"/>
  <c r="N261" i="14" s="1"/>
  <c r="U110" i="13"/>
  <c r="U129" i="13" s="1"/>
  <c r="U89" i="13"/>
  <c r="G103" i="1"/>
  <c r="G121" i="1" s="1"/>
  <c r="G82" i="1"/>
  <c r="G78" i="1"/>
  <c r="G98" i="1"/>
  <c r="AQ90" i="13"/>
  <c r="AQ92" i="13" s="1"/>
  <c r="AB109" i="13"/>
  <c r="AB88" i="13"/>
  <c r="BG207" i="13"/>
  <c r="BG208" i="13" s="1"/>
  <c r="BG205" i="13"/>
  <c r="BG206" i="13" s="1"/>
  <c r="BG210" i="13"/>
  <c r="AE210" i="13"/>
  <c r="AE207" i="13"/>
  <c r="AE208" i="13" s="1"/>
  <c r="AE205" i="13"/>
  <c r="AE206" i="13" s="1"/>
  <c r="Z264" i="13"/>
  <c r="Z269" i="13"/>
  <c r="AA123" i="13"/>
  <c r="E105" i="1"/>
  <c r="E84" i="1"/>
  <c r="E78" i="1"/>
  <c r="E98" i="1"/>
  <c r="Q110" i="1"/>
  <c r="Q128" i="1" s="1"/>
  <c r="Q89" i="1"/>
  <c r="AL89" i="13"/>
  <c r="AL110" i="13"/>
  <c r="AL129" i="13" s="1"/>
  <c r="R170" i="13"/>
  <c r="P100" i="13"/>
  <c r="P146" i="13" s="1"/>
  <c r="P175" i="13" s="1"/>
  <c r="Y210" i="13"/>
  <c r="Y205" i="13"/>
  <c r="Y206" i="13" s="1"/>
  <c r="Y207" i="13"/>
  <c r="Y208" i="13" s="1"/>
  <c r="B167" i="1"/>
  <c r="O170" i="14"/>
  <c r="N82" i="1"/>
  <c r="N103" i="1"/>
  <c r="N121" i="1" s="1"/>
  <c r="F85" i="13"/>
  <c r="F106" i="13"/>
  <c r="F82" i="13"/>
  <c r="F103" i="13"/>
  <c r="F122" i="13" s="1"/>
  <c r="R140" i="14"/>
  <c r="R185" i="14"/>
  <c r="R153" i="14" s="1"/>
  <c r="R101" i="14"/>
  <c r="R119" i="14"/>
  <c r="R202" i="14"/>
  <c r="R111" i="14"/>
  <c r="H205" i="13"/>
  <c r="H206" i="13" s="1"/>
  <c r="H210" i="13"/>
  <c r="H207" i="13"/>
  <c r="H208" i="13" s="1"/>
  <c r="AF125" i="13"/>
  <c r="AF142" i="13"/>
  <c r="D82" i="1"/>
  <c r="D103" i="1"/>
  <c r="D121" i="1" s="1"/>
  <c r="J82" i="13"/>
  <c r="J103" i="13"/>
  <c r="J122" i="13" s="1"/>
  <c r="F81" i="1"/>
  <c r="F102" i="1"/>
  <c r="AF196" i="13"/>
  <c r="AF204" i="13" s="1"/>
  <c r="AF167" i="13"/>
  <c r="AF124" i="13"/>
  <c r="AK172" i="15"/>
  <c r="D79" i="1"/>
  <c r="D99" i="1"/>
  <c r="V196" i="13"/>
  <c r="V204" i="13" s="1"/>
  <c r="V167" i="13"/>
  <c r="V124" i="13"/>
  <c r="Y269" i="13"/>
  <c r="Y264" i="13"/>
  <c r="J174" i="13"/>
  <c r="J200" i="13"/>
  <c r="J115" i="13"/>
  <c r="AO85" i="13"/>
  <c r="AO106" i="13"/>
  <c r="AV272" i="13"/>
  <c r="AV273" i="13" s="1"/>
  <c r="AV274" i="13"/>
  <c r="AV275" i="13" s="1"/>
  <c r="AV270" i="13"/>
  <c r="AV271" i="13" s="1"/>
  <c r="K213" i="14"/>
  <c r="BI110" i="15"/>
  <c r="AM185" i="15"/>
  <c r="Z102" i="15"/>
  <c r="AK137" i="15"/>
  <c r="AK153" i="15" s="1"/>
  <c r="BI112" i="15"/>
  <c r="BG98" i="15"/>
  <c r="D88" i="1"/>
  <c r="D109" i="1"/>
  <c r="AE115" i="13"/>
  <c r="AE162" i="13"/>
  <c r="AE136" i="13"/>
  <c r="AE200" i="13"/>
  <c r="AE174" i="13"/>
  <c r="F86" i="1"/>
  <c r="F107" i="1"/>
  <c r="F125" i="1" s="1"/>
  <c r="AS123" i="13"/>
  <c r="BA90" i="13"/>
  <c r="BA92" i="13" s="1"/>
  <c r="V90" i="13"/>
  <c r="V92" i="13" s="1"/>
  <c r="AO109" i="13"/>
  <c r="AO88" i="13"/>
  <c r="O142" i="14"/>
  <c r="O143" i="14" s="1"/>
  <c r="O198" i="14" s="1"/>
  <c r="BJ196" i="13"/>
  <c r="BJ204" i="13" s="1"/>
  <c r="BJ124" i="13"/>
  <c r="BJ167" i="13"/>
  <c r="F170" i="14"/>
  <c r="Q81" i="14"/>
  <c r="Q102" i="14"/>
  <c r="AD264" i="13"/>
  <c r="AD269" i="13"/>
  <c r="X154" i="13"/>
  <c r="X170" i="13" s="1"/>
  <c r="X201" i="13"/>
  <c r="X116" i="13"/>
  <c r="X286" i="13" s="1"/>
  <c r="G109" i="14"/>
  <c r="G88" i="14"/>
  <c r="BG100" i="13"/>
  <c r="BC110" i="13"/>
  <c r="BC129" i="13" s="1"/>
  <c r="BC89" i="13"/>
  <c r="C244" i="14"/>
  <c r="C245" i="14" s="1"/>
  <c r="C242" i="14"/>
  <c r="C243" i="14" s="1"/>
  <c r="C238" i="14"/>
  <c r="C239" i="14" s="1"/>
  <c r="C240" i="14"/>
  <c r="C241" i="14" s="1"/>
  <c r="C246" i="14"/>
  <c r="C247" i="14" s="1"/>
  <c r="B153" i="14"/>
  <c r="AG78" i="13"/>
  <c r="AG98" i="13"/>
  <c r="I109" i="1"/>
  <c r="I88" i="1"/>
  <c r="I76" i="1"/>
  <c r="I96" i="1"/>
  <c r="I73" i="1"/>
  <c r="R137" i="13"/>
  <c r="U76" i="13"/>
  <c r="U73" i="13"/>
  <c r="U96" i="13"/>
  <c r="U283" i="13" s="1"/>
  <c r="T255" i="14"/>
  <c r="T250" i="14"/>
  <c r="AQ269" i="13"/>
  <c r="AQ264" i="13"/>
  <c r="BH90" i="13"/>
  <c r="BH92" i="13" s="1"/>
  <c r="H170" i="13"/>
  <c r="W136" i="13"/>
  <c r="N251" i="14"/>
  <c r="N252" i="14" s="1"/>
  <c r="N253" i="14"/>
  <c r="N254" i="14" s="1"/>
  <c r="V152" i="13"/>
  <c r="V117" i="13"/>
  <c r="U78" i="13"/>
  <c r="U98" i="13"/>
  <c r="U80" i="13"/>
  <c r="G97" i="1"/>
  <c r="G77" i="1"/>
  <c r="G90" i="1" s="1"/>
  <c r="G92" i="1" s="1"/>
  <c r="G102" i="1"/>
  <c r="G81" i="1"/>
  <c r="AB80" i="13"/>
  <c r="P200" i="14"/>
  <c r="P162" i="14"/>
  <c r="P136" i="14"/>
  <c r="P170" i="14" s="1"/>
  <c r="P174" i="14"/>
  <c r="P115" i="14"/>
  <c r="AW125" i="13"/>
  <c r="AW142" i="13"/>
  <c r="AH196" i="13"/>
  <c r="AH204" i="13" s="1"/>
  <c r="AH167" i="13"/>
  <c r="AH124" i="13"/>
  <c r="E82" i="1"/>
  <c r="E103" i="1"/>
  <c r="E121" i="1" s="1"/>
  <c r="E79" i="1"/>
  <c r="E99" i="1"/>
  <c r="Q85" i="1"/>
  <c r="Q106" i="1"/>
  <c r="AL85" i="13"/>
  <c r="AL106" i="13"/>
  <c r="W117" i="13"/>
  <c r="W152" i="13"/>
  <c r="K178" i="1"/>
  <c r="K181" i="1"/>
  <c r="K162" i="1"/>
  <c r="BD115" i="13"/>
  <c r="BD136" i="13"/>
  <c r="BD174" i="13"/>
  <c r="BD200" i="13"/>
  <c r="BD162" i="13"/>
  <c r="N98" i="1"/>
  <c r="N78" i="1"/>
  <c r="F105" i="13"/>
  <c r="F84" i="13"/>
  <c r="F80" i="13"/>
  <c r="R146" i="14"/>
  <c r="R175" i="14" s="1"/>
  <c r="P120" i="1"/>
  <c r="D170" i="14"/>
  <c r="D137" i="14"/>
  <c r="J73" i="13"/>
  <c r="AO102" i="13"/>
  <c r="AO81" i="13"/>
  <c r="AL109" i="15"/>
  <c r="AL108" i="15"/>
  <c r="BI269" i="13"/>
  <c r="BI264" i="13"/>
  <c r="F103" i="1"/>
  <c r="F121" i="1" s="1"/>
  <c r="F82" i="1"/>
  <c r="T100" i="14"/>
  <c r="T146" i="14" s="1"/>
  <c r="T175" i="14" s="1"/>
  <c r="AB98" i="15"/>
  <c r="AL102" i="15"/>
  <c r="BA125" i="13"/>
  <c r="BA142" i="13"/>
  <c r="D100" i="14"/>
  <c r="D146" i="14"/>
  <c r="D175" i="14" s="1"/>
  <c r="D80" i="1"/>
  <c r="BD124" i="13"/>
  <c r="BD196" i="13"/>
  <c r="BD204" i="13" s="1"/>
  <c r="BD167" i="13"/>
  <c r="AU121" i="13"/>
  <c r="J84" i="13"/>
  <c r="J105" i="13"/>
  <c r="F83" i="1"/>
  <c r="F104" i="1"/>
  <c r="AJ265" i="13"/>
  <c r="AJ266" i="13" s="1"/>
  <c r="AJ267" i="13"/>
  <c r="AJ268" i="13" s="1"/>
  <c r="V121" i="13"/>
  <c r="S152" i="14"/>
  <c r="S117" i="14"/>
  <c r="BH118" i="13"/>
  <c r="BH287" i="13" s="1"/>
  <c r="AS118" i="13"/>
  <c r="AS287" i="13" s="1"/>
  <c r="AS137" i="13"/>
  <c r="AS172" i="13" s="1"/>
  <c r="AN205" i="13"/>
  <c r="AN206" i="13" s="1"/>
  <c r="AN207" i="13"/>
  <c r="AN208" i="13" s="1"/>
  <c r="AN210" i="13"/>
  <c r="AO89" i="13"/>
  <c r="AO110" i="13"/>
  <c r="AO129" i="13" s="1"/>
  <c r="AO98" i="13"/>
  <c r="AO78" i="13"/>
  <c r="AI108" i="13"/>
  <c r="AI127" i="13" s="1"/>
  <c r="AI128" i="13"/>
  <c r="AI131" i="13" s="1"/>
  <c r="Q82" i="14"/>
  <c r="Q103" i="14"/>
  <c r="Q122" i="14" s="1"/>
  <c r="AZ120" i="13"/>
  <c r="AZ130" i="13" s="1"/>
  <c r="AZ132" i="13" s="1"/>
  <c r="AZ189" i="13"/>
  <c r="AZ139" i="13"/>
  <c r="AZ138" i="13"/>
  <c r="AZ199" i="13" s="1"/>
  <c r="R100" i="13"/>
  <c r="R146" i="13" s="1"/>
  <c r="R175" i="13" s="1"/>
  <c r="G81" i="14"/>
  <c r="G102" i="14"/>
  <c r="BC81" i="13"/>
  <c r="BC102" i="13"/>
  <c r="AY136" i="13"/>
  <c r="AY170" i="13" s="1"/>
  <c r="AY115" i="13"/>
  <c r="AY174" i="13"/>
  <c r="AY200" i="13"/>
  <c r="AY162" i="13"/>
  <c r="K139" i="14"/>
  <c r="K189" i="14"/>
  <c r="K120" i="14"/>
  <c r="K138" i="14"/>
  <c r="K199" i="14" s="1"/>
  <c r="AG81" i="13"/>
  <c r="AG102" i="13"/>
  <c r="I84" i="1"/>
  <c r="I105" i="1"/>
  <c r="I77" i="1"/>
  <c r="I97" i="1"/>
  <c r="P149" i="1"/>
  <c r="P116" i="1"/>
  <c r="AU128" i="13"/>
  <c r="AU131" i="13" s="1"/>
  <c r="AU108" i="13"/>
  <c r="AU127" i="13" s="1"/>
  <c r="N272" i="14"/>
  <c r="N273" i="14" s="1"/>
  <c r="N270" i="14"/>
  <c r="N271" i="14" s="1"/>
  <c r="N274" i="14"/>
  <c r="N275" i="14" s="1"/>
  <c r="T264" i="14"/>
  <c r="T269" i="14"/>
  <c r="H199" i="1"/>
  <c r="H101" i="1"/>
  <c r="H169" i="1"/>
  <c r="H118" i="1"/>
  <c r="H182" i="1"/>
  <c r="H138" i="1"/>
  <c r="AS201" i="13"/>
  <c r="AS116" i="13"/>
  <c r="AS286" i="13" s="1"/>
  <c r="AS154" i="13"/>
  <c r="BH115" i="13"/>
  <c r="BH136" i="13"/>
  <c r="BH137" i="13" s="1"/>
  <c r="BH174" i="13"/>
  <c r="BH200" i="13"/>
  <c r="BH162" i="13"/>
  <c r="I122" i="1"/>
  <c r="U83" i="13"/>
  <c r="U104" i="13"/>
  <c r="U107" i="13"/>
  <c r="U126" i="13" s="1"/>
  <c r="U86" i="13"/>
  <c r="BA123" i="13"/>
  <c r="G88" i="1"/>
  <c r="G109" i="1"/>
  <c r="AQ115" i="13"/>
  <c r="AQ162" i="13"/>
  <c r="AQ136" i="13"/>
  <c r="AQ174" i="13"/>
  <c r="AQ200" i="13"/>
  <c r="AB81" i="13"/>
  <c r="AB102" i="13"/>
  <c r="BF123" i="13"/>
  <c r="R159" i="1"/>
  <c r="R171" i="1"/>
  <c r="R134" i="1"/>
  <c r="R135" i="1" s="1"/>
  <c r="R114" i="1"/>
  <c r="R197" i="1"/>
  <c r="AF137" i="13"/>
  <c r="AF118" i="13"/>
  <c r="AF287" i="13" s="1"/>
  <c r="H263" i="14"/>
  <c r="H249" i="14"/>
  <c r="S128" i="14"/>
  <c r="S131" i="14" s="1"/>
  <c r="S108" i="14"/>
  <c r="S127" i="14" s="1"/>
  <c r="AJ140" i="13"/>
  <c r="AJ202" i="13"/>
  <c r="AJ119" i="13"/>
  <c r="AJ185" i="13"/>
  <c r="AJ153" i="13" s="1"/>
  <c r="AJ101" i="13"/>
  <c r="E86" i="1"/>
  <c r="E107" i="1"/>
  <c r="E125" i="1" s="1"/>
  <c r="E89" i="1"/>
  <c r="E110" i="1"/>
  <c r="E128" i="1" s="1"/>
  <c r="BG170" i="13"/>
  <c r="BB123" i="13"/>
  <c r="Q81" i="1"/>
  <c r="Q102" i="1"/>
  <c r="AL88" i="13"/>
  <c r="AL109" i="13"/>
  <c r="L150" i="1"/>
  <c r="N224" i="14"/>
  <c r="N225" i="14" s="1"/>
  <c r="N236" i="14"/>
  <c r="N237" i="14" s="1"/>
  <c r="N212" i="14"/>
  <c r="K119" i="13"/>
  <c r="K185" i="13"/>
  <c r="K202" i="13"/>
  <c r="K101" i="13"/>
  <c r="B135" i="1"/>
  <c r="AY123" i="13"/>
  <c r="BF115" i="13"/>
  <c r="BF162" i="13"/>
  <c r="BF174" i="13"/>
  <c r="BF136" i="13"/>
  <c r="BF137" i="13" s="1"/>
  <c r="BF200" i="13"/>
  <c r="BD90" i="13"/>
  <c r="BD92" i="13" s="1"/>
  <c r="N88" i="1"/>
  <c r="N109" i="1"/>
  <c r="F78" i="13"/>
  <c r="F98" i="13"/>
  <c r="AI125" i="13"/>
  <c r="AI142" i="13"/>
  <c r="N79" i="1"/>
  <c r="N99" i="1"/>
  <c r="S100" i="1"/>
  <c r="S143" i="1"/>
  <c r="S172" i="1" s="1"/>
  <c r="AZ149" i="13"/>
  <c r="AZ173" i="13"/>
  <c r="AZ145" i="13"/>
  <c r="AZ164" i="13"/>
  <c r="AZ163" i="13"/>
  <c r="O100" i="14"/>
  <c r="O146" i="14"/>
  <c r="O175" i="14" s="1"/>
  <c r="J81" i="13"/>
  <c r="J102" i="13"/>
  <c r="R207" i="14"/>
  <c r="R208" i="14" s="1"/>
  <c r="R205" i="14"/>
  <c r="R206" i="14" s="1"/>
  <c r="R210" i="14"/>
  <c r="BA117" i="13"/>
  <c r="BA152" i="13"/>
  <c r="Q109" i="14"/>
  <c r="Q88" i="14"/>
  <c r="AQ124" i="13"/>
  <c r="AQ167" i="13"/>
  <c r="AQ196" i="13"/>
  <c r="AQ204" i="13" s="1"/>
  <c r="C139" i="14"/>
  <c r="C189" i="14"/>
  <c r="C138" i="14"/>
  <c r="C199" i="14" s="1"/>
  <c r="C219" i="14" s="1"/>
  <c r="C120" i="14"/>
  <c r="C130" i="14" s="1"/>
  <c r="C132" i="14" s="1"/>
  <c r="B189" i="14"/>
  <c r="B120" i="14"/>
  <c r="B138" i="14"/>
  <c r="B199" i="14" s="1"/>
  <c r="B139" i="14"/>
  <c r="AV123" i="15"/>
  <c r="AY264" i="13"/>
  <c r="AY269" i="13"/>
  <c r="J78" i="13"/>
  <c r="J98" i="13"/>
  <c r="F79" i="1"/>
  <c r="F99" i="1"/>
  <c r="F159" i="1" s="1"/>
  <c r="AJ272" i="13"/>
  <c r="AJ273" i="13" s="1"/>
  <c r="AJ270" i="13"/>
  <c r="AJ271" i="13" s="1"/>
  <c r="AJ274" i="13"/>
  <c r="AJ275" i="13" s="1"/>
  <c r="B137" i="13"/>
  <c r="AW123" i="13"/>
  <c r="AO99" i="13"/>
  <c r="AO79" i="13"/>
  <c r="AO90" i="13" s="1"/>
  <c r="AO92" i="13" s="1"/>
  <c r="BI121" i="13"/>
  <c r="Q80" i="14"/>
  <c r="M210" i="13"/>
  <c r="M207" i="13"/>
  <c r="M208" i="13" s="1"/>
  <c r="M205" i="13"/>
  <c r="M206" i="13" s="1"/>
  <c r="S170" i="14"/>
  <c r="AG76" i="13"/>
  <c r="AG73" i="13"/>
  <c r="AG96" i="13"/>
  <c r="AG283" i="13" s="1"/>
  <c r="H100" i="14"/>
  <c r="H146" i="14" s="1"/>
  <c r="H175" i="14" s="1"/>
  <c r="Z123" i="13"/>
  <c r="G82" i="14"/>
  <c r="G103" i="14"/>
  <c r="G122" i="14" s="1"/>
  <c r="BC82" i="13"/>
  <c r="BC103" i="13"/>
  <c r="BC122" i="13" s="1"/>
  <c r="B130" i="14"/>
  <c r="B132" i="14" s="1"/>
  <c r="AG106" i="13"/>
  <c r="AG85" i="13"/>
  <c r="I80" i="1"/>
  <c r="R124" i="1"/>
  <c r="O167" i="1"/>
  <c r="O135" i="1"/>
  <c r="N267" i="14"/>
  <c r="N268" i="14" s="1"/>
  <c r="N265" i="14"/>
  <c r="N266" i="14" s="1"/>
  <c r="AH123" i="13"/>
  <c r="H143" i="1"/>
  <c r="H172" i="1" s="1"/>
  <c r="U82" i="13"/>
  <c r="U103" i="13"/>
  <c r="U122" i="13" s="1"/>
  <c r="U106" i="13"/>
  <c r="U85" i="13"/>
  <c r="P210" i="13"/>
  <c r="P205" i="13"/>
  <c r="P206" i="13" s="1"/>
  <c r="P207" i="13"/>
  <c r="P208" i="13" s="1"/>
  <c r="G84" i="1"/>
  <c r="G105" i="1"/>
  <c r="AM269" i="13"/>
  <c r="AM264" i="13"/>
  <c r="AB82" i="13"/>
  <c r="AB103" i="13"/>
  <c r="AB122" i="13" s="1"/>
  <c r="R90" i="1"/>
  <c r="R92" i="1" s="1"/>
  <c r="BF143" i="13"/>
  <c r="BF198" i="13" s="1"/>
  <c r="BE154" i="13"/>
  <c r="BE170" i="13" s="1"/>
  <c r="BE201" i="13"/>
  <c r="BE116" i="13"/>
  <c r="BE286" i="13" s="1"/>
  <c r="H142" i="14"/>
  <c r="H143" i="14" s="1"/>
  <c r="H198" i="14" s="1"/>
  <c r="W121" i="13"/>
  <c r="G73" i="1"/>
  <c r="AH121" i="13"/>
  <c r="AM121" i="13"/>
  <c r="E83" i="1"/>
  <c r="E104" i="1"/>
  <c r="AR172" i="13"/>
  <c r="BJ131" i="13"/>
  <c r="Q77" i="1"/>
  <c r="Q90" i="1" s="1"/>
  <c r="Q92" i="1" s="1"/>
  <c r="Q97" i="1"/>
  <c r="AL77" i="13"/>
  <c r="AL97" i="13"/>
  <c r="R116" i="1"/>
  <c r="R149" i="1"/>
  <c r="K194" i="1"/>
  <c r="K141" i="1"/>
  <c r="K195" i="1" s="1"/>
  <c r="K140" i="1"/>
  <c r="K193" i="1"/>
  <c r="K201" i="1" s="1"/>
  <c r="P135" i="1"/>
  <c r="P117" i="1"/>
  <c r="BF90" i="13"/>
  <c r="BF92" i="13" s="1"/>
  <c r="N80" i="1"/>
  <c r="F81" i="13"/>
  <c r="F102" i="13"/>
  <c r="H119" i="13"/>
  <c r="H202" i="13"/>
  <c r="H185" i="13"/>
  <c r="H153" i="13" s="1"/>
  <c r="H101" i="13"/>
  <c r="H140" i="13"/>
  <c r="C118" i="1"/>
  <c r="C182" i="1"/>
  <c r="C150" i="1" s="1"/>
  <c r="C199" i="1"/>
  <c r="C101" i="1"/>
  <c r="L202" i="13"/>
  <c r="L119" i="13"/>
  <c r="L185" i="13"/>
  <c r="L101" i="13"/>
  <c r="L140" i="13" s="1"/>
  <c r="G174" i="14"/>
  <c r="G200" i="14"/>
  <c r="G115" i="14"/>
  <c r="BC114" i="15"/>
  <c r="BA102" i="15"/>
  <c r="AX105" i="15"/>
  <c r="T94" i="15"/>
  <c r="T101" i="15" s="1"/>
  <c r="BJ102" i="15"/>
  <c r="BF185" i="15"/>
  <c r="BI105" i="15"/>
  <c r="BB100" i="15"/>
  <c r="AQ109" i="15"/>
  <c r="W106" i="15"/>
  <c r="AM102" i="15"/>
  <c r="BG104" i="15"/>
  <c r="F73" i="1"/>
  <c r="Z109" i="15"/>
  <c r="AG101" i="15"/>
  <c r="BI109" i="15"/>
  <c r="AX110" i="15"/>
  <c r="AW109" i="15"/>
  <c r="BB109" i="15"/>
  <c r="BG153" i="15"/>
  <c r="AJ110" i="15"/>
  <c r="W109" i="15"/>
  <c r="AB101" i="15"/>
  <c r="Z98" i="15"/>
  <c r="AY120" i="15"/>
  <c r="AY155" i="15" s="1"/>
  <c r="BA110" i="15"/>
  <c r="AL111" i="15"/>
  <c r="AL114" i="15" s="1"/>
  <c r="AP153" i="15"/>
  <c r="AY99" i="15"/>
  <c r="BA153" i="15"/>
  <c r="BE110" i="15"/>
  <c r="BB111" i="15"/>
  <c r="BB114" i="15" s="1"/>
  <c r="AB110" i="15"/>
  <c r="BC98" i="15"/>
  <c r="D104" i="1"/>
  <c r="D83" i="1"/>
  <c r="J77" i="13"/>
  <c r="J97" i="13"/>
  <c r="J89" i="13"/>
  <c r="J110" i="13"/>
  <c r="J129" i="13" s="1"/>
  <c r="F105" i="1"/>
  <c r="F84" i="1"/>
  <c r="Q73" i="14"/>
  <c r="Q76" i="14"/>
  <c r="Q96" i="14"/>
  <c r="F114" i="1"/>
  <c r="F197" i="1"/>
  <c r="F171" i="1"/>
  <c r="AO86" i="13"/>
  <c r="AO107" i="13"/>
  <c r="AO126" i="13" s="1"/>
  <c r="P122" i="1"/>
  <c r="BB128" i="13"/>
  <c r="BB131" i="13" s="1"/>
  <c r="BB108" i="13"/>
  <c r="BB127" i="13" s="1"/>
  <c r="P128" i="14"/>
  <c r="P131" i="14" s="1"/>
  <c r="P108" i="14"/>
  <c r="P127" i="14" s="1"/>
  <c r="AI118" i="13"/>
  <c r="AI287" i="13" s="1"/>
  <c r="BI170" i="13"/>
  <c r="BB115" i="13"/>
  <c r="BB174" i="13"/>
  <c r="BB136" i="13"/>
  <c r="BB137" i="13" s="1"/>
  <c r="BB200" i="13"/>
  <c r="BB162" i="13"/>
  <c r="G78" i="14"/>
  <c r="G98" i="14"/>
  <c r="G79" i="14"/>
  <c r="G99" i="14"/>
  <c r="BC105" i="13"/>
  <c r="BC84" i="13"/>
  <c r="BH196" i="13"/>
  <c r="BH204" i="13" s="1"/>
  <c r="BH124" i="13"/>
  <c r="BH167" i="13"/>
  <c r="T111" i="1"/>
  <c r="T118" i="1"/>
  <c r="T199" i="1"/>
  <c r="T182" i="1"/>
  <c r="T101" i="1"/>
  <c r="T169" i="1"/>
  <c r="K153" i="14"/>
  <c r="I99" i="1"/>
  <c r="I79" i="1"/>
  <c r="AK269" i="13"/>
  <c r="AK264" i="13"/>
  <c r="AF115" i="13"/>
  <c r="AF136" i="13"/>
  <c r="AF174" i="13"/>
  <c r="AF200" i="13"/>
  <c r="AF162" i="13"/>
  <c r="C170" i="13"/>
  <c r="M137" i="14"/>
  <c r="M170" i="14"/>
  <c r="M250" i="14"/>
  <c r="M255" i="14"/>
  <c r="AE125" i="13"/>
  <c r="AE142" i="13"/>
  <c r="J182" i="1"/>
  <c r="J138" i="1"/>
  <c r="J199" i="1"/>
  <c r="J101" i="1"/>
  <c r="J118" i="1"/>
  <c r="AB86" i="13"/>
  <c r="AB107" i="13"/>
  <c r="AB126" i="13" s="1"/>
  <c r="AB83" i="13"/>
  <c r="AB104" i="13"/>
  <c r="M213" i="14"/>
  <c r="M211" i="14"/>
  <c r="W154" i="13"/>
  <c r="W170" i="13" s="1"/>
  <c r="W116" i="13"/>
  <c r="W286" i="13" s="1"/>
  <c r="W201" i="13"/>
  <c r="R198" i="1"/>
  <c r="R115" i="1"/>
  <c r="R151" i="1"/>
  <c r="R167" i="1" s="1"/>
  <c r="BD123" i="13"/>
  <c r="G114" i="1"/>
  <c r="G171" i="1"/>
  <c r="G197" i="1"/>
  <c r="E106" i="1"/>
  <c r="E85" i="1"/>
  <c r="W196" i="13"/>
  <c r="W204" i="13" s="1"/>
  <c r="W167" i="13"/>
  <c r="W124" i="13"/>
  <c r="BJ108" i="13"/>
  <c r="BJ127" i="13" s="1"/>
  <c r="Q107" i="1"/>
  <c r="Q125" i="1" s="1"/>
  <c r="Q86" i="1"/>
  <c r="Q105" i="1"/>
  <c r="Q84" i="1"/>
  <c r="AL78" i="13"/>
  <c r="AL98" i="13"/>
  <c r="L136" i="1"/>
  <c r="L196" i="1" s="1"/>
  <c r="L119" i="1"/>
  <c r="L129" i="1" s="1"/>
  <c r="L131" i="1" s="1"/>
  <c r="L186" i="1"/>
  <c r="L137" i="1"/>
  <c r="BJ142" i="13"/>
  <c r="BJ125" i="13"/>
  <c r="W128" i="13"/>
  <c r="W131" i="13" s="1"/>
  <c r="W108" i="13"/>
  <c r="W127" i="13" s="1"/>
  <c r="N96" i="1"/>
  <c r="N76" i="1"/>
  <c r="N73" i="1"/>
  <c r="F249" i="14"/>
  <c r="F263" i="14"/>
  <c r="F107" i="13"/>
  <c r="F126" i="13" s="1"/>
  <c r="F86" i="13"/>
  <c r="E73" i="1"/>
  <c r="AG185" i="15"/>
  <c r="Z101" i="15"/>
  <c r="AX111" i="15"/>
  <c r="W108" i="15"/>
  <c r="AG100" i="15"/>
  <c r="BJ109" i="15"/>
  <c r="AF112" i="15"/>
  <c r="AM101" i="15"/>
  <c r="AB105" i="15"/>
  <c r="BJ106" i="15"/>
  <c r="BB110" i="15"/>
  <c r="W112" i="15"/>
  <c r="BG109" i="15"/>
  <c r="BA109" i="15"/>
  <c r="AD94" i="15"/>
  <c r="AD107" i="15" s="1"/>
  <c r="BG106" i="15"/>
  <c r="C210" i="13"/>
  <c r="C207" i="13"/>
  <c r="C208" i="13" s="1"/>
  <c r="C205" i="13"/>
  <c r="C206" i="13" s="1"/>
  <c r="AD117" i="13"/>
  <c r="AD152" i="13"/>
  <c r="D89" i="1"/>
  <c r="D110" i="1"/>
  <c r="D128" i="1" s="1"/>
  <c r="BF152" i="13"/>
  <c r="BF117" i="13"/>
  <c r="J80" i="13"/>
  <c r="J79" i="13"/>
  <c r="J99" i="13"/>
  <c r="J162" i="13" s="1"/>
  <c r="F85" i="1"/>
  <c r="F106" i="1"/>
  <c r="F109" i="1"/>
  <c r="F88" i="1"/>
  <c r="BB154" i="13"/>
  <c r="BB170" i="13" s="1"/>
  <c r="BB201" i="13"/>
  <c r="BB116" i="13"/>
  <c r="BB286" i="13" s="1"/>
  <c r="AW115" i="13"/>
  <c r="AW200" i="13"/>
  <c r="AW174" i="13"/>
  <c r="AW162" i="13"/>
  <c r="AW136" i="13"/>
  <c r="AU207" i="13"/>
  <c r="AU208" i="13" s="1"/>
  <c r="AU205" i="13"/>
  <c r="AU206" i="13" s="1"/>
  <c r="AU210" i="13"/>
  <c r="AO77" i="13"/>
  <c r="AO97" i="13"/>
  <c r="AU264" i="13"/>
  <c r="AU269" i="13"/>
  <c r="W118" i="13"/>
  <c r="W287" i="13" s="1"/>
  <c r="W137" i="13"/>
  <c r="Q86" i="14"/>
  <c r="Q107" i="14"/>
  <c r="Q126" i="14" s="1"/>
  <c r="C137" i="13"/>
  <c r="BI172" i="13"/>
  <c r="C167" i="1"/>
  <c r="BE264" i="13"/>
  <c r="BE269" i="13"/>
  <c r="BB90" i="13"/>
  <c r="BB92" i="13" s="1"/>
  <c r="G80" i="14"/>
  <c r="G107" i="14"/>
  <c r="G126" i="14" s="1"/>
  <c r="G86" i="14"/>
  <c r="BC83" i="13"/>
  <c r="BC104" i="13"/>
  <c r="BC97" i="13"/>
  <c r="BC77" i="13"/>
  <c r="C140" i="14"/>
  <c r="AK185" i="13"/>
  <c r="AK153" i="13" s="1"/>
  <c r="AK202" i="13"/>
  <c r="AK119" i="13"/>
  <c r="AK140" i="13"/>
  <c r="AK101" i="13"/>
  <c r="AK111" i="13" s="1"/>
  <c r="K130" i="14"/>
  <c r="K132" i="14" s="1"/>
  <c r="AG88" i="13"/>
  <c r="AG109" i="13"/>
  <c r="I107" i="1"/>
  <c r="I125" i="1" s="1"/>
  <c r="I86" i="1"/>
  <c r="R122" i="1"/>
  <c r="AM118" i="13"/>
  <c r="AM287" i="13" s="1"/>
  <c r="AM137" i="13"/>
  <c r="AS108" i="13"/>
  <c r="AS127" i="13" s="1"/>
  <c r="AS128" i="13"/>
  <c r="AS131" i="13" s="1"/>
  <c r="T101" i="13"/>
  <c r="T140" i="13" s="1"/>
  <c r="M264" i="14"/>
  <c r="M269" i="14"/>
  <c r="U97" i="13"/>
  <c r="U77" i="13"/>
  <c r="BH152" i="13"/>
  <c r="BH117" i="13"/>
  <c r="S167" i="14"/>
  <c r="S196" i="14"/>
  <c r="S204" i="14" s="1"/>
  <c r="S124" i="14"/>
  <c r="G99" i="1"/>
  <c r="G79" i="1"/>
  <c r="Y162" i="13"/>
  <c r="Y174" i="13"/>
  <c r="Y115" i="13"/>
  <c r="Y200" i="13"/>
  <c r="Y136" i="13"/>
  <c r="AJ170" i="13"/>
  <c r="BI210" i="13"/>
  <c r="BI205" i="13"/>
  <c r="BI206" i="13" s="1"/>
  <c r="BI207" i="13"/>
  <c r="BI208" i="13" s="1"/>
  <c r="AB84" i="13"/>
  <c r="AB105" i="13"/>
  <c r="BA128" i="13"/>
  <c r="BA131" i="13" s="1"/>
  <c r="BA108" i="13"/>
  <c r="BA127" i="13" s="1"/>
  <c r="Z205" i="13"/>
  <c r="Z206" i="13" s="1"/>
  <c r="Z210" i="13"/>
  <c r="Z207" i="13"/>
  <c r="Z208" i="13" s="1"/>
  <c r="BB196" i="13"/>
  <c r="BB204" i="13" s="1"/>
  <c r="BB124" i="13"/>
  <c r="BB167" i="13"/>
  <c r="E81" i="1"/>
  <c r="E102" i="1"/>
  <c r="AR170" i="13"/>
  <c r="AK172" i="13"/>
  <c r="AH137" i="13"/>
  <c r="AH172" i="13" s="1"/>
  <c r="Q109" i="1"/>
  <c r="Q88" i="1"/>
  <c r="Q78" i="1"/>
  <c r="Q98" i="1"/>
  <c r="O196" i="14"/>
  <c r="O204" i="14" s="1"/>
  <c r="F118" i="13"/>
  <c r="F287" i="13" s="1"/>
  <c r="V143" i="13"/>
  <c r="V198" i="13" s="1"/>
  <c r="N213" i="14"/>
  <c r="BH123" i="13"/>
  <c r="AW118" i="13"/>
  <c r="AW287" i="13" s="1"/>
  <c r="B170" i="13"/>
  <c r="D171" i="1"/>
  <c r="D159" i="1"/>
  <c r="D114" i="1"/>
  <c r="D197" i="1"/>
  <c r="D134" i="1"/>
  <c r="N84" i="1"/>
  <c r="N105" i="1"/>
  <c r="F97" i="13"/>
  <c r="F77" i="13"/>
  <c r="E159" i="1"/>
  <c r="E114" i="1"/>
  <c r="E171" i="1"/>
  <c r="E197" i="1"/>
  <c r="AL115" i="13"/>
  <c r="AL162" i="13"/>
  <c r="AL136" i="13"/>
  <c r="AL174" i="13"/>
  <c r="AL200" i="13"/>
  <c r="AO115" i="13"/>
  <c r="AO174" i="13"/>
  <c r="AO162" i="13"/>
  <c r="AO200" i="13"/>
  <c r="AM153" i="15"/>
  <c r="Z105" i="15"/>
  <c r="AX108" i="15"/>
  <c r="AB111" i="15"/>
  <c r="AB114" i="15" s="1"/>
  <c r="BB105" i="15"/>
  <c r="P121" i="15"/>
  <c r="P182" i="15" s="1"/>
  <c r="AD150" i="15"/>
  <c r="AW108" i="15"/>
  <c r="BG99" i="15"/>
  <c r="AL110" i="15"/>
  <c r="BA99" i="15"/>
  <c r="BA100" i="15"/>
  <c r="BC101" i="15"/>
  <c r="BD99" i="15"/>
  <c r="AS153" i="15"/>
  <c r="AB102" i="15"/>
  <c r="BJ103" i="15"/>
  <c r="AB109" i="15"/>
  <c r="AB106" i="15"/>
  <c r="AA106" i="15"/>
  <c r="AK110" i="15"/>
  <c r="AY153" i="15"/>
  <c r="AE98" i="15"/>
  <c r="BC107" i="15"/>
  <c r="AL101" i="15"/>
  <c r="AS120" i="15"/>
  <c r="AS155" i="15" s="1"/>
  <c r="AM112" i="15"/>
  <c r="BE137" i="13"/>
  <c r="D85" i="1"/>
  <c r="D90" i="1" s="1"/>
  <c r="D92" i="1" s="1"/>
  <c r="D106" i="1"/>
  <c r="D107" i="1"/>
  <c r="D125" i="1" s="1"/>
  <c r="D86" i="1"/>
  <c r="AC196" i="13"/>
  <c r="AC204" i="13" s="1"/>
  <c r="AC124" i="13"/>
  <c r="AC167" i="13"/>
  <c r="J109" i="13"/>
  <c r="J88" i="13"/>
  <c r="J107" i="13"/>
  <c r="J126" i="13" s="1"/>
  <c r="J86" i="13"/>
  <c r="F77" i="1"/>
  <c r="F90" i="1" s="1"/>
  <c r="F92" i="1" s="1"/>
  <c r="F97" i="1"/>
  <c r="F98" i="1"/>
  <c r="F78" i="1"/>
  <c r="H137" i="13"/>
  <c r="P114" i="1"/>
  <c r="P197" i="1"/>
  <c r="P171" i="1"/>
  <c r="P134" i="1"/>
  <c r="P159" i="1"/>
  <c r="AK210" i="13"/>
  <c r="AK205" i="13"/>
  <c r="AK206" i="13" s="1"/>
  <c r="AK207" i="13"/>
  <c r="AK208" i="13" s="1"/>
  <c r="AW90" i="13"/>
  <c r="AW92" i="13" s="1"/>
  <c r="M143" i="1"/>
  <c r="M172" i="1" s="1"/>
  <c r="BB125" i="13"/>
  <c r="BB142" i="13"/>
  <c r="J140" i="14"/>
  <c r="AO80" i="13"/>
  <c r="BJ162" i="13"/>
  <c r="M167" i="1"/>
  <c r="M135" i="1"/>
  <c r="L142" i="1"/>
  <c r="L161" i="1"/>
  <c r="L170" i="1"/>
  <c r="L160" i="1"/>
  <c r="L146" i="1"/>
  <c r="L139" i="1"/>
  <c r="BF116" i="13"/>
  <c r="BF286" i="13" s="1"/>
  <c r="BF154" i="13"/>
  <c r="BF201" i="13"/>
  <c r="Q98" i="14"/>
  <c r="Q78" i="14"/>
  <c r="Q85" i="14"/>
  <c r="Q106" i="14"/>
  <c r="K211" i="13"/>
  <c r="AW121" i="13"/>
  <c r="G110" i="14"/>
  <c r="G129" i="14" s="1"/>
  <c r="G89" i="14"/>
  <c r="G77" i="14"/>
  <c r="G90" i="14" s="1"/>
  <c r="G92" i="14" s="1"/>
  <c r="G97" i="14"/>
  <c r="BC80" i="13"/>
  <c r="BC79" i="13"/>
  <c r="BC99" i="13"/>
  <c r="M185" i="14"/>
  <c r="M153" i="14" s="1"/>
  <c r="M202" i="14"/>
  <c r="M119" i="14"/>
  <c r="M140" i="14"/>
  <c r="M101" i="14"/>
  <c r="M172" i="14"/>
  <c r="AG99" i="13"/>
  <c r="AG79" i="13"/>
  <c r="I78" i="1"/>
  <c r="I98" i="1"/>
  <c r="AN137" i="13"/>
  <c r="AD162" i="13"/>
  <c r="AF90" i="13"/>
  <c r="AF92" i="13" s="1"/>
  <c r="BH125" i="13"/>
  <c r="BH142" i="13"/>
  <c r="C100" i="13"/>
  <c r="C146" i="13"/>
  <c r="C175" i="13" s="1"/>
  <c r="R123" i="1"/>
  <c r="R164" i="1"/>
  <c r="U88" i="13"/>
  <c r="U109" i="13"/>
  <c r="G146" i="13"/>
  <c r="G175" i="13" s="1"/>
  <c r="B214" i="14"/>
  <c r="B215" i="14" s="1"/>
  <c r="B277" i="14" s="1"/>
  <c r="B218" i="14"/>
  <c r="B219" i="14" s="1"/>
  <c r="B222" i="14"/>
  <c r="B223" i="14" s="1"/>
  <c r="B220" i="14"/>
  <c r="B221" i="14" s="1"/>
  <c r="B216" i="14"/>
  <c r="B217" i="14" s="1"/>
  <c r="G86" i="1"/>
  <c r="G107" i="1"/>
  <c r="G125" i="1" s="1"/>
  <c r="Y90" i="13"/>
  <c r="Y92" i="13" s="1"/>
  <c r="AJ137" i="13"/>
  <c r="AB78" i="13"/>
  <c r="AB90" i="13" s="1"/>
  <c r="AB92" i="13" s="1"/>
  <c r="AB98" i="13"/>
  <c r="AB106" i="13"/>
  <c r="AB85" i="13"/>
  <c r="B100" i="1"/>
  <c r="F196" i="14"/>
  <c r="F204" i="14" s="1"/>
  <c r="E202" i="14"/>
  <c r="E185" i="14"/>
  <c r="E119" i="14"/>
  <c r="E101" i="14"/>
  <c r="B202" i="13"/>
  <c r="B119" i="13"/>
  <c r="B101" i="13"/>
  <c r="B185" i="13"/>
  <c r="B153" i="13" s="1"/>
  <c r="E172" i="14"/>
  <c r="E212" i="14"/>
  <c r="E224" i="14"/>
  <c r="E225" i="14" s="1"/>
  <c r="E236" i="14" s="1"/>
  <c r="E237" i="14" s="1"/>
  <c r="BA207" i="13"/>
  <c r="BA208" i="13" s="1"/>
  <c r="BA205" i="13"/>
  <c r="BA206" i="13" s="1"/>
  <c r="BA210" i="13"/>
  <c r="E77" i="1"/>
  <c r="E90" i="1" s="1"/>
  <c r="E92" i="1" s="1"/>
  <c r="E97" i="1"/>
  <c r="AB73" i="13"/>
  <c r="P137" i="13"/>
  <c r="Q82" i="1"/>
  <c r="Q103" i="1"/>
  <c r="Q121" i="1" s="1"/>
  <c r="AL83" i="13"/>
  <c r="AL104" i="13"/>
  <c r="AL105" i="13"/>
  <c r="AL84" i="13"/>
  <c r="AI136" i="13"/>
  <c r="AI170" i="13" s="1"/>
  <c r="BJ123" i="13"/>
  <c r="AC123" i="13"/>
  <c r="AF201" i="13"/>
  <c r="AF116" i="13"/>
  <c r="AF286" i="13" s="1"/>
  <c r="AF154" i="13"/>
  <c r="AF170" i="13" s="1"/>
  <c r="D73" i="1"/>
  <c r="N168" i="14"/>
  <c r="N151" i="14"/>
  <c r="N188" i="14"/>
  <c r="N97" i="1"/>
  <c r="N77" i="1"/>
  <c r="N86" i="1"/>
  <c r="N107" i="1"/>
  <c r="N125" i="1" s="1"/>
  <c r="S202" i="13"/>
  <c r="S185" i="13"/>
  <c r="S119" i="13"/>
  <c r="S101" i="13"/>
  <c r="S140" i="13"/>
  <c r="S111" i="13"/>
  <c r="S172" i="13"/>
  <c r="BA154" i="13"/>
  <c r="BA170" i="13" s="1"/>
  <c r="BA116" i="13"/>
  <c r="BA286" i="13" s="1"/>
  <c r="BA201" i="13"/>
  <c r="F89" i="13"/>
  <c r="F110" i="13"/>
  <c r="F129" i="13" s="1"/>
  <c r="AZ124" i="15"/>
  <c r="AZ132" i="15"/>
  <c r="AZ147" i="15"/>
  <c r="AZ156" i="15"/>
  <c r="AZ146" i="15"/>
  <c r="AZ128" i="15"/>
  <c r="AZ106" i="15"/>
  <c r="AZ100" i="15"/>
  <c r="AZ109" i="15"/>
  <c r="BD106" i="15"/>
  <c r="BK110" i="15"/>
  <c r="AZ99" i="15"/>
  <c r="AA107" i="15"/>
  <c r="Z111" i="15"/>
  <c r="AW153" i="15"/>
  <c r="BH101" i="15"/>
  <c r="AH128" i="15"/>
  <c r="AH146" i="15"/>
  <c r="AH132" i="15"/>
  <c r="AH124" i="15"/>
  <c r="AH147" i="15"/>
  <c r="AH156" i="15"/>
  <c r="AH112" i="15"/>
  <c r="AH107" i="15"/>
  <c r="AH103" i="15"/>
  <c r="AH98" i="15"/>
  <c r="AH104" i="15"/>
  <c r="Z106" i="15"/>
  <c r="Y146" i="15"/>
  <c r="Y124" i="15"/>
  <c r="Y147" i="15"/>
  <c r="Y156" i="15"/>
  <c r="Y128" i="15"/>
  <c r="Y132" i="15"/>
  <c r="Y167" i="15" s="1"/>
  <c r="Y101" i="15"/>
  <c r="Y106" i="15"/>
  <c r="Y104" i="15"/>
  <c r="Y100" i="15"/>
  <c r="AC128" i="15"/>
  <c r="AC132" i="15"/>
  <c r="AC167" i="15" s="1"/>
  <c r="AC156" i="15"/>
  <c r="AC146" i="15"/>
  <c r="AC147" i="15"/>
  <c r="AC124" i="15"/>
  <c r="AC103" i="15"/>
  <c r="AC112" i="15"/>
  <c r="AC100" i="15"/>
  <c r="AC108" i="15"/>
  <c r="AC104" i="15"/>
  <c r="AQ120" i="15"/>
  <c r="Y107" i="15"/>
  <c r="AC107" i="15"/>
  <c r="X124" i="15"/>
  <c r="X132" i="15"/>
  <c r="X167" i="15" s="1"/>
  <c r="X147" i="15"/>
  <c r="X156" i="15"/>
  <c r="X128" i="15"/>
  <c r="X146" i="15"/>
  <c r="X109" i="15"/>
  <c r="X102" i="15"/>
  <c r="X107" i="15"/>
  <c r="X99" i="15"/>
  <c r="AI124" i="15"/>
  <c r="AI132" i="15"/>
  <c r="AI147" i="15"/>
  <c r="AI128" i="15"/>
  <c r="AI146" i="15"/>
  <c r="AI156" i="15"/>
  <c r="AI111" i="15"/>
  <c r="AI112" i="15"/>
  <c r="AI103" i="15"/>
  <c r="AI102" i="15"/>
  <c r="V107" i="15"/>
  <c r="AR124" i="15"/>
  <c r="AR132" i="15"/>
  <c r="AR167" i="15" s="1"/>
  <c r="AR147" i="15"/>
  <c r="AR156" i="15"/>
  <c r="AR146" i="15"/>
  <c r="AR128" i="15"/>
  <c r="AR105" i="15"/>
  <c r="AR108" i="15"/>
  <c r="AR101" i="15"/>
  <c r="AR103" i="15"/>
  <c r="AR109" i="15"/>
  <c r="AR99" i="15"/>
  <c r="U120" i="15"/>
  <c r="X108" i="15"/>
  <c r="AN103" i="15"/>
  <c r="AO91" i="15"/>
  <c r="AO137" i="15"/>
  <c r="AO184" i="15"/>
  <c r="BH104" i="15"/>
  <c r="BK124" i="15"/>
  <c r="BK132" i="15"/>
  <c r="BK147" i="15"/>
  <c r="BK128" i="15"/>
  <c r="BK146" i="15"/>
  <c r="BK156" i="15"/>
  <c r="BK105" i="15"/>
  <c r="BK109" i="15"/>
  <c r="BK106" i="15"/>
  <c r="BK99" i="15"/>
  <c r="AI105" i="15"/>
  <c r="V102" i="15"/>
  <c r="V112" i="15"/>
  <c r="V114" i="15" s="1"/>
  <c r="AD155" i="15"/>
  <c r="AR107" i="15"/>
  <c r="AF124" i="15"/>
  <c r="AF132" i="15"/>
  <c r="AF147" i="15"/>
  <c r="AF156" i="15"/>
  <c r="AF128" i="15"/>
  <c r="AF146" i="15"/>
  <c r="AF105" i="15"/>
  <c r="AF101" i="15"/>
  <c r="AF103" i="15"/>
  <c r="AF111" i="15"/>
  <c r="AF108" i="15"/>
  <c r="U128" i="15"/>
  <c r="U132" i="15"/>
  <c r="U156" i="15"/>
  <c r="U146" i="15"/>
  <c r="U147" i="15"/>
  <c r="U124" i="15"/>
  <c r="U104" i="15"/>
  <c r="U108" i="15"/>
  <c r="U100" i="15"/>
  <c r="U103" i="15"/>
  <c r="U99" i="15"/>
  <c r="Y120" i="15"/>
  <c r="Y98" i="15"/>
  <c r="Y153" i="15"/>
  <c r="AN98" i="15"/>
  <c r="AN102" i="15"/>
  <c r="AC98" i="15"/>
  <c r="AC106" i="15"/>
  <c r="AW146" i="15"/>
  <c r="AW124" i="15"/>
  <c r="AW147" i="15"/>
  <c r="AW156" i="15"/>
  <c r="AW128" i="15"/>
  <c r="AW132" i="15"/>
  <c r="AW111" i="15"/>
  <c r="AW107" i="15"/>
  <c r="AW104" i="15"/>
  <c r="AW106" i="15"/>
  <c r="AW100" i="15"/>
  <c r="AW99" i="15"/>
  <c r="AJ167" i="15"/>
  <c r="AJ185" i="15"/>
  <c r="AW110" i="15"/>
  <c r="BH98" i="15"/>
  <c r="AC110" i="15"/>
  <c r="AG146" i="15"/>
  <c r="AG124" i="15"/>
  <c r="AG147" i="15"/>
  <c r="AG156" i="15"/>
  <c r="AG128" i="15"/>
  <c r="AG132" i="15"/>
  <c r="AG167" i="15" s="1"/>
  <c r="AG134" i="15" s="1"/>
  <c r="AG99" i="15"/>
  <c r="AG105" i="15"/>
  <c r="AG111" i="15"/>
  <c r="AV98" i="15"/>
  <c r="AT128" i="15"/>
  <c r="AT146" i="15"/>
  <c r="AT124" i="15"/>
  <c r="AT147" i="15"/>
  <c r="AT132" i="15"/>
  <c r="AT167" i="15" s="1"/>
  <c r="AT156" i="15"/>
  <c r="AT112" i="15"/>
  <c r="AT114" i="15" s="1"/>
  <c r="AT101" i="15"/>
  <c r="AT107" i="15"/>
  <c r="AT100" i="15"/>
  <c r="AR106" i="15"/>
  <c r="AF106" i="15"/>
  <c r="X98" i="15"/>
  <c r="AC153" i="15"/>
  <c r="BK102" i="15"/>
  <c r="AA120" i="15"/>
  <c r="AG106" i="15"/>
  <c r="AV100" i="15"/>
  <c r="AT110" i="15"/>
  <c r="AT108" i="15"/>
  <c r="V103" i="15"/>
  <c r="V104" i="15"/>
  <c r="AE120" i="15"/>
  <c r="AE185" i="15"/>
  <c r="AR98" i="15"/>
  <c r="AF104" i="15"/>
  <c r="AF102" i="15"/>
  <c r="U101" i="15"/>
  <c r="Y102" i="15"/>
  <c r="X105" i="15"/>
  <c r="AN104" i="15"/>
  <c r="AC185" i="15"/>
  <c r="AC109" i="15"/>
  <c r="AW101" i="15"/>
  <c r="AO135" i="15"/>
  <c r="AS128" i="15"/>
  <c r="AS132" i="15"/>
  <c r="AS156" i="15"/>
  <c r="AS146" i="15"/>
  <c r="AS124" i="15"/>
  <c r="AS147" i="15"/>
  <c r="AS111" i="15"/>
  <c r="AS112" i="15"/>
  <c r="AS103" i="15"/>
  <c r="AS104" i="15"/>
  <c r="AS109" i="15"/>
  <c r="AS101" i="15"/>
  <c r="W185" i="15"/>
  <c r="W153" i="15"/>
  <c r="BH111" i="15"/>
  <c r="AG102" i="15"/>
  <c r="AT109" i="15"/>
  <c r="AI106" i="15"/>
  <c r="V99" i="15"/>
  <c r="V120" i="15"/>
  <c r="BJ155" i="15"/>
  <c r="AR112" i="15"/>
  <c r="AF98" i="15"/>
  <c r="U98" i="15"/>
  <c r="U106" i="15"/>
  <c r="Y105" i="15"/>
  <c r="Y99" i="15"/>
  <c r="AX167" i="15"/>
  <c r="BC155" i="15"/>
  <c r="X100" i="15"/>
  <c r="AN112" i="15"/>
  <c r="AC105" i="15"/>
  <c r="BB155" i="15"/>
  <c r="AJ120" i="15"/>
  <c r="AJ124" i="15"/>
  <c r="AJ132" i="15"/>
  <c r="AJ147" i="15"/>
  <c r="AJ156" i="15"/>
  <c r="AJ146" i="15"/>
  <c r="AJ128" i="15"/>
  <c r="AJ100" i="15"/>
  <c r="AJ107" i="15"/>
  <c r="AJ103" i="15"/>
  <c r="AJ102" i="15"/>
  <c r="BH112" i="15"/>
  <c r="BH106" i="15"/>
  <c r="AQ124" i="15"/>
  <c r="AQ132" i="15"/>
  <c r="AQ167" i="15" s="1"/>
  <c r="AQ147" i="15"/>
  <c r="AQ128" i="15"/>
  <c r="AQ146" i="15"/>
  <c r="AQ156" i="15"/>
  <c r="AQ105" i="15"/>
  <c r="AQ99" i="15"/>
  <c r="AQ101" i="15"/>
  <c r="AQ106" i="15"/>
  <c r="BK120" i="15"/>
  <c r="AM155" i="15"/>
  <c r="AG98" i="15"/>
  <c r="AS110" i="15"/>
  <c r="Y112" i="15"/>
  <c r="AN107" i="15"/>
  <c r="AC99" i="15"/>
  <c r="AA124" i="15"/>
  <c r="AA132" i="15"/>
  <c r="AA147" i="15"/>
  <c r="AA128" i="15"/>
  <c r="AA146" i="15"/>
  <c r="AA156" i="15"/>
  <c r="AA108" i="15"/>
  <c r="AA112" i="15"/>
  <c r="AA114" i="15" s="1"/>
  <c r="AG104" i="15"/>
  <c r="AV155" i="15"/>
  <c r="AV108" i="15"/>
  <c r="AV111" i="15"/>
  <c r="AV114" i="15" s="1"/>
  <c r="AK114" i="15"/>
  <c r="AT103" i="15"/>
  <c r="AI185" i="15"/>
  <c r="AI101" i="15"/>
  <c r="AI108" i="15"/>
  <c r="AU124" i="15"/>
  <c r="AU132" i="15"/>
  <c r="AU147" i="15"/>
  <c r="AU128" i="15"/>
  <c r="AU146" i="15"/>
  <c r="AU156" i="15"/>
  <c r="AU101" i="15"/>
  <c r="AU111" i="15"/>
  <c r="AU104" i="15"/>
  <c r="AU99" i="15"/>
  <c r="AU102" i="15"/>
  <c r="AR111" i="15"/>
  <c r="AR114" i="15" s="1"/>
  <c r="AF109" i="15"/>
  <c r="U102" i="15"/>
  <c r="Y185" i="15"/>
  <c r="Y109" i="15"/>
  <c r="Y108" i="15"/>
  <c r="AX120" i="15"/>
  <c r="AX185" i="15"/>
  <c r="X111" i="15"/>
  <c r="AN100" i="15"/>
  <c r="AC101" i="15"/>
  <c r="AW112" i="15"/>
  <c r="AQ100" i="15"/>
  <c r="AQ112" i="15"/>
  <c r="AO150" i="15"/>
  <c r="AO122" i="15"/>
  <c r="AO121" i="15"/>
  <c r="AO182" i="15" s="1"/>
  <c r="AO101" i="15"/>
  <c r="AO123" i="15"/>
  <c r="AO168" i="15"/>
  <c r="AO136" i="15" s="1"/>
  <c r="AJ153" i="15"/>
  <c r="AS98" i="15"/>
  <c r="BH110" i="15"/>
  <c r="AA105" i="15"/>
  <c r="AG155" i="15"/>
  <c r="AV104" i="15"/>
  <c r="AV102" i="15"/>
  <c r="AI100" i="15"/>
  <c r="V98" i="15"/>
  <c r="AU100" i="15"/>
  <c r="AU112" i="15"/>
  <c r="AF107" i="15"/>
  <c r="U105" i="15"/>
  <c r="U111" i="15"/>
  <c r="BI120" i="15"/>
  <c r="BI128" i="15"/>
  <c r="BI132" i="15"/>
  <c r="BI156" i="15"/>
  <c r="BI146" i="15"/>
  <c r="BI147" i="15"/>
  <c r="BI124" i="15"/>
  <c r="BI106" i="15"/>
  <c r="BI108" i="15"/>
  <c r="BI100" i="15"/>
  <c r="BI107" i="15"/>
  <c r="BI101" i="15"/>
  <c r="AX128" i="15"/>
  <c r="AX146" i="15"/>
  <c r="AX132" i="15"/>
  <c r="AX124" i="15"/>
  <c r="AX147" i="15"/>
  <c r="AX156" i="15"/>
  <c r="AX99" i="15"/>
  <c r="AX100" i="15"/>
  <c r="AX109" i="15"/>
  <c r="X112" i="15"/>
  <c r="AN120" i="15"/>
  <c r="AN185" i="15"/>
  <c r="AW98" i="15"/>
  <c r="AQ107" i="15"/>
  <c r="AJ101" i="15"/>
  <c r="AJ98" i="15"/>
  <c r="AB185" i="15"/>
  <c r="BH99" i="15"/>
  <c r="BK103" i="15"/>
  <c r="BI103" i="15"/>
  <c r="AH114" i="15"/>
  <c r="BI111" i="15"/>
  <c r="BI114" i="15" s="1"/>
  <c r="AJ112" i="15"/>
  <c r="AB120" i="15"/>
  <c r="BK101" i="15"/>
  <c r="AA153" i="15"/>
  <c r="Z128" i="15"/>
  <c r="Z146" i="15"/>
  <c r="Z132" i="15"/>
  <c r="Z167" i="15" s="1"/>
  <c r="Z124" i="15"/>
  <c r="Z147" i="15"/>
  <c r="Z156" i="15"/>
  <c r="Z112" i="15"/>
  <c r="AG112" i="15"/>
  <c r="AT120" i="15"/>
  <c r="AI99" i="15"/>
  <c r="AX107" i="15"/>
  <c r="X185" i="15"/>
  <c r="AW105" i="15"/>
  <c r="AQ185" i="15"/>
  <c r="BK185" i="15"/>
  <c r="BK104" i="15"/>
  <c r="AA109" i="15"/>
  <c r="Z185" i="15"/>
  <c r="Z104" i="15"/>
  <c r="AV101" i="15"/>
  <c r="AV110" i="15"/>
  <c r="AT105" i="15"/>
  <c r="AI98" i="15"/>
  <c r="AI109" i="15"/>
  <c r="V105" i="15"/>
  <c r="AU107" i="15"/>
  <c r="AU108" i="15"/>
  <c r="AE124" i="15"/>
  <c r="AE132" i="15"/>
  <c r="AE147" i="15"/>
  <c r="AE128" i="15"/>
  <c r="AE146" i="15"/>
  <c r="AE156" i="15"/>
  <c r="AE102" i="15"/>
  <c r="AE99" i="15"/>
  <c r="AE101" i="15"/>
  <c r="AE111" i="15"/>
  <c r="AE114" i="15" s="1"/>
  <c r="AR104" i="15"/>
  <c r="AR120" i="15"/>
  <c r="AR110" i="15"/>
  <c r="U185" i="15"/>
  <c r="U109" i="15"/>
  <c r="U107" i="15"/>
  <c r="BI185" i="15"/>
  <c r="AX101" i="15"/>
  <c r="AX102" i="15"/>
  <c r="X120" i="15"/>
  <c r="X110" i="15"/>
  <c r="BD124" i="15"/>
  <c r="BD132" i="15"/>
  <c r="BD147" i="15"/>
  <c r="BD156" i="15"/>
  <c r="BD128" i="15"/>
  <c r="BD146" i="15"/>
  <c r="BD107" i="15"/>
  <c r="BD104" i="15"/>
  <c r="BD100" i="15"/>
  <c r="BD112" i="15"/>
  <c r="BD114" i="15" s="1"/>
  <c r="BD103" i="15"/>
  <c r="AC120" i="15"/>
  <c r="AW102" i="15"/>
  <c r="AL155" i="15"/>
  <c r="AO172" i="15"/>
  <c r="AO145" i="15"/>
  <c r="AO94" i="15"/>
  <c r="AO100" i="15" s="1"/>
  <c r="AO157" i="15"/>
  <c r="AO119" i="15"/>
  <c r="AO120" i="15" s="1"/>
  <c r="AO183" i="15"/>
  <c r="AJ99" i="15"/>
  <c r="AJ108" i="15"/>
  <c r="AS105" i="15"/>
  <c r="W124" i="15"/>
  <c r="W132" i="15"/>
  <c r="W147" i="15"/>
  <c r="W128" i="15"/>
  <c r="W146" i="15"/>
  <c r="W156" i="15"/>
  <c r="W105" i="15"/>
  <c r="W104" i="15"/>
  <c r="W111" i="15"/>
  <c r="W114" i="15" s="1"/>
  <c r="W101" i="15"/>
  <c r="W102" i="15"/>
  <c r="W99" i="15"/>
  <c r="AB124" i="15"/>
  <c r="AB132" i="15"/>
  <c r="AB147" i="15"/>
  <c r="AB156" i="15"/>
  <c r="AB146" i="15"/>
  <c r="AB128" i="15"/>
  <c r="AB108" i="15"/>
  <c r="AB100" i="15"/>
  <c r="AB99" i="15"/>
  <c r="BK98" i="15"/>
  <c r="BK113" i="15" s="1"/>
  <c r="AZ101" i="15"/>
  <c r="AZ98" i="15"/>
  <c r="BB185" i="15"/>
  <c r="AB103" i="15"/>
  <c r="BH108" i="15"/>
  <c r="AH155" i="15"/>
  <c r="Z110" i="15"/>
  <c r="AG109" i="15"/>
  <c r="AD146" i="15"/>
  <c r="AD124" i="15"/>
  <c r="AD147" i="15"/>
  <c r="AD132" i="15"/>
  <c r="AD167" i="15" s="1"/>
  <c r="AD156" i="15"/>
  <c r="AD104" i="15"/>
  <c r="AD102" i="15"/>
  <c r="AD99" i="15"/>
  <c r="AD185" i="15"/>
  <c r="BI153" i="15"/>
  <c r="AX106" i="15"/>
  <c r="X103" i="15"/>
  <c r="BD110" i="15"/>
  <c r="AA110" i="15"/>
  <c r="Z99" i="15"/>
  <c r="AG153" i="15"/>
  <c r="V128" i="15"/>
  <c r="V146" i="15"/>
  <c r="V124" i="15"/>
  <c r="V147" i="15"/>
  <c r="V132" i="15"/>
  <c r="V167" i="15" s="1"/>
  <c r="V156" i="15"/>
  <c r="V108" i="15"/>
  <c r="V101" i="15"/>
  <c r="V109" i="15"/>
  <c r="V106" i="15"/>
  <c r="V100" i="15"/>
  <c r="AF167" i="15"/>
  <c r="AF120" i="15"/>
  <c r="AX114" i="15"/>
  <c r="AN124" i="15"/>
  <c r="AN132" i="15"/>
  <c r="AN147" i="15"/>
  <c r="AN156" i="15"/>
  <c r="AN128" i="15"/>
  <c r="AN146" i="15"/>
  <c r="AN109" i="15"/>
  <c r="AN111" i="15"/>
  <c r="AN105" i="15"/>
  <c r="AN99" i="15"/>
  <c r="AN108" i="15"/>
  <c r="AN101" i="15"/>
  <c r="AW167" i="15"/>
  <c r="AJ114" i="15"/>
  <c r="BH124" i="15"/>
  <c r="BH132" i="15"/>
  <c r="BH147" i="15"/>
  <c r="BH156" i="15"/>
  <c r="BH146" i="15"/>
  <c r="BH128" i="15"/>
  <c r="BH100" i="15"/>
  <c r="BH103" i="15"/>
  <c r="BH109" i="15"/>
  <c r="AC111" i="15"/>
  <c r="AC114" i="15" s="1"/>
  <c r="AV124" i="15"/>
  <c r="AV132" i="15"/>
  <c r="AV167" i="15" s="1"/>
  <c r="AV147" i="15"/>
  <c r="AV156" i="15"/>
  <c r="AV128" i="15"/>
  <c r="AV146" i="15"/>
  <c r="AV106" i="15"/>
  <c r="AV107" i="15"/>
  <c r="AV105" i="15"/>
  <c r="AV103" i="15"/>
  <c r="AV99" i="15"/>
  <c r="AU185" i="15"/>
  <c r="AU120" i="15"/>
  <c r="X101" i="15"/>
  <c r="AC102" i="15"/>
  <c r="AW120" i="15"/>
  <c r="BH102" i="15"/>
  <c r="AJ106" i="15"/>
  <c r="AZ111" i="15"/>
  <c r="AZ114" i="15" s="1"/>
  <c r="AH109" i="15"/>
  <c r="AS107" i="15"/>
  <c r="AS106" i="15"/>
  <c r="BH107" i="15"/>
  <c r="AZ155" i="15"/>
  <c r="Y111" i="15"/>
  <c r="AY124" i="15"/>
  <c r="AY132" i="15"/>
  <c r="AY167" i="15" s="1"/>
  <c r="AY147" i="15"/>
  <c r="AY128" i="15"/>
  <c r="AY146" i="15"/>
  <c r="AY156" i="15"/>
  <c r="AY106" i="15"/>
  <c r="AY105" i="15"/>
  <c r="AY111" i="15"/>
  <c r="AY109" i="15"/>
  <c r="AY112" i="15"/>
  <c r="AY100" i="15"/>
  <c r="V110" i="15"/>
  <c r="AR100" i="15"/>
  <c r="AF100" i="15"/>
  <c r="Y103" i="15"/>
  <c r="BI99" i="15"/>
  <c r="AX104" i="15"/>
  <c r="BD120" i="15"/>
  <c r="AQ110" i="15"/>
  <c r="AS100" i="15"/>
  <c r="AB153" i="15"/>
  <c r="X106" i="15"/>
  <c r="AA102" i="15"/>
  <c r="BK107" i="15"/>
  <c r="BK108" i="15"/>
  <c r="AX112" i="15"/>
  <c r="AZ104" i="15"/>
  <c r="AZ167" i="15"/>
  <c r="AZ185" i="15"/>
  <c r="AZ110" i="15"/>
  <c r="BB128" i="15"/>
  <c r="BB146" i="15"/>
  <c r="BB124" i="15"/>
  <c r="BB147" i="15"/>
  <c r="BB132" i="15"/>
  <c r="BB156" i="15"/>
  <c r="BB108" i="15"/>
  <c r="BB102" i="15"/>
  <c r="BB99" i="15"/>
  <c r="BB107" i="15"/>
  <c r="BB103" i="15"/>
  <c r="BB104" i="15"/>
  <c r="AS102" i="15"/>
  <c r="BK111" i="15"/>
  <c r="BK114" i="15" s="1"/>
  <c r="AZ153" i="15"/>
  <c r="AH102" i="15"/>
  <c r="Y110" i="15"/>
  <c r="Z103" i="15"/>
  <c r="AG103" i="15"/>
  <c r="AI107" i="15"/>
  <c r="BJ128" i="15"/>
  <c r="BJ146" i="15"/>
  <c r="BJ124" i="15"/>
  <c r="BJ147" i="15"/>
  <c r="BJ132" i="15"/>
  <c r="BJ156" i="15"/>
  <c r="BJ105" i="15"/>
  <c r="BJ99" i="15"/>
  <c r="BJ100" i="15"/>
  <c r="BJ108" i="15"/>
  <c r="BJ111" i="15"/>
  <c r="BJ114" i="15" s="1"/>
  <c r="AU106" i="15"/>
  <c r="AF153" i="15"/>
  <c r="U112" i="15"/>
  <c r="BD101" i="15"/>
  <c r="AQ111" i="15"/>
  <c r="AQ114" i="15" s="1"/>
  <c r="W120" i="15"/>
  <c r="BH120" i="15"/>
  <c r="AZ102" i="15"/>
  <c r="AH167" i="15"/>
  <c r="AH134" i="15" s="1"/>
  <c r="AA101" i="15"/>
  <c r="Z155" i="15"/>
  <c r="Z108" i="15"/>
  <c r="AP185" i="15"/>
  <c r="BA105" i="15"/>
  <c r="BA103" i="15"/>
  <c r="BF109" i="15"/>
  <c r="BE98" i="15"/>
  <c r="X153" i="15"/>
  <c r="AN110" i="15"/>
  <c r="BG124" i="15"/>
  <c r="BG132" i="15"/>
  <c r="BG147" i="15"/>
  <c r="BG128" i="15"/>
  <c r="BG146" i="15"/>
  <c r="BG156" i="15"/>
  <c r="BG105" i="15"/>
  <c r="BG112" i="15"/>
  <c r="BG114" i="15" s="1"/>
  <c r="AY110" i="15"/>
  <c r="AI110" i="15"/>
  <c r="U153" i="15"/>
  <c r="BC113" i="15"/>
  <c r="BC115" i="15" s="1"/>
  <c r="AM111" i="15"/>
  <c r="Z153" i="15"/>
  <c r="AP128" i="15"/>
  <c r="AP146" i="15"/>
  <c r="AP132" i="15"/>
  <c r="AP124" i="15"/>
  <c r="AP147" i="15"/>
  <c r="AP156" i="15"/>
  <c r="AP102" i="15"/>
  <c r="AG110" i="15"/>
  <c r="AV153" i="15"/>
  <c r="AK128" i="15"/>
  <c r="AK132" i="15"/>
  <c r="AK167" i="15" s="1"/>
  <c r="AK156" i="15"/>
  <c r="AK146" i="15"/>
  <c r="AK124" i="15"/>
  <c r="AK147" i="15"/>
  <c r="AK103" i="15"/>
  <c r="BA120" i="15"/>
  <c r="BJ153" i="15"/>
  <c r="BJ110" i="15"/>
  <c r="AD110" i="15"/>
  <c r="AE153" i="15"/>
  <c r="AE110" i="15"/>
  <c r="BF101" i="15"/>
  <c r="AF110" i="15"/>
  <c r="BE120" i="15"/>
  <c r="AL106" i="15"/>
  <c r="AQ153" i="15"/>
  <c r="AK102" i="15"/>
  <c r="AK107" i="15"/>
  <c r="BE104" i="15"/>
  <c r="AX153" i="15"/>
  <c r="BC124" i="15"/>
  <c r="BC132" i="15"/>
  <c r="BC167" i="15" s="1"/>
  <c r="BC134" i="15" s="1"/>
  <c r="BC147" i="15"/>
  <c r="BC128" i="15"/>
  <c r="BC146" i="15"/>
  <c r="BC156" i="15"/>
  <c r="AL153" i="15"/>
  <c r="AM110" i="15"/>
  <c r="BA128" i="15"/>
  <c r="BA132" i="15"/>
  <c r="BA167" i="15" s="1"/>
  <c r="BA156" i="15"/>
  <c r="BA146" i="15"/>
  <c r="BA147" i="15"/>
  <c r="BA124" i="15"/>
  <c r="BA101" i="15"/>
  <c r="AD153" i="15"/>
  <c r="BF98" i="15"/>
  <c r="BE101" i="15"/>
  <c r="BE103" i="15"/>
  <c r="BB153" i="15"/>
  <c r="BG167" i="15"/>
  <c r="BG134" i="15" s="1"/>
  <c r="W110" i="15"/>
  <c r="AL104" i="15"/>
  <c r="AL113" i="15" s="1"/>
  <c r="AM124" i="15"/>
  <c r="AM132" i="15"/>
  <c r="AM147" i="15"/>
  <c r="AM128" i="15"/>
  <c r="AM146" i="15"/>
  <c r="AM156" i="15"/>
  <c r="AM105" i="15"/>
  <c r="AK185" i="15"/>
  <c r="AN153" i="15"/>
  <c r="BG101" i="15"/>
  <c r="BG113" i="15" s="1"/>
  <c r="AM109" i="15"/>
  <c r="BA98" i="15"/>
  <c r="AU153" i="15"/>
  <c r="AU110" i="15"/>
  <c r="BF128" i="15"/>
  <c r="BF146" i="15"/>
  <c r="BF132" i="15"/>
  <c r="BF124" i="15"/>
  <c r="BF147" i="15"/>
  <c r="BF156" i="15"/>
  <c r="BE146" i="15"/>
  <c r="BE124" i="15"/>
  <c r="BE147" i="15"/>
  <c r="BE156" i="15"/>
  <c r="BE128" i="15"/>
  <c r="BE132" i="15"/>
  <c r="BE109" i="15"/>
  <c r="AL128" i="15"/>
  <c r="AL146" i="15"/>
  <c r="AL124" i="15"/>
  <c r="AL147" i="15"/>
  <c r="AL132" i="15"/>
  <c r="AL156" i="15"/>
  <c r="AL112" i="15"/>
  <c r="BK153" i="15"/>
  <c r="AR153" i="15"/>
  <c r="P122" i="15"/>
  <c r="P145" i="15"/>
  <c r="P183" i="15"/>
  <c r="P157" i="15"/>
  <c r="P94" i="15"/>
  <c r="P112" i="15" s="1"/>
  <c r="P172" i="15"/>
  <c r="G183" i="15"/>
  <c r="K91" i="15"/>
  <c r="O91" i="15"/>
  <c r="O121" i="15"/>
  <c r="O182" i="15" s="1"/>
  <c r="K123" i="15"/>
  <c r="J184" i="15"/>
  <c r="O145" i="15"/>
  <c r="G145" i="15"/>
  <c r="L121" i="15"/>
  <c r="L182" i="15" s="1"/>
  <c r="O172" i="15"/>
  <c r="O122" i="15"/>
  <c r="O119" i="15"/>
  <c r="O185" i="15" s="1"/>
  <c r="K183" i="15"/>
  <c r="G91" i="15"/>
  <c r="G123" i="15"/>
  <c r="K119" i="15"/>
  <c r="K120" i="15" s="1"/>
  <c r="K155" i="15" s="1"/>
  <c r="O123" i="15"/>
  <c r="O168" i="15"/>
  <c r="O136" i="15" s="1"/>
  <c r="O94" i="15"/>
  <c r="O108" i="15" s="1"/>
  <c r="G119" i="15"/>
  <c r="G185" i="15" s="1"/>
  <c r="G184" i="15"/>
  <c r="G121" i="15"/>
  <c r="G182" i="15" s="1"/>
  <c r="G172" i="15"/>
  <c r="K145" i="15"/>
  <c r="K122" i="15"/>
  <c r="G122" i="15"/>
  <c r="I137" i="15"/>
  <c r="I153" i="15" s="1"/>
  <c r="G94" i="15"/>
  <c r="G104" i="15" s="1"/>
  <c r="K168" i="15"/>
  <c r="K136" i="15" s="1"/>
  <c r="B183" i="15"/>
  <c r="S105" i="15"/>
  <c r="K172" i="15"/>
  <c r="K94" i="15"/>
  <c r="K103" i="15" s="1"/>
  <c r="K184" i="15"/>
  <c r="J121" i="15"/>
  <c r="J182" i="15" s="1"/>
  <c r="B172" i="15"/>
  <c r="S104" i="15"/>
  <c r="P107" i="15"/>
  <c r="S109" i="15"/>
  <c r="S101" i="15"/>
  <c r="S103" i="15"/>
  <c r="S107" i="15"/>
  <c r="B137" i="15"/>
  <c r="M153" i="15"/>
  <c r="L91" i="15"/>
  <c r="F121" i="15"/>
  <c r="F182" i="15" s="1"/>
  <c r="I123" i="15"/>
  <c r="F119" i="15"/>
  <c r="F120" i="15" s="1"/>
  <c r="F155" i="15" s="1"/>
  <c r="L122" i="15"/>
  <c r="S102" i="15"/>
  <c r="I121" i="15"/>
  <c r="I182" i="15" s="1"/>
  <c r="J172" i="15"/>
  <c r="L168" i="15"/>
  <c r="L136" i="15" s="1"/>
  <c r="L172" i="15"/>
  <c r="N172" i="15"/>
  <c r="B145" i="15"/>
  <c r="B121" i="15"/>
  <c r="B182" i="15" s="1"/>
  <c r="I185" i="15"/>
  <c r="L185" i="15"/>
  <c r="N91" i="15"/>
  <c r="L123" i="15"/>
  <c r="J183" i="15"/>
  <c r="N94" i="15"/>
  <c r="N102" i="15" s="1"/>
  <c r="B119" i="15"/>
  <c r="B120" i="15" s="1"/>
  <c r="B155" i="15" s="1"/>
  <c r="M120" i="15"/>
  <c r="M155" i="15" s="1"/>
  <c r="P105" i="15"/>
  <c r="P104" i="15"/>
  <c r="L157" i="15"/>
  <c r="B123" i="15"/>
  <c r="N184" i="15"/>
  <c r="H185" i="15"/>
  <c r="B122" i="15"/>
  <c r="J123" i="15"/>
  <c r="T110" i="15"/>
  <c r="I145" i="15"/>
  <c r="N157" i="15"/>
  <c r="F123" i="15"/>
  <c r="J122" i="15"/>
  <c r="N122" i="15"/>
  <c r="N119" i="15"/>
  <c r="N185" i="15" s="1"/>
  <c r="N123" i="15"/>
  <c r="I91" i="15"/>
  <c r="I122" i="15"/>
  <c r="I172" i="15"/>
  <c r="B94" i="15"/>
  <c r="B108" i="15" s="1"/>
  <c r="N183" i="15"/>
  <c r="N145" i="15"/>
  <c r="F153" i="15"/>
  <c r="H111" i="15"/>
  <c r="J94" i="15"/>
  <c r="J102" i="15" s="1"/>
  <c r="J119" i="15"/>
  <c r="J185" i="15" s="1"/>
  <c r="J145" i="15"/>
  <c r="R123" i="15"/>
  <c r="H153" i="15"/>
  <c r="L94" i="15"/>
  <c r="L112" i="15" s="1"/>
  <c r="L184" i="15"/>
  <c r="F157" i="15"/>
  <c r="D119" i="15"/>
  <c r="D120" i="15" s="1"/>
  <c r="D155" i="15" s="1"/>
  <c r="H128" i="15"/>
  <c r="L137" i="15"/>
  <c r="L153" i="15" s="1"/>
  <c r="F145" i="15"/>
  <c r="H146" i="15"/>
  <c r="R121" i="15"/>
  <c r="R182" i="15" s="1"/>
  <c r="D172" i="15"/>
  <c r="F94" i="15"/>
  <c r="F107" i="15" s="1"/>
  <c r="F172" i="15"/>
  <c r="L145" i="15"/>
  <c r="I183" i="15"/>
  <c r="M100" i="15"/>
  <c r="M101" i="15"/>
  <c r="M107" i="15"/>
  <c r="D137" i="15"/>
  <c r="L183" i="15"/>
  <c r="I94" i="15"/>
  <c r="I128" i="15" s="1"/>
  <c r="M132" i="15"/>
  <c r="M167" i="15" s="1"/>
  <c r="M151" i="15" s="1"/>
  <c r="I157" i="15"/>
  <c r="M106" i="15"/>
  <c r="M124" i="15"/>
  <c r="M179" i="15" s="1"/>
  <c r="M187" i="15" s="1"/>
  <c r="M112" i="15"/>
  <c r="M98" i="15"/>
  <c r="M105" i="15"/>
  <c r="M156" i="15"/>
  <c r="M128" i="15"/>
  <c r="M103" i="15"/>
  <c r="F122" i="15"/>
  <c r="M104" i="15"/>
  <c r="M109" i="15"/>
  <c r="M110" i="15"/>
  <c r="M102" i="15"/>
  <c r="M111" i="15"/>
  <c r="F184" i="15"/>
  <c r="M146" i="15"/>
  <c r="M147" i="15"/>
  <c r="M108" i="15"/>
  <c r="D183" i="15"/>
  <c r="N104" i="15"/>
  <c r="H101" i="15"/>
  <c r="R119" i="15"/>
  <c r="R183" i="15"/>
  <c r="R145" i="15"/>
  <c r="R157" i="15"/>
  <c r="H109" i="15"/>
  <c r="H124" i="15"/>
  <c r="H180" i="15" s="1"/>
  <c r="H103" i="15"/>
  <c r="H104" i="15"/>
  <c r="H102" i="15"/>
  <c r="H108" i="15"/>
  <c r="D91" i="15"/>
  <c r="D94" i="15"/>
  <c r="D168" i="15"/>
  <c r="D136" i="15" s="1"/>
  <c r="D123" i="15"/>
  <c r="H110" i="15"/>
  <c r="H156" i="15"/>
  <c r="P99" i="15"/>
  <c r="P101" i="15"/>
  <c r="O153" i="15"/>
  <c r="P102" i="15"/>
  <c r="P100" i="15"/>
  <c r="P106" i="15"/>
  <c r="H107" i="15"/>
  <c r="H112" i="15"/>
  <c r="H100" i="15"/>
  <c r="H105" i="15"/>
  <c r="H132" i="15"/>
  <c r="H167" i="15" s="1"/>
  <c r="H147" i="15"/>
  <c r="P153" i="15"/>
  <c r="P120" i="15"/>
  <c r="P155" i="15" s="1"/>
  <c r="H99" i="15"/>
  <c r="H106" i="15"/>
  <c r="D122" i="15"/>
  <c r="R172" i="15"/>
  <c r="R122" i="15"/>
  <c r="R91" i="15"/>
  <c r="D145" i="15"/>
  <c r="T108" i="15"/>
  <c r="T111" i="15"/>
  <c r="R94" i="15"/>
  <c r="R150" i="15"/>
  <c r="T104" i="15"/>
  <c r="S108" i="15"/>
  <c r="N106" i="15"/>
  <c r="G102" i="15"/>
  <c r="S99" i="15"/>
  <c r="G101" i="15"/>
  <c r="T107" i="15"/>
  <c r="G98" i="15"/>
  <c r="O99" i="15"/>
  <c r="T106" i="15"/>
  <c r="S98" i="15"/>
  <c r="T112" i="15"/>
  <c r="S110" i="15"/>
  <c r="G128" i="15"/>
  <c r="G147" i="15"/>
  <c r="K109" i="15"/>
  <c r="G100" i="15"/>
  <c r="C79" i="15"/>
  <c r="C82" i="15"/>
  <c r="C85" i="15"/>
  <c r="C90" i="15"/>
  <c r="C86" i="15"/>
  <c r="C92" i="15"/>
  <c r="C87" i="15"/>
  <c r="C80" i="15"/>
  <c r="C89" i="15"/>
  <c r="C88" i="15"/>
  <c r="C81" i="15"/>
  <c r="C93" i="15"/>
  <c r="C83" i="15"/>
  <c r="C84" i="15"/>
  <c r="Q121" i="15"/>
  <c r="Q182" i="15" s="1"/>
  <c r="Q122" i="15"/>
  <c r="Q94" i="15"/>
  <c r="Q107" i="15" s="1"/>
  <c r="Q119" i="15"/>
  <c r="Q120" i="15" s="1"/>
  <c r="Q145" i="15"/>
  <c r="Q183" i="15"/>
  <c r="Q157" i="15"/>
  <c r="E150" i="15"/>
  <c r="E122" i="15"/>
  <c r="E121" i="15"/>
  <c r="E182" i="15" s="1"/>
  <c r="T153" i="15"/>
  <c r="S153" i="15"/>
  <c r="P128" i="15"/>
  <c r="P124" i="15"/>
  <c r="P146" i="15"/>
  <c r="P156" i="15"/>
  <c r="P132" i="15"/>
  <c r="P147" i="15"/>
  <c r="O105" i="15"/>
  <c r="P108" i="15"/>
  <c r="T105" i="15"/>
  <c r="S112" i="15"/>
  <c r="T100" i="15"/>
  <c r="S106" i="15"/>
  <c r="P109" i="15"/>
  <c r="E137" i="15"/>
  <c r="E184" i="15"/>
  <c r="S120" i="15"/>
  <c r="Q150" i="15"/>
  <c r="Q91" i="15"/>
  <c r="E135" i="15"/>
  <c r="E157" i="15"/>
  <c r="E119" i="15"/>
  <c r="E185" i="15" s="1"/>
  <c r="E94" i="15"/>
  <c r="E109" i="15" s="1"/>
  <c r="E145" i="15"/>
  <c r="E183" i="15"/>
  <c r="T98" i="15"/>
  <c r="T99" i="15"/>
  <c r="P111" i="15"/>
  <c r="P114" i="15" s="1"/>
  <c r="P98" i="15"/>
  <c r="O110" i="15"/>
  <c r="I120" i="15"/>
  <c r="Q135" i="15"/>
  <c r="E91" i="15"/>
  <c r="BM89" i="15"/>
  <c r="BM93" i="15"/>
  <c r="BM82" i="15"/>
  <c r="BM87" i="15"/>
  <c r="BM88" i="15"/>
  <c r="BM83" i="15"/>
  <c r="BM90" i="15"/>
  <c r="BM84" i="15"/>
  <c r="BM79" i="15"/>
  <c r="BM80" i="15"/>
  <c r="BM81" i="15"/>
  <c r="BM92" i="15"/>
  <c r="BM86" i="15"/>
  <c r="Q172" i="15"/>
  <c r="Q123" i="15"/>
  <c r="Q168" i="15"/>
  <c r="Q136" i="15" s="1"/>
  <c r="E172" i="15"/>
  <c r="E168" i="15"/>
  <c r="E136" i="15" s="1"/>
  <c r="E123" i="15"/>
  <c r="O146" i="15"/>
  <c r="O128" i="15"/>
  <c r="BM85" i="15"/>
  <c r="T128" i="15"/>
  <c r="T132" i="15"/>
  <c r="T146" i="15"/>
  <c r="T156" i="15"/>
  <c r="T147" i="15"/>
  <c r="T124" i="15"/>
  <c r="S147" i="15"/>
  <c r="S146" i="15"/>
  <c r="S156" i="15"/>
  <c r="S132" i="15"/>
  <c r="S167" i="15" s="1"/>
  <c r="S124" i="15"/>
  <c r="S128" i="15"/>
  <c r="P110" i="15"/>
  <c r="L120" i="15"/>
  <c r="P103" i="15"/>
  <c r="T103" i="15"/>
  <c r="T120" i="15"/>
  <c r="O103" i="15"/>
  <c r="T102" i="15"/>
  <c r="S111" i="15"/>
  <c r="J279" i="14"/>
  <c r="B279" i="14"/>
  <c r="L280" i="14"/>
  <c r="AD172" i="13" l="1"/>
  <c r="AD146" i="13"/>
  <c r="AD175" i="13" s="1"/>
  <c r="B212" i="13"/>
  <c r="BE172" i="13"/>
  <c r="BG143" i="13"/>
  <c r="BG198" i="13" s="1"/>
  <c r="BG284" i="13"/>
  <c r="AC143" i="13"/>
  <c r="AC198" i="13" s="1"/>
  <c r="AC284" i="13"/>
  <c r="AP211" i="13"/>
  <c r="O170" i="13"/>
  <c r="AX211" i="13"/>
  <c r="AX213" i="13" s="1"/>
  <c r="E143" i="13"/>
  <c r="E198" i="13" s="1"/>
  <c r="E284" i="13"/>
  <c r="B284" i="13"/>
  <c r="B143" i="13"/>
  <c r="B198" i="13" s="1"/>
  <c r="B213" i="13" s="1"/>
  <c r="AV213" i="13"/>
  <c r="AV212" i="13"/>
  <c r="AS143" i="13"/>
  <c r="AS198" i="13" s="1"/>
  <c r="AS284" i="13"/>
  <c r="R284" i="13"/>
  <c r="R143" i="13"/>
  <c r="R198" i="13" s="1"/>
  <c r="T146" i="13"/>
  <c r="T175" i="13" s="1"/>
  <c r="T172" i="13"/>
  <c r="AZ222" i="13"/>
  <c r="AZ223" i="13" s="1"/>
  <c r="AZ214" i="13"/>
  <c r="AZ215" i="13" s="1"/>
  <c r="AZ220" i="13"/>
  <c r="AZ221" i="13" s="1"/>
  <c r="AZ216" i="13"/>
  <c r="AZ217" i="13" s="1"/>
  <c r="AZ224" i="13"/>
  <c r="AZ225" i="13" s="1"/>
  <c r="AZ236" i="13" s="1"/>
  <c r="AZ237" i="13" s="1"/>
  <c r="AZ218" i="13"/>
  <c r="AZ219" i="13" s="1"/>
  <c r="E146" i="13"/>
  <c r="E175" i="13" s="1"/>
  <c r="E101" i="13"/>
  <c r="E172" i="13"/>
  <c r="E119" i="13"/>
  <c r="E202" i="13"/>
  <c r="E185" i="13"/>
  <c r="E153" i="13" s="1"/>
  <c r="D137" i="13"/>
  <c r="D118" i="13"/>
  <c r="D287" i="13" s="1"/>
  <c r="E210" i="13"/>
  <c r="E205" i="13"/>
  <c r="E206" i="13" s="1"/>
  <c r="E207" i="13"/>
  <c r="E208" i="13" s="1"/>
  <c r="D116" i="13"/>
  <c r="D286" i="13" s="1"/>
  <c r="D201" i="13"/>
  <c r="D154" i="13"/>
  <c r="D170" i="13" s="1"/>
  <c r="N124" i="13"/>
  <c r="N167" i="13"/>
  <c r="N196" i="13"/>
  <c r="N204" i="13" s="1"/>
  <c r="BN90" i="13"/>
  <c r="BN92" i="13" s="1"/>
  <c r="BN100" i="13" s="1"/>
  <c r="AJ284" i="13"/>
  <c r="AJ143" i="13"/>
  <c r="AJ198" i="13" s="1"/>
  <c r="AJ213" i="13" s="1"/>
  <c r="AT212" i="13"/>
  <c r="Q124" i="13"/>
  <c r="Q196" i="13"/>
  <c r="Q204" i="13" s="1"/>
  <c r="Q167" i="13"/>
  <c r="BN152" i="13"/>
  <c r="BN117" i="13"/>
  <c r="T210" i="13"/>
  <c r="T207" i="13"/>
  <c r="T208" i="13" s="1"/>
  <c r="T205" i="13"/>
  <c r="T206" i="13" s="1"/>
  <c r="D128" i="13"/>
  <c r="D131" i="13" s="1"/>
  <c r="D108" i="13"/>
  <c r="D127" i="13" s="1"/>
  <c r="BA143" i="13"/>
  <c r="BA198" i="13" s="1"/>
  <c r="BA284" i="13"/>
  <c r="BH143" i="13"/>
  <c r="BH198" i="13" s="1"/>
  <c r="BH284" i="13"/>
  <c r="N118" i="13"/>
  <c r="N287" i="13" s="1"/>
  <c r="BN154" i="13"/>
  <c r="BN170" i="13" s="1"/>
  <c r="BN201" i="13"/>
  <c r="BN116" i="13"/>
  <c r="L284" i="13"/>
  <c r="L143" i="13"/>
  <c r="L198" i="13" s="1"/>
  <c r="K143" i="13"/>
  <c r="K198" i="13" s="1"/>
  <c r="K284" i="13"/>
  <c r="Q283" i="13"/>
  <c r="Q200" i="13"/>
  <c r="Q115" i="13"/>
  <c r="Q174" i="13"/>
  <c r="Q162" i="13"/>
  <c r="Q136" i="13"/>
  <c r="Q137" i="13" s="1"/>
  <c r="G205" i="13"/>
  <c r="G206" i="13" s="1"/>
  <c r="G210" i="13"/>
  <c r="G211" i="13" s="1"/>
  <c r="G207" i="13"/>
  <c r="G208" i="13" s="1"/>
  <c r="T143" i="13"/>
  <c r="T198" i="13" s="1"/>
  <c r="T284" i="13"/>
  <c r="I116" i="13"/>
  <c r="I286" i="13" s="1"/>
  <c r="I201" i="13"/>
  <c r="I154" i="13"/>
  <c r="AE143" i="13"/>
  <c r="AE198" i="13" s="1"/>
  <c r="AE284" i="13"/>
  <c r="AW143" i="13"/>
  <c r="AW198" i="13" s="1"/>
  <c r="AW284" i="13"/>
  <c r="G140" i="13"/>
  <c r="N90" i="13"/>
  <c r="N92" i="13" s="1"/>
  <c r="N100" i="13" s="1"/>
  <c r="AR212" i="13"/>
  <c r="AR224" i="13"/>
  <c r="AR225" i="13" s="1"/>
  <c r="S211" i="13"/>
  <c r="P284" i="13"/>
  <c r="P143" i="13"/>
  <c r="P198" i="13" s="1"/>
  <c r="T170" i="13"/>
  <c r="AT202" i="13"/>
  <c r="AT185" i="13"/>
  <c r="AT119" i="13"/>
  <c r="AT101" i="13"/>
  <c r="AT140" i="13" s="1"/>
  <c r="AT111" i="13"/>
  <c r="AT172" i="13"/>
  <c r="O207" i="13"/>
  <c r="O208" i="13" s="1"/>
  <c r="O205" i="13"/>
  <c r="O206" i="13" s="1"/>
  <c r="O210" i="13"/>
  <c r="O211" i="13" s="1"/>
  <c r="D142" i="13"/>
  <c r="D125" i="13"/>
  <c r="D90" i="13"/>
  <c r="D92" i="13" s="1"/>
  <c r="D100" i="13" s="1"/>
  <c r="G284" i="13"/>
  <c r="G143" i="13"/>
  <c r="G198" i="13" s="1"/>
  <c r="G213" i="13" s="1"/>
  <c r="I283" i="13"/>
  <c r="I115" i="13"/>
  <c r="I200" i="13"/>
  <c r="I174" i="13"/>
  <c r="I162" i="13"/>
  <c r="I136" i="13"/>
  <c r="I137" i="13" s="1"/>
  <c r="N154" i="13"/>
  <c r="N116" i="13"/>
  <c r="N286" i="13" s="1"/>
  <c r="N201" i="13"/>
  <c r="G170" i="13"/>
  <c r="N152" i="13"/>
  <c r="N117" i="13"/>
  <c r="AP100" i="13"/>
  <c r="BN115" i="13"/>
  <c r="BN136" i="13"/>
  <c r="BN137" i="13" s="1"/>
  <c r="BN162" i="13"/>
  <c r="BN174" i="13"/>
  <c r="BN200" i="13"/>
  <c r="AJ210" i="13"/>
  <c r="AJ211" i="13" s="1"/>
  <c r="AJ207" i="13"/>
  <c r="AJ208" i="13" s="1"/>
  <c r="AJ205" i="13"/>
  <c r="AJ206" i="13" s="1"/>
  <c r="D124" i="13"/>
  <c r="D167" i="13"/>
  <c r="D196" i="13"/>
  <c r="D204" i="13" s="1"/>
  <c r="Q154" i="13"/>
  <c r="Q170" i="13" s="1"/>
  <c r="Q116" i="13"/>
  <c r="Q286" i="13" s="1"/>
  <c r="Q201" i="13"/>
  <c r="AT213" i="13"/>
  <c r="BB143" i="13"/>
  <c r="BB198" i="13" s="1"/>
  <c r="BB284" i="13"/>
  <c r="BJ143" i="13"/>
  <c r="BJ198" i="13" s="1"/>
  <c r="BJ284" i="13"/>
  <c r="AS170" i="13"/>
  <c r="I90" i="13"/>
  <c r="I92" i="13" s="1"/>
  <c r="AX111" i="13"/>
  <c r="AX189" i="13"/>
  <c r="AX120" i="13"/>
  <c r="AX130" i="13" s="1"/>
  <c r="AX132" i="13" s="1"/>
  <c r="AX139" i="13"/>
  <c r="AX138" i="13"/>
  <c r="AX199" i="13" s="1"/>
  <c r="N283" i="13"/>
  <c r="N115" i="13"/>
  <c r="N174" i="13"/>
  <c r="N200" i="13"/>
  <c r="N162" i="13"/>
  <c r="N136" i="13"/>
  <c r="N137" i="13" s="1"/>
  <c r="I124" i="13"/>
  <c r="I167" i="13"/>
  <c r="I196" i="13"/>
  <c r="I204" i="13" s="1"/>
  <c r="R207" i="13"/>
  <c r="R208" i="13" s="1"/>
  <c r="R210" i="13"/>
  <c r="R205" i="13"/>
  <c r="R206" i="13" s="1"/>
  <c r="K170" i="13"/>
  <c r="BN142" i="13"/>
  <c r="BN143" i="13" s="1"/>
  <c r="BN198" i="13" s="1"/>
  <c r="BN125" i="13"/>
  <c r="O146" i="13"/>
  <c r="O175" i="13" s="1"/>
  <c r="O185" i="13"/>
  <c r="O153" i="13" s="1"/>
  <c r="O101" i="13"/>
  <c r="O202" i="13"/>
  <c r="O172" i="13"/>
  <c r="O119" i="13"/>
  <c r="Q146" i="13"/>
  <c r="Q175" i="13" s="1"/>
  <c r="T119" i="13"/>
  <c r="J90" i="13"/>
  <c r="J92" i="13" s="1"/>
  <c r="AI143" i="13"/>
  <c r="AI198" i="13" s="1"/>
  <c r="AI284" i="13"/>
  <c r="AA143" i="13"/>
  <c r="AA198" i="13" s="1"/>
  <c r="AA284" i="13"/>
  <c r="O284" i="13"/>
  <c r="O143" i="13"/>
  <c r="O198" i="13" s="1"/>
  <c r="O213" i="13" s="1"/>
  <c r="BN128" i="13"/>
  <c r="BN131" i="13" s="1"/>
  <c r="BN108" i="13"/>
  <c r="BN127" i="13" s="1"/>
  <c r="Q125" i="13"/>
  <c r="Q142" i="13"/>
  <c r="I128" i="13"/>
  <c r="I131" i="13" s="1"/>
  <c r="I108" i="13"/>
  <c r="I127" i="13" s="1"/>
  <c r="N128" i="13"/>
  <c r="N131" i="13" s="1"/>
  <c r="N108" i="13"/>
  <c r="N127" i="13" s="1"/>
  <c r="Q152" i="13"/>
  <c r="Q117" i="13"/>
  <c r="BC90" i="13"/>
  <c r="BC92" i="13" s="1"/>
  <c r="AF143" i="13"/>
  <c r="AF198" i="13" s="1"/>
  <c r="AF284" i="13"/>
  <c r="BD170" i="13"/>
  <c r="AV140" i="13"/>
  <c r="L207" i="13"/>
  <c r="L208" i="13" s="1"/>
  <c r="L205" i="13"/>
  <c r="L206" i="13" s="1"/>
  <c r="L210" i="13"/>
  <c r="Q128" i="13"/>
  <c r="Q131" i="13" s="1"/>
  <c r="Q108" i="13"/>
  <c r="Q127" i="13" s="1"/>
  <c r="I142" i="13"/>
  <c r="I125" i="13"/>
  <c r="BN167" i="13"/>
  <c r="BN196" i="13"/>
  <c r="BN204" i="13" s="1"/>
  <c r="BN124" i="13"/>
  <c r="L172" i="13"/>
  <c r="AL90" i="13"/>
  <c r="AL92" i="13" s="1"/>
  <c r="T202" i="13"/>
  <c r="BF170" i="13"/>
  <c r="T185" i="13"/>
  <c r="T153" i="13" s="1"/>
  <c r="X172" i="13"/>
  <c r="AR284" i="13"/>
  <c r="AR143" i="13"/>
  <c r="AR198" i="13" s="1"/>
  <c r="AR213" i="13" s="1"/>
  <c r="AX140" i="13"/>
  <c r="S210" i="13"/>
  <c r="S213" i="13" s="1"/>
  <c r="S205" i="13"/>
  <c r="S206" i="13" s="1"/>
  <c r="S207" i="13"/>
  <c r="S208" i="13" s="1"/>
  <c r="D152" i="13"/>
  <c r="D117" i="13"/>
  <c r="AP143" i="13"/>
  <c r="AP198" i="13" s="1"/>
  <c r="AP213" i="13" s="1"/>
  <c r="AP284" i="13"/>
  <c r="N142" i="13"/>
  <c r="N125" i="13"/>
  <c r="AX265" i="13"/>
  <c r="AX266" i="13" s="1"/>
  <c r="AX267" i="13"/>
  <c r="AX268" i="13" s="1"/>
  <c r="L177" i="14"/>
  <c r="BC100" i="13"/>
  <c r="BC146" i="13" s="1"/>
  <c r="BC175" i="13" s="1"/>
  <c r="G100" i="1"/>
  <c r="F100" i="1"/>
  <c r="F143" i="1" s="1"/>
  <c r="F172" i="1" s="1"/>
  <c r="Q100" i="1"/>
  <c r="Q143" i="1"/>
  <c r="Q172" i="1" s="1"/>
  <c r="J100" i="13"/>
  <c r="J146" i="13" s="1"/>
  <c r="J175" i="13" s="1"/>
  <c r="M129" i="1"/>
  <c r="M131" i="1" s="1"/>
  <c r="AL100" i="13"/>
  <c r="E100" i="1"/>
  <c r="AK145" i="13"/>
  <c r="AK149" i="13"/>
  <c r="AK163" i="13"/>
  <c r="AK173" i="13"/>
  <c r="AK164" i="13"/>
  <c r="AO100" i="13"/>
  <c r="AO146" i="13"/>
  <c r="AO175" i="13" s="1"/>
  <c r="D100" i="1"/>
  <c r="D143" i="1"/>
  <c r="D172" i="1" s="1"/>
  <c r="E238" i="14"/>
  <c r="E239" i="14" s="1"/>
  <c r="E240" i="14"/>
  <c r="E241" i="14" s="1"/>
  <c r="E244" i="14"/>
  <c r="E245" i="14" s="1"/>
  <c r="E242" i="14"/>
  <c r="E243" i="14" s="1"/>
  <c r="E246" i="14"/>
  <c r="E247" i="14" s="1"/>
  <c r="G100" i="14"/>
  <c r="G146" i="14" s="1"/>
  <c r="G175" i="14" s="1"/>
  <c r="AM113" i="15"/>
  <c r="Z113" i="15"/>
  <c r="AO185" i="15"/>
  <c r="S153" i="13"/>
  <c r="B189" i="13"/>
  <c r="B138" i="13"/>
  <c r="B199" i="13" s="1"/>
  <c r="B139" i="13"/>
  <c r="B120" i="13"/>
  <c r="B130" i="13" s="1"/>
  <c r="B132" i="13" s="1"/>
  <c r="B111" i="13"/>
  <c r="F205" i="14"/>
  <c r="F206" i="14" s="1"/>
  <c r="F207" i="14"/>
  <c r="F208" i="14" s="1"/>
  <c r="F210" i="14"/>
  <c r="K212" i="13"/>
  <c r="Q152" i="14"/>
  <c r="Q117" i="14"/>
  <c r="BB269" i="13"/>
  <c r="BB264" i="13"/>
  <c r="D124" i="1"/>
  <c r="BB207" i="13"/>
  <c r="BB208" i="13" s="1"/>
  <c r="BB205" i="13"/>
  <c r="BB206" i="13" s="1"/>
  <c r="BB210" i="13"/>
  <c r="BI211" i="13"/>
  <c r="BI213" i="13" s="1"/>
  <c r="U116" i="13"/>
  <c r="U286" i="13" s="1"/>
  <c r="U154" i="13"/>
  <c r="U201" i="13"/>
  <c r="T120" i="13"/>
  <c r="T130" i="13" s="1"/>
  <c r="T132" i="13" s="1"/>
  <c r="T189" i="13"/>
  <c r="T138" i="13"/>
  <c r="T199" i="13" s="1"/>
  <c r="T139" i="13"/>
  <c r="M236" i="14"/>
  <c r="M237" i="14" s="1"/>
  <c r="M212" i="14"/>
  <c r="M224" i="14"/>
  <c r="M225" i="14" s="1"/>
  <c r="J119" i="1"/>
  <c r="J129" i="1" s="1"/>
  <c r="J131" i="1" s="1"/>
  <c r="J186" i="1"/>
  <c r="J136" i="1"/>
  <c r="J196" i="1" s="1"/>
  <c r="J137" i="1"/>
  <c r="J111" i="1"/>
  <c r="M253" i="14"/>
  <c r="M254" i="14" s="1"/>
  <c r="M251" i="14"/>
  <c r="M252" i="14" s="1"/>
  <c r="T150" i="1"/>
  <c r="BC167" i="13"/>
  <c r="BC196" i="13"/>
  <c r="BC204" i="13" s="1"/>
  <c r="BC124" i="13"/>
  <c r="Q115" i="1"/>
  <c r="Q198" i="1"/>
  <c r="Q151" i="1"/>
  <c r="AM265" i="13"/>
  <c r="AM266" i="13" s="1"/>
  <c r="AM267" i="13"/>
  <c r="AM268" i="13" s="1"/>
  <c r="N127" i="1"/>
  <c r="N130" i="1" s="1"/>
  <c r="N108" i="1"/>
  <c r="N126" i="1" s="1"/>
  <c r="AJ138" i="13"/>
  <c r="AJ199" i="13" s="1"/>
  <c r="AJ120" i="13"/>
  <c r="AJ130" i="13" s="1"/>
  <c r="AJ132" i="13" s="1"/>
  <c r="AJ189" i="13"/>
  <c r="AJ139" i="13"/>
  <c r="H119" i="1"/>
  <c r="H186" i="1"/>
  <c r="H137" i="1"/>
  <c r="H136" i="1"/>
  <c r="H196" i="1" s="1"/>
  <c r="G121" i="14"/>
  <c r="K185" i="1"/>
  <c r="K165" i="1"/>
  <c r="K148" i="1"/>
  <c r="AQ265" i="13"/>
  <c r="AQ266" i="13" s="1"/>
  <c r="AQ267" i="13"/>
  <c r="AQ268" i="13" s="1"/>
  <c r="AD265" i="13"/>
  <c r="AD266" i="13" s="1"/>
  <c r="AD267" i="13"/>
  <c r="AD268" i="13" s="1"/>
  <c r="BJ207" i="13"/>
  <c r="BJ208" i="13" s="1"/>
  <c r="BJ205" i="13"/>
  <c r="BJ206" i="13" s="1"/>
  <c r="BJ210" i="13"/>
  <c r="Y270" i="13"/>
  <c r="Y271" i="13" s="1"/>
  <c r="Y274" i="13"/>
  <c r="Y275" i="13" s="1"/>
  <c r="Y272" i="13"/>
  <c r="Y273" i="13" s="1"/>
  <c r="D117" i="1"/>
  <c r="D135" i="1"/>
  <c r="H211" i="13"/>
  <c r="H213" i="13" s="1"/>
  <c r="Y211" i="13"/>
  <c r="Y213" i="13"/>
  <c r="BG211" i="13"/>
  <c r="BG213" i="13" s="1"/>
  <c r="G167" i="14"/>
  <c r="G124" i="14"/>
  <c r="V137" i="13"/>
  <c r="F128" i="13"/>
  <c r="F131" i="13" s="1"/>
  <c r="F108" i="13"/>
  <c r="F127" i="13" s="1"/>
  <c r="AV153" i="13"/>
  <c r="T211" i="14"/>
  <c r="T213" i="14"/>
  <c r="U81" i="14"/>
  <c r="U102" i="14"/>
  <c r="U118" i="13"/>
  <c r="U287" i="13" s="1"/>
  <c r="D205" i="14"/>
  <c r="D206" i="14" s="1"/>
  <c r="D210" i="14"/>
  <c r="D207" i="14"/>
  <c r="D208" i="14" s="1"/>
  <c r="M119" i="1"/>
  <c r="M186" i="1"/>
  <c r="M137" i="1"/>
  <c r="M136" i="1"/>
  <c r="M196" i="1" s="1"/>
  <c r="M111" i="1"/>
  <c r="L156" i="14"/>
  <c r="L155" i="14"/>
  <c r="S142" i="14"/>
  <c r="S143" i="14" s="1"/>
  <c r="S198" i="14" s="1"/>
  <c r="W119" i="13"/>
  <c r="W202" i="13"/>
  <c r="W185" i="13"/>
  <c r="W153" i="13" s="1"/>
  <c r="W101" i="13"/>
  <c r="AH119" i="13"/>
  <c r="AH185" i="13"/>
  <c r="AH153" i="13" s="1"/>
  <c r="AH202" i="13"/>
  <c r="AH101" i="13"/>
  <c r="Z119" i="13"/>
  <c r="Z202" i="13"/>
  <c r="Z185" i="13"/>
  <c r="Z101" i="13"/>
  <c r="Z172" i="13"/>
  <c r="Z111" i="13"/>
  <c r="B182" i="1"/>
  <c r="B150" i="1" s="1"/>
  <c r="B199" i="1"/>
  <c r="B101" i="1"/>
  <c r="B118" i="1"/>
  <c r="B169" i="1"/>
  <c r="G118" i="14"/>
  <c r="G137" i="14"/>
  <c r="K204" i="1"/>
  <c r="K205" i="1" s="1"/>
  <c r="K202" i="1"/>
  <c r="K203" i="1" s="1"/>
  <c r="K207" i="1"/>
  <c r="AM270" i="13"/>
  <c r="AM271" i="13" s="1"/>
  <c r="AM272" i="13"/>
  <c r="AM273" i="13" s="1"/>
  <c r="AM274" i="13"/>
  <c r="AM275" i="13" s="1"/>
  <c r="AG142" i="13"/>
  <c r="AG125" i="13"/>
  <c r="H185" i="14"/>
  <c r="H202" i="14"/>
  <c r="H119" i="14"/>
  <c r="H101" i="14"/>
  <c r="H111" i="14"/>
  <c r="H172" i="14"/>
  <c r="AY272" i="13"/>
  <c r="AY273" i="13" s="1"/>
  <c r="AY274" i="13"/>
  <c r="AY275" i="13" s="1"/>
  <c r="AY270" i="13"/>
  <c r="AY271" i="13" s="1"/>
  <c r="N117" i="1"/>
  <c r="N246" i="14"/>
  <c r="N247" i="14" s="1"/>
  <c r="N242" i="14"/>
  <c r="N243" i="14" s="1"/>
  <c r="N238" i="14"/>
  <c r="N239" i="14" s="1"/>
  <c r="N240" i="14"/>
  <c r="N241" i="14" s="1"/>
  <c r="N244" i="14"/>
  <c r="N245" i="14" s="1"/>
  <c r="AL128" i="13"/>
  <c r="AL131" i="13" s="1"/>
  <c r="AL108" i="13"/>
  <c r="AL127" i="13" s="1"/>
  <c r="G108" i="1"/>
  <c r="G126" i="1" s="1"/>
  <c r="G127" i="1"/>
  <c r="G130" i="1" s="1"/>
  <c r="I198" i="1"/>
  <c r="I115" i="1"/>
  <c r="I151" i="1"/>
  <c r="I167" i="1" s="1"/>
  <c r="AO152" i="13"/>
  <c r="AO117" i="13"/>
  <c r="J196" i="13"/>
  <c r="J204" i="13" s="1"/>
  <c r="J124" i="13"/>
  <c r="J167" i="13"/>
  <c r="AO121" i="13"/>
  <c r="N149" i="1"/>
  <c r="N116" i="1"/>
  <c r="K179" i="1"/>
  <c r="K147" i="1" s="1"/>
  <c r="K163" i="1"/>
  <c r="G120" i="1"/>
  <c r="AQ272" i="13"/>
  <c r="AQ273" i="13" s="1"/>
  <c r="AQ274" i="13"/>
  <c r="AQ275" i="13" s="1"/>
  <c r="AQ270" i="13"/>
  <c r="AQ271" i="13" s="1"/>
  <c r="I114" i="1"/>
  <c r="I134" i="1"/>
  <c r="I171" i="1"/>
  <c r="I159" i="1"/>
  <c r="I197" i="1"/>
  <c r="BG185" i="13"/>
  <c r="BG202" i="13"/>
  <c r="BG119" i="13"/>
  <c r="BG101" i="13"/>
  <c r="BG140" i="13" s="1"/>
  <c r="BG172" i="13"/>
  <c r="BG111" i="13"/>
  <c r="AO125" i="13"/>
  <c r="AO142" i="13"/>
  <c r="F142" i="13"/>
  <c r="F125" i="13"/>
  <c r="Z274" i="13"/>
  <c r="Z275" i="13" s="1"/>
  <c r="Z270" i="13"/>
  <c r="Z271" i="13" s="1"/>
  <c r="Z272" i="13"/>
  <c r="Z273" i="13" s="1"/>
  <c r="X267" i="13"/>
  <c r="X268" i="13" s="1"/>
  <c r="X265" i="13"/>
  <c r="X266" i="13" s="1"/>
  <c r="AO123" i="13"/>
  <c r="J123" i="13"/>
  <c r="AE119" i="13"/>
  <c r="AE185" i="13"/>
  <c r="AE153" i="13" s="1"/>
  <c r="AE202" i="13"/>
  <c r="AE101" i="13"/>
  <c r="AS205" i="13"/>
  <c r="AS206" i="13" s="1"/>
  <c r="AS207" i="13"/>
  <c r="AS208" i="13" s="1"/>
  <c r="AS210" i="13"/>
  <c r="AS119" i="13"/>
  <c r="AS185" i="13"/>
  <c r="AS153" i="13" s="1"/>
  <c r="AS202" i="13"/>
  <c r="AS101" i="13"/>
  <c r="AS140" i="13" s="1"/>
  <c r="U79" i="14"/>
  <c r="U99" i="14"/>
  <c r="AS111" i="13"/>
  <c r="AG123" i="13"/>
  <c r="BC117" i="13"/>
  <c r="BC152" i="13"/>
  <c r="Q117" i="1"/>
  <c r="P142" i="14"/>
  <c r="P143" i="14" s="1"/>
  <c r="P198" i="14" s="1"/>
  <c r="BE211" i="13"/>
  <c r="BE213" i="13" s="1"/>
  <c r="D263" i="14"/>
  <c r="D249" i="14"/>
  <c r="S263" i="14"/>
  <c r="S249" i="14"/>
  <c r="AB121" i="13"/>
  <c r="T270" i="14"/>
  <c r="T271" i="14" s="1"/>
  <c r="T274" i="14"/>
  <c r="T275" i="14" s="1"/>
  <c r="T272" i="14"/>
  <c r="T273" i="14" s="1"/>
  <c r="T202" i="14"/>
  <c r="T119" i="14"/>
  <c r="T185" i="14"/>
  <c r="T101" i="14"/>
  <c r="T111" i="14"/>
  <c r="T172" i="14"/>
  <c r="F167" i="13"/>
  <c r="F196" i="13"/>
  <c r="F204" i="13" s="1"/>
  <c r="F124" i="13"/>
  <c r="E117" i="1"/>
  <c r="T253" i="14"/>
  <c r="T254" i="14" s="1"/>
  <c r="T251" i="14"/>
  <c r="T252" i="14" s="1"/>
  <c r="I90" i="1"/>
  <c r="I92" i="1" s="1"/>
  <c r="BG146" i="13"/>
  <c r="BG175" i="13" s="1"/>
  <c r="Q121" i="14"/>
  <c r="R164" i="14"/>
  <c r="R173" i="14"/>
  <c r="R145" i="14"/>
  <c r="R163" i="14"/>
  <c r="R149" i="14"/>
  <c r="P202" i="13"/>
  <c r="P101" i="13"/>
  <c r="P140" i="13" s="1"/>
  <c r="P119" i="13"/>
  <c r="P185" i="13"/>
  <c r="P153" i="13" s="1"/>
  <c r="P172" i="13"/>
  <c r="E123" i="1"/>
  <c r="E164" i="1"/>
  <c r="Z265" i="13"/>
  <c r="Z266" i="13" s="1"/>
  <c r="Z267" i="13"/>
  <c r="Z268" i="13" s="1"/>
  <c r="BG264" i="13"/>
  <c r="BG269" i="13"/>
  <c r="AW211" i="13"/>
  <c r="AW213" i="13"/>
  <c r="X270" i="13"/>
  <c r="X271" i="13" s="1"/>
  <c r="X274" i="13"/>
  <c r="X275" i="13" s="1"/>
  <c r="X272" i="13"/>
  <c r="X273" i="13" s="1"/>
  <c r="D115" i="1"/>
  <c r="D169" i="1"/>
  <c r="D151" i="1"/>
  <c r="D167" i="1" s="1"/>
  <c r="D198" i="1"/>
  <c r="G123" i="14"/>
  <c r="N120" i="1"/>
  <c r="U121" i="13"/>
  <c r="U167" i="13"/>
  <c r="U196" i="13"/>
  <c r="U204" i="13" s="1"/>
  <c r="U124" i="13"/>
  <c r="U89" i="14"/>
  <c r="U110" i="14"/>
  <c r="U129" i="14" s="1"/>
  <c r="AY205" i="13"/>
  <c r="AY206" i="13" s="1"/>
  <c r="AY207" i="13"/>
  <c r="AY208" i="13" s="1"/>
  <c r="AY210" i="13"/>
  <c r="G141" i="14"/>
  <c r="G197" i="14" s="1"/>
  <c r="G125" i="14"/>
  <c r="G142" i="14"/>
  <c r="G143" i="14" s="1"/>
  <c r="G198" i="14" s="1"/>
  <c r="Q137" i="14"/>
  <c r="Q118" i="14"/>
  <c r="N122" i="1"/>
  <c r="E127" i="1"/>
  <c r="E130" i="1" s="1"/>
  <c r="E108" i="1"/>
  <c r="E126" i="1" s="1"/>
  <c r="P249" i="14"/>
  <c r="P263" i="14"/>
  <c r="G153" i="13"/>
  <c r="BC108" i="13"/>
  <c r="BC127" i="13" s="1"/>
  <c r="BC128" i="13"/>
  <c r="BC131" i="13" s="1"/>
  <c r="Q201" i="14"/>
  <c r="Q154" i="14"/>
  <c r="Q116" i="14"/>
  <c r="P100" i="1"/>
  <c r="P143" i="1"/>
  <c r="P172" i="1" s="1"/>
  <c r="AI119" i="13"/>
  <c r="AI202" i="13"/>
  <c r="AI185" i="13"/>
  <c r="AI153" i="13" s="1"/>
  <c r="AI101" i="13"/>
  <c r="AI140" i="13" s="1"/>
  <c r="AM119" i="13"/>
  <c r="AM185" i="13"/>
  <c r="AM153" i="13" s="1"/>
  <c r="AM202" i="13"/>
  <c r="AM101" i="13"/>
  <c r="AM140" i="13" s="1"/>
  <c r="AM172" i="13"/>
  <c r="Q115" i="14"/>
  <c r="Q162" i="14"/>
  <c r="Q174" i="14"/>
  <c r="Q200" i="14"/>
  <c r="Q136" i="14"/>
  <c r="G123" i="1"/>
  <c r="G164" i="1"/>
  <c r="AY265" i="13"/>
  <c r="AY266" i="13" s="1"/>
  <c r="AY267" i="13"/>
  <c r="AY268" i="13" s="1"/>
  <c r="BB113" i="15"/>
  <c r="BB115" i="15" s="1"/>
  <c r="Y114" i="15"/>
  <c r="X114" i="15"/>
  <c r="AU113" i="15"/>
  <c r="AA113" i="15"/>
  <c r="E189" i="14"/>
  <c r="E120" i="14"/>
  <c r="E130" i="14" s="1"/>
  <c r="E132" i="14" s="1"/>
  <c r="E138" i="14"/>
  <c r="E199" i="14" s="1"/>
  <c r="E139" i="14"/>
  <c r="E111" i="14"/>
  <c r="AW100" i="13"/>
  <c r="AW146" i="13" s="1"/>
  <c r="AW175" i="13" s="1"/>
  <c r="H172" i="13"/>
  <c r="F116" i="13"/>
  <c r="F286" i="13" s="1"/>
  <c r="F154" i="13"/>
  <c r="F201" i="13"/>
  <c r="AW137" i="13"/>
  <c r="O205" i="14"/>
  <c r="O206" i="14" s="1"/>
  <c r="O207" i="14"/>
  <c r="O208" i="14" s="1"/>
  <c r="O210" i="14"/>
  <c r="E120" i="1"/>
  <c r="M265" i="14"/>
  <c r="M266" i="14" s="1"/>
  <c r="M267" i="14"/>
  <c r="M268" i="14" s="1"/>
  <c r="BB100" i="13"/>
  <c r="BB146" i="13" s="1"/>
  <c r="BB175" i="13" s="1"/>
  <c r="AU270" i="13"/>
  <c r="AU271" i="13" s="1"/>
  <c r="AU272" i="13"/>
  <c r="AU273" i="13" s="1"/>
  <c r="AU274" i="13"/>
  <c r="AU275" i="13" s="1"/>
  <c r="F127" i="1"/>
  <c r="F130" i="1" s="1"/>
  <c r="F108" i="1"/>
  <c r="F126" i="1" s="1"/>
  <c r="C211" i="13"/>
  <c r="C213" i="13" s="1"/>
  <c r="J150" i="1"/>
  <c r="T160" i="1"/>
  <c r="T170" i="1"/>
  <c r="T142" i="1"/>
  <c r="T146" i="1"/>
  <c r="T161" i="1"/>
  <c r="T139" i="1"/>
  <c r="G152" i="14"/>
  <c r="G117" i="14"/>
  <c r="Q90" i="14"/>
  <c r="Q92" i="14" s="1"/>
  <c r="D122" i="1"/>
  <c r="AO118" i="13"/>
  <c r="AO287" i="13" s="1"/>
  <c r="C277" i="14"/>
  <c r="Q128" i="14"/>
  <c r="Q131" i="14" s="1"/>
  <c r="Q108" i="14"/>
  <c r="Q127" i="14" s="1"/>
  <c r="K139" i="13"/>
  <c r="K120" i="13"/>
  <c r="K130" i="13" s="1"/>
  <c r="K132" i="13" s="1"/>
  <c r="K189" i="13"/>
  <c r="K138" i="13"/>
  <c r="K199" i="13" s="1"/>
  <c r="Q120" i="1"/>
  <c r="T265" i="14"/>
  <c r="T266" i="14" s="1"/>
  <c r="T267" i="14"/>
  <c r="T268" i="14" s="1"/>
  <c r="I123" i="1"/>
  <c r="I164" i="1"/>
  <c r="D185" i="14"/>
  <c r="D153" i="14" s="1"/>
  <c r="D202" i="14"/>
  <c r="D101" i="14"/>
  <c r="D140" i="14" s="1"/>
  <c r="D172" i="14"/>
  <c r="D119" i="14"/>
  <c r="G151" i="1"/>
  <c r="G198" i="1"/>
  <c r="G115" i="1"/>
  <c r="T260" i="14"/>
  <c r="T261" i="14" s="1"/>
  <c r="T258" i="14"/>
  <c r="T259" i="14" s="1"/>
  <c r="T256" i="14"/>
  <c r="T257" i="14" s="1"/>
  <c r="AO128" i="13"/>
  <c r="AO131" i="13" s="1"/>
  <c r="AO108" i="13"/>
  <c r="AO127" i="13" s="1"/>
  <c r="AH270" i="13"/>
  <c r="AH271" i="13" s="1"/>
  <c r="AH272" i="13"/>
  <c r="AH273" i="13" s="1"/>
  <c r="AH274" i="13"/>
  <c r="AH275" i="13" s="1"/>
  <c r="I124" i="1"/>
  <c r="K165" i="14"/>
  <c r="K181" i="14"/>
  <c r="K184" i="14"/>
  <c r="X119" i="13"/>
  <c r="X202" i="13"/>
  <c r="X185" i="13"/>
  <c r="X101" i="13"/>
  <c r="X140" i="13" s="1"/>
  <c r="J164" i="14"/>
  <c r="J173" i="14"/>
  <c r="J145" i="14"/>
  <c r="J149" i="14"/>
  <c r="J163" i="14"/>
  <c r="BA137" i="13"/>
  <c r="X211" i="13"/>
  <c r="X213" i="13" s="1"/>
  <c r="AN265" i="13"/>
  <c r="AN266" i="13" s="1"/>
  <c r="AN267" i="13"/>
  <c r="AN268" i="13" s="1"/>
  <c r="P167" i="1"/>
  <c r="Q122" i="1"/>
  <c r="U80" i="14"/>
  <c r="C165" i="14"/>
  <c r="C181" i="14"/>
  <c r="C184" i="14"/>
  <c r="G164" i="13"/>
  <c r="G149" i="13"/>
  <c r="G173" i="13"/>
  <c r="G145" i="13"/>
  <c r="G163" i="13"/>
  <c r="Q123" i="14"/>
  <c r="AO124" i="13"/>
  <c r="AO196" i="13"/>
  <c r="AO204" i="13" s="1"/>
  <c r="AO167" i="13"/>
  <c r="AP100" i="15"/>
  <c r="AP98" i="15"/>
  <c r="AP113" i="15" s="1"/>
  <c r="AP99" i="15"/>
  <c r="AP109" i="15"/>
  <c r="AP111" i="15"/>
  <c r="AP108" i="15"/>
  <c r="AP101" i="15"/>
  <c r="AP103" i="15"/>
  <c r="AP104" i="15"/>
  <c r="AP107" i="15"/>
  <c r="AP112" i="15"/>
  <c r="AP106" i="15"/>
  <c r="U136" i="14"/>
  <c r="U115" i="14"/>
  <c r="U200" i="14"/>
  <c r="U174" i="14"/>
  <c r="U162" i="14"/>
  <c r="AP105" i="15"/>
  <c r="G117" i="1"/>
  <c r="J108" i="13"/>
  <c r="J127" i="13" s="1"/>
  <c r="J128" i="13"/>
  <c r="J131" i="13" s="1"/>
  <c r="AB100" i="13"/>
  <c r="AB146" i="13" s="1"/>
  <c r="AB175" i="13" s="1"/>
  <c r="C137" i="1"/>
  <c r="C119" i="1"/>
  <c r="C129" i="1" s="1"/>
  <c r="C131" i="1" s="1"/>
  <c r="C136" i="1"/>
  <c r="C196" i="1" s="1"/>
  <c r="C186" i="1"/>
  <c r="C111" i="1"/>
  <c r="AY114" i="15"/>
  <c r="AB125" i="13"/>
  <c r="AB142" i="13"/>
  <c r="I116" i="1"/>
  <c r="I149" i="1"/>
  <c r="BC118" i="13"/>
  <c r="BC287" i="13" s="1"/>
  <c r="N164" i="1"/>
  <c r="N123" i="1"/>
  <c r="Q149" i="1"/>
  <c r="Q116" i="1"/>
  <c r="Y137" i="13"/>
  <c r="AG128" i="13"/>
  <c r="AG131" i="13" s="1"/>
  <c r="AG108" i="13"/>
  <c r="AG127" i="13" s="1"/>
  <c r="BE274" i="13"/>
  <c r="BE275" i="13" s="1"/>
  <c r="BE272" i="13"/>
  <c r="BE273" i="13" s="1"/>
  <c r="BE270" i="13"/>
  <c r="BE271" i="13" s="1"/>
  <c r="AU267" i="13"/>
  <c r="AU268" i="13" s="1"/>
  <c r="AU265" i="13"/>
  <c r="AU266" i="13" s="1"/>
  <c r="F124" i="1"/>
  <c r="F264" i="14"/>
  <c r="F269" i="14"/>
  <c r="G134" i="1"/>
  <c r="G135" i="1" s="1"/>
  <c r="AI137" i="13"/>
  <c r="G136" i="14"/>
  <c r="M169" i="1"/>
  <c r="K260" i="1"/>
  <c r="K246" i="1"/>
  <c r="E122" i="1"/>
  <c r="M211" i="13"/>
  <c r="M213" i="13" s="1"/>
  <c r="K111" i="13"/>
  <c r="R119" i="13"/>
  <c r="R185" i="13"/>
  <c r="R153" i="13" s="1"/>
  <c r="R202" i="13"/>
  <c r="R101" i="13"/>
  <c r="R140" i="13" s="1"/>
  <c r="R172" i="13"/>
  <c r="AN211" i="13"/>
  <c r="AN213" i="13" s="1"/>
  <c r="U136" i="13"/>
  <c r="U162" i="13"/>
  <c r="U174" i="13"/>
  <c r="U115" i="13"/>
  <c r="U200" i="13"/>
  <c r="I108" i="1"/>
  <c r="I126" i="1" s="1"/>
  <c r="I127" i="1"/>
  <c r="I130" i="1" s="1"/>
  <c r="G128" i="14"/>
  <c r="G131" i="14" s="1"/>
  <c r="G108" i="14"/>
  <c r="G127" i="14" s="1"/>
  <c r="V100" i="13"/>
  <c r="V146" i="13"/>
  <c r="V175" i="13" s="1"/>
  <c r="V207" i="13"/>
  <c r="V208" i="13" s="1"/>
  <c r="V205" i="13"/>
  <c r="V206" i="13" s="1"/>
  <c r="V210" i="13"/>
  <c r="AH265" i="13"/>
  <c r="AH266" i="13" s="1"/>
  <c r="AH267" i="13"/>
  <c r="AH268" i="13" s="1"/>
  <c r="AN202" i="13"/>
  <c r="AN185" i="13"/>
  <c r="AN153" i="13" s="1"/>
  <c r="AN119" i="13"/>
  <c r="AN101" i="13"/>
  <c r="AN140" i="13" s="1"/>
  <c r="AN172" i="13"/>
  <c r="F119" i="14"/>
  <c r="F185" i="14"/>
  <c r="F202" i="14"/>
  <c r="F101" i="14"/>
  <c r="F111" i="14"/>
  <c r="F172" i="14"/>
  <c r="H211" i="14"/>
  <c r="P137" i="14"/>
  <c r="AN272" i="13"/>
  <c r="AN273" i="13" s="1"/>
  <c r="AN270" i="13"/>
  <c r="AN271" i="13" s="1"/>
  <c r="AN274" i="13"/>
  <c r="AN275" i="13" s="1"/>
  <c r="U103" i="14"/>
  <c r="U122" i="14" s="1"/>
  <c r="U82" i="14"/>
  <c r="U85" i="14"/>
  <c r="U106" i="14"/>
  <c r="AC100" i="13"/>
  <c r="AC146" i="13"/>
  <c r="AC175" i="13" s="1"/>
  <c r="AS264" i="13"/>
  <c r="AS269" i="13"/>
  <c r="M185" i="13"/>
  <c r="M202" i="13"/>
  <c r="M119" i="13"/>
  <c r="M101" i="13"/>
  <c r="M140" i="13" s="1"/>
  <c r="M172" i="13"/>
  <c r="G122" i="1"/>
  <c r="AC137" i="13"/>
  <c r="J125" i="13"/>
  <c r="J142" i="13"/>
  <c r="AY113" i="15"/>
  <c r="AY115" i="15" s="1"/>
  <c r="BA211" i="13"/>
  <c r="BA213" i="13" s="1"/>
  <c r="B143" i="1"/>
  <c r="B172" i="1" s="1"/>
  <c r="Z211" i="13"/>
  <c r="Z213" i="13" s="1"/>
  <c r="M270" i="14"/>
  <c r="M271" i="14" s="1"/>
  <c r="M274" i="14"/>
  <c r="M275" i="14" s="1"/>
  <c r="M272" i="14"/>
  <c r="M273" i="14" s="1"/>
  <c r="G159" i="1"/>
  <c r="I117" i="1"/>
  <c r="I135" i="1"/>
  <c r="O119" i="14"/>
  <c r="O202" i="14"/>
  <c r="O185" i="14"/>
  <c r="O101" i="14"/>
  <c r="O111" i="14"/>
  <c r="O172" i="14"/>
  <c r="N234" i="14"/>
  <c r="N235" i="14" s="1"/>
  <c r="N228" i="14"/>
  <c r="N229" i="14" s="1"/>
  <c r="N232" i="14"/>
  <c r="N233" i="14" s="1"/>
  <c r="N226" i="14"/>
  <c r="N227" i="14" s="1"/>
  <c r="N230" i="14"/>
  <c r="N231" i="14" s="1"/>
  <c r="N151" i="1"/>
  <c r="N198" i="1"/>
  <c r="N115" i="1"/>
  <c r="E228" i="14"/>
  <c r="E229" i="14" s="1"/>
  <c r="E232" i="14"/>
  <c r="E233" i="14" s="1"/>
  <c r="E226" i="14"/>
  <c r="E227" i="14" s="1"/>
  <c r="E230" i="14"/>
  <c r="E231" i="14" s="1"/>
  <c r="E234" i="14"/>
  <c r="E235" i="14" s="1"/>
  <c r="E153" i="14"/>
  <c r="AB117" i="13"/>
  <c r="AB152" i="13"/>
  <c r="L140" i="1"/>
  <c r="L193" i="1"/>
  <c r="L201" i="1" s="1"/>
  <c r="L141" i="1"/>
  <c r="L195" i="1" s="1"/>
  <c r="L194" i="1"/>
  <c r="F149" i="1"/>
  <c r="F116" i="1"/>
  <c r="S207" i="14"/>
  <c r="S208" i="14" s="1"/>
  <c r="S210" i="14"/>
  <c r="S205" i="14"/>
  <c r="S206" i="14" s="1"/>
  <c r="BE267" i="13"/>
  <c r="BE268" i="13" s="1"/>
  <c r="BE265" i="13"/>
  <c r="BE266" i="13" s="1"/>
  <c r="AO201" i="13"/>
  <c r="AO116" i="13"/>
  <c r="AO286" i="13" s="1"/>
  <c r="AO154" i="13"/>
  <c r="AD101" i="15"/>
  <c r="AD100" i="15"/>
  <c r="AD113" i="15" s="1"/>
  <c r="AD115" i="15" s="1"/>
  <c r="AD112" i="15"/>
  <c r="AD103" i="15"/>
  <c r="AD109" i="15"/>
  <c r="AD108" i="15"/>
  <c r="AD106" i="15"/>
  <c r="F250" i="14"/>
  <c r="F255" i="14"/>
  <c r="AL117" i="13"/>
  <c r="AL152" i="13"/>
  <c r="C138" i="1"/>
  <c r="BF269" i="13"/>
  <c r="BF264" i="13"/>
  <c r="AG136" i="13"/>
  <c r="AG162" i="13"/>
  <c r="AG174" i="13"/>
  <c r="AG115" i="13"/>
  <c r="AG200" i="13"/>
  <c r="AI269" i="13"/>
  <c r="AI264" i="13"/>
  <c r="AG121" i="13"/>
  <c r="Y170" i="13"/>
  <c r="AG117" i="13"/>
  <c r="AG152" i="13"/>
  <c r="AE111" i="13"/>
  <c r="R120" i="14"/>
  <c r="R130" i="14" s="1"/>
  <c r="R132" i="14" s="1"/>
  <c r="R189" i="14"/>
  <c r="R138" i="14"/>
  <c r="R199" i="14" s="1"/>
  <c r="R139" i="14"/>
  <c r="AB108" i="13"/>
  <c r="AB127" i="13" s="1"/>
  <c r="AB128" i="13"/>
  <c r="AB131" i="13" s="1"/>
  <c r="AY100" i="13"/>
  <c r="D116" i="1"/>
  <c r="D149" i="1"/>
  <c r="BC136" i="13"/>
  <c r="BC137" i="13" s="1"/>
  <c r="AQ170" i="13"/>
  <c r="AL121" i="13"/>
  <c r="BC125" i="13"/>
  <c r="BC142" i="13"/>
  <c r="F115" i="13"/>
  <c r="F174" i="13"/>
  <c r="F136" i="13"/>
  <c r="F200" i="13"/>
  <c r="F162" i="13"/>
  <c r="BD272" i="13"/>
  <c r="BD273" i="13" s="1"/>
  <c r="BD270" i="13"/>
  <c r="BD271" i="13" s="1"/>
  <c r="BD274" i="13"/>
  <c r="BD275" i="13" s="1"/>
  <c r="U88" i="14"/>
  <c r="U109" i="14"/>
  <c r="U98" i="14"/>
  <c r="U78" i="14"/>
  <c r="B165" i="14"/>
  <c r="B181" i="14"/>
  <c r="B184" i="14"/>
  <c r="M146" i="13"/>
  <c r="M175" i="13" s="1"/>
  <c r="AG196" i="13"/>
  <c r="AG204" i="13" s="1"/>
  <c r="AG167" i="13"/>
  <c r="AG124" i="13"/>
  <c r="D123" i="1"/>
  <c r="D164" i="1"/>
  <c r="BJ185" i="13"/>
  <c r="BJ153" i="13" s="1"/>
  <c r="BJ119" i="13"/>
  <c r="BJ202" i="13"/>
  <c r="BJ101" i="13"/>
  <c r="BJ140" i="13" s="1"/>
  <c r="BJ172" i="13"/>
  <c r="BG115" i="15"/>
  <c r="AT113" i="15"/>
  <c r="AT115" i="15" s="1"/>
  <c r="M218" i="14"/>
  <c r="M219" i="14" s="1"/>
  <c r="M222" i="14"/>
  <c r="M223" i="14" s="1"/>
  <c r="M216" i="14"/>
  <c r="M217" i="14" s="1"/>
  <c r="M220" i="14"/>
  <c r="M214" i="14"/>
  <c r="M215" i="14" s="1"/>
  <c r="AB123" i="13"/>
  <c r="G162" i="14"/>
  <c r="F121" i="13"/>
  <c r="BD100" i="13"/>
  <c r="AL124" i="13"/>
  <c r="AL196" i="13"/>
  <c r="AL204" i="13" s="1"/>
  <c r="AL167" i="13"/>
  <c r="E277" i="14"/>
  <c r="Q202" i="13"/>
  <c r="Q119" i="13"/>
  <c r="Q185" i="13"/>
  <c r="Q101" i="13"/>
  <c r="Q140" i="13" s="1"/>
  <c r="Q172" i="13"/>
  <c r="Q111" i="13"/>
  <c r="L178" i="1"/>
  <c r="L162" i="1"/>
  <c r="L181" i="1"/>
  <c r="AK211" i="13"/>
  <c r="AK213" i="13" s="1"/>
  <c r="F151" i="1"/>
  <c r="F198" i="1"/>
  <c r="F115" i="1"/>
  <c r="AB167" i="13"/>
  <c r="AB124" i="13"/>
  <c r="AB196" i="13"/>
  <c r="AB204" i="13" s="1"/>
  <c r="BC116" i="13"/>
  <c r="BC286" i="13" s="1"/>
  <c r="BC201" i="13"/>
  <c r="BC154" i="13"/>
  <c r="BC170" i="13" s="1"/>
  <c r="J118" i="13"/>
  <c r="J287" i="13" s="1"/>
  <c r="W172" i="13"/>
  <c r="AE264" i="13"/>
  <c r="AE269" i="13"/>
  <c r="BH205" i="13"/>
  <c r="BH206" i="13" s="1"/>
  <c r="BH207" i="13"/>
  <c r="BH208" i="13" s="1"/>
  <c r="BH210" i="13"/>
  <c r="F123" i="1"/>
  <c r="F164" i="1"/>
  <c r="R100" i="1"/>
  <c r="R143" i="1" s="1"/>
  <c r="R172" i="1" s="1"/>
  <c r="F117" i="1"/>
  <c r="F135" i="1"/>
  <c r="R211" i="14"/>
  <c r="R213" i="14" s="1"/>
  <c r="K153" i="13"/>
  <c r="H150" i="1"/>
  <c r="BA269" i="13"/>
  <c r="BA264" i="13"/>
  <c r="BI267" i="13"/>
  <c r="BI268" i="13" s="1"/>
  <c r="BI265" i="13"/>
  <c r="BI266" i="13" s="1"/>
  <c r="BD137" i="13"/>
  <c r="AL125" i="13"/>
  <c r="AL142" i="13"/>
  <c r="AW264" i="13"/>
  <c r="AW269" i="13"/>
  <c r="U90" i="13"/>
  <c r="U92" i="13" s="1"/>
  <c r="BA100" i="13"/>
  <c r="BA146" i="13" s="1"/>
  <c r="BA175" i="13" s="1"/>
  <c r="K222" i="14"/>
  <c r="K223" i="14" s="1"/>
  <c r="K216" i="14"/>
  <c r="K217" i="14" s="1"/>
  <c r="K220" i="14"/>
  <c r="K221" i="14" s="1"/>
  <c r="K218" i="14"/>
  <c r="K219" i="14" s="1"/>
  <c r="K214" i="14"/>
  <c r="K215" i="14" s="1"/>
  <c r="J136" i="13"/>
  <c r="AQ100" i="13"/>
  <c r="AQ146" i="13" s="1"/>
  <c r="AQ175" i="13" s="1"/>
  <c r="Q167" i="14"/>
  <c r="Q124" i="14"/>
  <c r="AV145" i="13"/>
  <c r="AV149" i="13"/>
  <c r="AV173" i="13"/>
  <c r="AV164" i="13"/>
  <c r="AV163" i="13"/>
  <c r="F90" i="13"/>
  <c r="F92" i="13" s="1"/>
  <c r="BD267" i="13"/>
  <c r="BD268" i="13" s="1"/>
  <c r="BD265" i="13"/>
  <c r="BD266" i="13" s="1"/>
  <c r="U84" i="14"/>
  <c r="U105" i="14"/>
  <c r="I120" i="1"/>
  <c r="E221" i="14"/>
  <c r="AB118" i="13"/>
  <c r="AB287" i="13" s="1"/>
  <c r="AM207" i="13"/>
  <c r="AM208" i="13" s="1"/>
  <c r="AM205" i="13"/>
  <c r="AM206" i="13" s="1"/>
  <c r="AM210" i="13"/>
  <c r="W269" i="13"/>
  <c r="W264" i="13"/>
  <c r="BJ146" i="13"/>
  <c r="BJ175" i="13" s="1"/>
  <c r="BE119" i="13"/>
  <c r="BE202" i="13"/>
  <c r="BE185" i="13"/>
  <c r="BE153" i="13" s="1"/>
  <c r="BE101" i="13"/>
  <c r="BE111" i="13"/>
  <c r="AD185" i="13"/>
  <c r="AD153" i="13" s="1"/>
  <c r="AD119" i="13"/>
  <c r="AD202" i="13"/>
  <c r="AD101" i="13"/>
  <c r="AL115" i="15"/>
  <c r="BJ113" i="15"/>
  <c r="BJ115" i="15" s="1"/>
  <c r="BI113" i="15"/>
  <c r="BI115" i="15" s="1"/>
  <c r="S164" i="13"/>
  <c r="S163" i="13"/>
  <c r="S149" i="13"/>
  <c r="S145" i="13"/>
  <c r="S173" i="13"/>
  <c r="AL123" i="13"/>
  <c r="E140" i="14"/>
  <c r="C119" i="13"/>
  <c r="C185" i="13"/>
  <c r="C153" i="13" s="1"/>
  <c r="C202" i="13"/>
  <c r="C101" i="13"/>
  <c r="C111" i="13" s="1"/>
  <c r="C172" i="13"/>
  <c r="BH269" i="13"/>
  <c r="BH264" i="13"/>
  <c r="AG118" i="13"/>
  <c r="AG287" i="13" s="1"/>
  <c r="Q142" i="14"/>
  <c r="Q143" i="14" s="1"/>
  <c r="Q198" i="14" s="1"/>
  <c r="Q125" i="14"/>
  <c r="Q141" i="14"/>
  <c r="Q197" i="14" s="1"/>
  <c r="AC205" i="13"/>
  <c r="AC206" i="13" s="1"/>
  <c r="AC207" i="13"/>
  <c r="AC208" i="13" s="1"/>
  <c r="AC210" i="13"/>
  <c r="Q108" i="1"/>
  <c r="Q126" i="1" s="1"/>
  <c r="Q127" i="1"/>
  <c r="Q130" i="1" s="1"/>
  <c r="BC123" i="13"/>
  <c r="AU211" i="13"/>
  <c r="AU213" i="13" s="1"/>
  <c r="BJ269" i="13"/>
  <c r="BJ264" i="13"/>
  <c r="W210" i="13"/>
  <c r="W205" i="13"/>
  <c r="W206" i="13" s="1"/>
  <c r="W207" i="13"/>
  <c r="W208" i="13" s="1"/>
  <c r="AK267" i="13"/>
  <c r="AK268" i="13" s="1"/>
  <c r="AK265" i="13"/>
  <c r="AK266" i="13" s="1"/>
  <c r="L120" i="13"/>
  <c r="L130" i="13" s="1"/>
  <c r="L132" i="13" s="1"/>
  <c r="L189" i="13"/>
  <c r="L111" i="13"/>
  <c r="L139" i="13"/>
  <c r="L138" i="13"/>
  <c r="L199" i="13" s="1"/>
  <c r="BF100" i="13"/>
  <c r="BF146" i="13" s="1"/>
  <c r="BF175" i="13" s="1"/>
  <c r="P211" i="13"/>
  <c r="P213" i="13" s="1"/>
  <c r="AG90" i="13"/>
  <c r="AG92" i="13" s="1"/>
  <c r="B172" i="13"/>
  <c r="AZ181" i="13"/>
  <c r="AZ165" i="13"/>
  <c r="AZ184" i="13"/>
  <c r="H129" i="1"/>
  <c r="H131" i="1" s="1"/>
  <c r="AY137" i="13"/>
  <c r="BI272" i="13"/>
  <c r="BI273" i="13" s="1"/>
  <c r="BI270" i="13"/>
  <c r="BI271" i="13" s="1"/>
  <c r="BI274" i="13"/>
  <c r="BI275" i="13" s="1"/>
  <c r="U117" i="13"/>
  <c r="U152" i="13"/>
  <c r="AF207" i="13"/>
  <c r="AF208" i="13" s="1"/>
  <c r="AF210" i="13"/>
  <c r="AF205" i="13"/>
  <c r="AF206" i="13" s="1"/>
  <c r="AF269" i="13"/>
  <c r="AF264" i="13"/>
  <c r="G116" i="1"/>
  <c r="G149" i="1"/>
  <c r="AG116" i="13"/>
  <c r="AG286" i="13" s="1"/>
  <c r="AG154" i="13"/>
  <c r="AG170" i="13" s="1"/>
  <c r="AG201" i="13"/>
  <c r="O269" i="14"/>
  <c r="O264" i="14"/>
  <c r="AD211" i="13"/>
  <c r="AD213" i="13" s="1"/>
  <c r="P100" i="14"/>
  <c r="P146" i="14" s="1"/>
  <c r="P175" i="14" s="1"/>
  <c r="AW170" i="13"/>
  <c r="N124" i="1"/>
  <c r="BF205" i="13"/>
  <c r="BF206" i="13" s="1"/>
  <c r="BF210" i="13"/>
  <c r="BF207" i="13"/>
  <c r="BF208" i="13" s="1"/>
  <c r="U97" i="14"/>
  <c r="U77" i="14"/>
  <c r="U90" i="14" s="1"/>
  <c r="U92" i="14" s="1"/>
  <c r="F123" i="13"/>
  <c r="N186" i="14"/>
  <c r="N187" i="14" s="1"/>
  <c r="N158" i="14"/>
  <c r="N190" i="14" s="1"/>
  <c r="N191" i="14" s="1"/>
  <c r="N171" i="14" s="1"/>
  <c r="N157" i="14"/>
  <c r="N169" i="14"/>
  <c r="AE137" i="13"/>
  <c r="P196" i="14"/>
  <c r="P204" i="14" s="1"/>
  <c r="D120" i="1"/>
  <c r="AU119" i="13"/>
  <c r="AU202" i="13"/>
  <c r="AU185" i="13"/>
  <c r="AU101" i="13"/>
  <c r="BE114" i="15"/>
  <c r="AM114" i="15"/>
  <c r="O120" i="15"/>
  <c r="O155" i="15" s="1"/>
  <c r="AD111" i="15"/>
  <c r="AD114" i="15" s="1"/>
  <c r="BK115" i="15"/>
  <c r="AE113" i="15"/>
  <c r="AE115" i="15" s="1"/>
  <c r="AS114" i="15"/>
  <c r="S138" i="13"/>
  <c r="S199" i="13" s="1"/>
  <c r="S189" i="13"/>
  <c r="S139" i="13"/>
  <c r="S120" i="13"/>
  <c r="S130" i="13" s="1"/>
  <c r="S132" i="13" s="1"/>
  <c r="AO136" i="13"/>
  <c r="AO137" i="13" s="1"/>
  <c r="AO172" i="13" s="1"/>
  <c r="E134" i="1"/>
  <c r="N216" i="14"/>
  <c r="N217" i="14" s="1"/>
  <c r="N220" i="14"/>
  <c r="N221" i="14" s="1"/>
  <c r="N214" i="14"/>
  <c r="N215" i="14" s="1"/>
  <c r="N277" i="14" s="1"/>
  <c r="N218" i="14"/>
  <c r="N219" i="14" s="1"/>
  <c r="N222" i="14"/>
  <c r="N223" i="14" s="1"/>
  <c r="N90" i="1"/>
  <c r="N92" i="1" s="1"/>
  <c r="Q164" i="1"/>
  <c r="Q123" i="1"/>
  <c r="AJ111" i="13"/>
  <c r="AK274" i="13"/>
  <c r="AK275" i="13" s="1"/>
  <c r="AK270" i="13"/>
  <c r="AK271" i="13" s="1"/>
  <c r="AK272" i="13"/>
  <c r="AK273" i="13" s="1"/>
  <c r="T136" i="1"/>
  <c r="T196" i="1" s="1"/>
  <c r="T119" i="1"/>
  <c r="T129" i="1" s="1"/>
  <c r="T131" i="1" s="1"/>
  <c r="T186" i="1"/>
  <c r="T137" i="1"/>
  <c r="F134" i="1"/>
  <c r="L153" i="13"/>
  <c r="H189" i="13"/>
  <c r="H120" i="13"/>
  <c r="H130" i="13" s="1"/>
  <c r="H132" i="13" s="1"/>
  <c r="H138" i="13"/>
  <c r="H199" i="13" s="1"/>
  <c r="H139" i="13"/>
  <c r="H111" i="13"/>
  <c r="AL201" i="13"/>
  <c r="AL154" i="13"/>
  <c r="AL170" i="13" s="1"/>
  <c r="AL116" i="13"/>
  <c r="AL286" i="13" s="1"/>
  <c r="J152" i="13"/>
  <c r="J117" i="13"/>
  <c r="F152" i="13"/>
  <c r="F117" i="13"/>
  <c r="H250" i="14"/>
  <c r="H255" i="14"/>
  <c r="AQ137" i="13"/>
  <c r="BC121" i="13"/>
  <c r="BD210" i="13"/>
  <c r="BD205" i="13"/>
  <c r="BD206" i="13" s="1"/>
  <c r="BD207" i="13"/>
  <c r="BD208" i="13" s="1"/>
  <c r="Q124" i="1"/>
  <c r="D127" i="1"/>
  <c r="D130" i="1" s="1"/>
  <c r="D108" i="1"/>
  <c r="D126" i="1" s="1"/>
  <c r="O255" i="14"/>
  <c r="O250" i="14"/>
  <c r="AP110" i="15"/>
  <c r="Q134" i="1"/>
  <c r="BC162" i="13"/>
  <c r="AU172" i="13"/>
  <c r="AR120" i="13"/>
  <c r="AR130" i="13" s="1"/>
  <c r="AR132" i="13" s="1"/>
  <c r="AR139" i="13"/>
  <c r="AR138" i="13"/>
  <c r="AR199" i="13" s="1"/>
  <c r="AR189" i="13"/>
  <c r="G124" i="1"/>
  <c r="U86" i="14"/>
  <c r="U107" i="14"/>
  <c r="U126" i="14" s="1"/>
  <c r="BI119" i="13"/>
  <c r="BI185" i="13"/>
  <c r="BI202" i="13"/>
  <c r="BI101" i="13"/>
  <c r="K236" i="14"/>
  <c r="K237" i="14" s="1"/>
  <c r="BH170" i="13"/>
  <c r="AL118" i="13"/>
  <c r="AL287" i="13" s="1"/>
  <c r="AL137" i="13"/>
  <c r="AU146" i="13"/>
  <c r="AU175" i="13" s="1"/>
  <c r="BD113" i="15"/>
  <c r="AN114" i="15"/>
  <c r="AX113" i="15"/>
  <c r="AX115" i="15" s="1"/>
  <c r="BF113" i="15"/>
  <c r="BF115" i="15" s="1"/>
  <c r="AK113" i="15"/>
  <c r="AK115" i="15" s="1"/>
  <c r="AD128" i="15"/>
  <c r="G109" i="15"/>
  <c r="T109" i="15"/>
  <c r="T113" i="15" s="1"/>
  <c r="BA113" i="15"/>
  <c r="BA115" i="15" s="1"/>
  <c r="AD98" i="15"/>
  <c r="AD105" i="15"/>
  <c r="AB113" i="15"/>
  <c r="AB115" i="15" s="1"/>
  <c r="AQ113" i="15"/>
  <c r="AQ115" i="15" s="1"/>
  <c r="AF114" i="15"/>
  <c r="E115" i="1"/>
  <c r="E151" i="1"/>
  <c r="E167" i="1" s="1"/>
  <c r="E198" i="1"/>
  <c r="B140" i="13"/>
  <c r="Y100" i="13"/>
  <c r="U128" i="13"/>
  <c r="U131" i="13" s="1"/>
  <c r="U108" i="13"/>
  <c r="U127" i="13" s="1"/>
  <c r="AF100" i="13"/>
  <c r="AF146" i="13" s="1"/>
  <c r="AF175" i="13" s="1"/>
  <c r="M189" i="14"/>
  <c r="M139" i="14"/>
  <c r="M120" i="14"/>
  <c r="M130" i="14" s="1"/>
  <c r="M132" i="14" s="1"/>
  <c r="M138" i="14"/>
  <c r="M199" i="14" s="1"/>
  <c r="M111" i="14"/>
  <c r="G201" i="14"/>
  <c r="G116" i="14"/>
  <c r="G154" i="14"/>
  <c r="G170" i="14" s="1"/>
  <c r="G172" i="14"/>
  <c r="K213" i="13"/>
  <c r="K224" i="13" s="1"/>
  <c r="K225" i="13" s="1"/>
  <c r="V269" i="13"/>
  <c r="V264" i="13"/>
  <c r="T111" i="13"/>
  <c r="AK120" i="13"/>
  <c r="AK130" i="13" s="1"/>
  <c r="AK132" i="13" s="1"/>
  <c r="AK189" i="13"/>
  <c r="AK139" i="13"/>
  <c r="AK138" i="13"/>
  <c r="AK199" i="13" s="1"/>
  <c r="N159" i="1"/>
  <c r="N171" i="1"/>
  <c r="N197" i="1"/>
  <c r="N134" i="1"/>
  <c r="N135" i="1" s="1"/>
  <c r="N114" i="1"/>
  <c r="E124" i="1"/>
  <c r="M256" i="14"/>
  <c r="M257" i="14" s="1"/>
  <c r="M260" i="14"/>
  <c r="M261" i="14" s="1"/>
  <c r="M258" i="14"/>
  <c r="M259" i="14" s="1"/>
  <c r="T138" i="1"/>
  <c r="J116" i="13"/>
  <c r="J286" i="13" s="1"/>
  <c r="J201" i="13"/>
  <c r="J154" i="13"/>
  <c r="U142" i="13"/>
  <c r="U125" i="13"/>
  <c r="AQ207" i="13"/>
  <c r="AQ208" i="13" s="1"/>
  <c r="AQ205" i="13"/>
  <c r="AQ206" i="13" s="1"/>
  <c r="AQ210" i="13"/>
  <c r="J121" i="13"/>
  <c r="S199" i="1"/>
  <c r="S182" i="1"/>
  <c r="S118" i="1"/>
  <c r="S101" i="1"/>
  <c r="S111" i="1"/>
  <c r="S169" i="1"/>
  <c r="K140" i="13"/>
  <c r="AR145" i="13"/>
  <c r="AR149" i="13"/>
  <c r="AR173" i="13"/>
  <c r="AR164" i="13"/>
  <c r="AR163" i="13"/>
  <c r="AJ172" i="13"/>
  <c r="H264" i="14"/>
  <c r="H269" i="14"/>
  <c r="U123" i="13"/>
  <c r="H111" i="1"/>
  <c r="F122" i="1"/>
  <c r="AH205" i="13"/>
  <c r="AH206" i="13" s="1"/>
  <c r="AH210" i="13"/>
  <c r="AH207" i="13"/>
  <c r="AH208" i="13" s="1"/>
  <c r="BH100" i="13"/>
  <c r="BH146" i="13"/>
  <c r="BH175" i="13" s="1"/>
  <c r="AD272" i="13"/>
  <c r="AD273" i="13" s="1"/>
  <c r="AD270" i="13"/>
  <c r="AD271" i="13" s="1"/>
  <c r="AD274" i="13"/>
  <c r="AD275" i="13" s="1"/>
  <c r="Y267" i="13"/>
  <c r="Y268" i="13" s="1"/>
  <c r="Y265" i="13"/>
  <c r="Y266" i="13" s="1"/>
  <c r="F120" i="1"/>
  <c r="E116" i="1"/>
  <c r="E149" i="1"/>
  <c r="AE211" i="13"/>
  <c r="AE213" i="13"/>
  <c r="S146" i="14"/>
  <c r="S175" i="14" s="1"/>
  <c r="S100" i="14"/>
  <c r="AI211" i="13"/>
  <c r="AI213" i="13" s="1"/>
  <c r="Q159" i="1"/>
  <c r="AB116" i="13"/>
  <c r="AB286" i="13" s="1"/>
  <c r="AB154" i="13"/>
  <c r="AB170" i="13" s="1"/>
  <c r="AB201" i="13"/>
  <c r="O182" i="1"/>
  <c r="O150" i="1" s="1"/>
  <c r="O118" i="1"/>
  <c r="O199" i="1"/>
  <c r="O169" i="1"/>
  <c r="O101" i="1"/>
  <c r="O111" i="1"/>
  <c r="AV139" i="13"/>
  <c r="AV189" i="13"/>
  <c r="AV138" i="13"/>
  <c r="AV199" i="13" s="1"/>
  <c r="AV120" i="13"/>
  <c r="AV130" i="13" s="1"/>
  <c r="AV132" i="13" s="1"/>
  <c r="AE170" i="13"/>
  <c r="AA211" i="13"/>
  <c r="AA213" i="13" s="1"/>
  <c r="U83" i="14"/>
  <c r="U104" i="14"/>
  <c r="K224" i="14"/>
  <c r="K225" i="14" s="1"/>
  <c r="AC170" i="13"/>
  <c r="AB136" i="13"/>
  <c r="AB137" i="13" s="1"/>
  <c r="G120" i="13"/>
  <c r="G130" i="13" s="1"/>
  <c r="G132" i="13" s="1"/>
  <c r="G189" i="13"/>
  <c r="G139" i="13"/>
  <c r="G138" i="13"/>
  <c r="G199" i="13" s="1"/>
  <c r="AC269" i="13"/>
  <c r="AC264" i="13"/>
  <c r="AA269" i="13"/>
  <c r="AA264" i="13"/>
  <c r="W146" i="13"/>
  <c r="W175" i="13" s="1"/>
  <c r="AA185" i="13"/>
  <c r="AA119" i="13"/>
  <c r="AA140" i="13"/>
  <c r="AA202" i="13"/>
  <c r="AA172" i="13"/>
  <c r="AA101" i="13"/>
  <c r="AH146" i="13"/>
  <c r="AH175" i="13" s="1"/>
  <c r="Z146" i="13"/>
  <c r="Z175" i="13" s="1"/>
  <c r="Z151" i="15"/>
  <c r="Z134" i="15"/>
  <c r="Z171" i="15" s="1"/>
  <c r="BD115" i="15"/>
  <c r="AQ151" i="15"/>
  <c r="AV151" i="15"/>
  <c r="AV134" i="15"/>
  <c r="AV171" i="15" s="1"/>
  <c r="AA115" i="15"/>
  <c r="BE148" i="15"/>
  <c r="BE164" i="15"/>
  <c r="BE126" i="15"/>
  <c r="BE181" i="15" s="1"/>
  <c r="BE180" i="15"/>
  <c r="BE179" i="15"/>
  <c r="BE187" i="15" s="1"/>
  <c r="BE125" i="15"/>
  <c r="BF126" i="15"/>
  <c r="BF181" i="15" s="1"/>
  <c r="BF180" i="15"/>
  <c r="BF179" i="15"/>
  <c r="BF187" i="15" s="1"/>
  <c r="BF125" i="15"/>
  <c r="AM180" i="15"/>
  <c r="AM126" i="15"/>
  <c r="AM181" i="15" s="1"/>
  <c r="AM125" i="15"/>
  <c r="AM179" i="15"/>
  <c r="AM187" i="15" s="1"/>
  <c r="BE155" i="15"/>
  <c r="AK126" i="15"/>
  <c r="AK181" i="15" s="1"/>
  <c r="AK180" i="15"/>
  <c r="AK179" i="15"/>
  <c r="AK187" i="15" s="1"/>
  <c r="AK125" i="15"/>
  <c r="BA151" i="15"/>
  <c r="BH155" i="15"/>
  <c r="BB148" i="15"/>
  <c r="BB164" i="15"/>
  <c r="AZ151" i="15"/>
  <c r="AY126" i="15"/>
  <c r="AY181" i="15" s="1"/>
  <c r="AY180" i="15"/>
  <c r="AY125" i="15"/>
  <c r="AY179" i="15"/>
  <c r="AY187" i="15" s="1"/>
  <c r="AU155" i="15"/>
  <c r="V126" i="15"/>
  <c r="V181" i="15" s="1"/>
  <c r="V180" i="15"/>
  <c r="V125" i="15"/>
  <c r="V179" i="15"/>
  <c r="V187" i="15" s="1"/>
  <c r="AD151" i="15"/>
  <c r="AY151" i="15"/>
  <c r="AY171" i="15"/>
  <c r="BB167" i="15"/>
  <c r="AL126" i="15"/>
  <c r="AL181" i="15" s="1"/>
  <c r="AL180" i="15"/>
  <c r="AL125" i="15"/>
  <c r="AL179" i="15"/>
  <c r="AL187" i="15" s="1"/>
  <c r="AM148" i="15"/>
  <c r="AM164" i="15"/>
  <c r="BG151" i="15"/>
  <c r="BG171" i="15"/>
  <c r="BA126" i="15"/>
  <c r="BA181" i="15" s="1"/>
  <c r="BA180" i="15"/>
  <c r="BA125" i="15"/>
  <c r="BA179" i="15"/>
  <c r="BA187" i="15" s="1"/>
  <c r="BA148" i="15"/>
  <c r="BA164" i="15"/>
  <c r="AK151" i="15"/>
  <c r="BC126" i="15"/>
  <c r="BC181" i="15" s="1"/>
  <c r="BC180" i="15"/>
  <c r="BC125" i="15"/>
  <c r="BC179" i="15"/>
  <c r="BC187" i="15" s="1"/>
  <c r="AK148" i="15"/>
  <c r="AK164" i="15"/>
  <c r="AP148" i="15"/>
  <c r="AP164" i="15"/>
  <c r="BE167" i="15"/>
  <c r="BE134" i="15" s="1"/>
  <c r="BJ148" i="15"/>
  <c r="BJ164" i="15"/>
  <c r="AY148" i="15"/>
  <c r="AY164" i="15"/>
  <c r="AW134" i="15"/>
  <c r="AW171" i="15" s="1"/>
  <c r="AW155" i="15"/>
  <c r="AV126" i="15"/>
  <c r="AV181" i="15" s="1"/>
  <c r="AV180" i="15"/>
  <c r="AV179" i="15"/>
  <c r="AV187" i="15" s="1"/>
  <c r="AV125" i="15"/>
  <c r="AW151" i="15"/>
  <c r="AN126" i="15"/>
  <c r="AN181" i="15" s="1"/>
  <c r="AN180" i="15"/>
  <c r="AN125" i="15"/>
  <c r="AN179" i="15"/>
  <c r="AN187" i="15" s="1"/>
  <c r="AF151" i="15"/>
  <c r="AD148" i="15"/>
  <c r="AD164" i="15"/>
  <c r="AB148" i="15"/>
  <c r="AB164" i="15"/>
  <c r="W148" i="15"/>
  <c r="W164" i="15"/>
  <c r="AO146" i="15"/>
  <c r="AO124" i="15"/>
  <c r="AO147" i="15"/>
  <c r="AO156" i="15"/>
  <c r="AO128" i="15"/>
  <c r="AO132" i="15"/>
  <c r="BD148" i="15"/>
  <c r="BD164" i="15"/>
  <c r="AR151" i="15"/>
  <c r="AR171" i="15"/>
  <c r="AI113" i="15"/>
  <c r="AT134" i="15"/>
  <c r="AT171" i="15" s="1"/>
  <c r="AT155" i="15"/>
  <c r="AG151" i="15"/>
  <c r="AG171" i="15"/>
  <c r="Z126" i="15"/>
  <c r="Z181" i="15" s="1"/>
  <c r="Z180" i="15"/>
  <c r="Z125" i="15"/>
  <c r="Z179" i="15"/>
  <c r="Z187" i="15" s="1"/>
  <c r="AW113" i="15"/>
  <c r="BI126" i="15"/>
  <c r="BI181" i="15" s="1"/>
  <c r="BI180" i="15"/>
  <c r="BI125" i="15"/>
  <c r="BI179" i="15"/>
  <c r="BI187" i="15" s="1"/>
  <c r="BI148" i="15"/>
  <c r="BI164" i="15"/>
  <c r="U114" i="15"/>
  <c r="AB167" i="15"/>
  <c r="AO106" i="15"/>
  <c r="AO107" i="15"/>
  <c r="AX134" i="15"/>
  <c r="AX171" i="15" s="1"/>
  <c r="AX155" i="15"/>
  <c r="AJ126" i="15"/>
  <c r="AJ181" i="15" s="1"/>
  <c r="AJ180" i="15"/>
  <c r="AJ179" i="15"/>
  <c r="AJ187" i="15" s="1"/>
  <c r="AJ125" i="15"/>
  <c r="V134" i="15"/>
  <c r="V155" i="15"/>
  <c r="AO112" i="15"/>
  <c r="AR113" i="15"/>
  <c r="AR115" i="15" s="1"/>
  <c r="AT126" i="15"/>
  <c r="AT181" i="15" s="1"/>
  <c r="AT180" i="15"/>
  <c r="AT179" i="15"/>
  <c r="AT187" i="15" s="1"/>
  <c r="AT125" i="15"/>
  <c r="AG114" i="15"/>
  <c r="AJ151" i="15"/>
  <c r="AW148" i="15"/>
  <c r="AW164" i="15"/>
  <c r="AW126" i="15"/>
  <c r="AW181" i="15" s="1"/>
  <c r="AW180" i="15"/>
  <c r="AW179" i="15"/>
  <c r="AW187" i="15" s="1"/>
  <c r="AW125" i="15"/>
  <c r="AC151" i="15"/>
  <c r="Y113" i="15"/>
  <c r="Y115" i="15" s="1"/>
  <c r="U126" i="15"/>
  <c r="U181" i="15" s="1"/>
  <c r="U180" i="15"/>
  <c r="U125" i="15"/>
  <c r="U179" i="15"/>
  <c r="U187" i="15" s="1"/>
  <c r="U148" i="15"/>
  <c r="U164" i="15"/>
  <c r="AF126" i="15"/>
  <c r="AF181" i="15" s="1"/>
  <c r="AF180" i="15"/>
  <c r="AF125" i="15"/>
  <c r="AF179" i="15"/>
  <c r="AF187" i="15" s="1"/>
  <c r="AO99" i="15"/>
  <c r="AR148" i="15"/>
  <c r="AR164" i="15"/>
  <c r="AI148" i="15"/>
  <c r="AI164" i="15"/>
  <c r="X126" i="15"/>
  <c r="X181" i="15" s="1"/>
  <c r="X180" i="15"/>
  <c r="X179" i="15"/>
  <c r="X187" i="15" s="1"/>
  <c r="X125" i="15"/>
  <c r="AQ134" i="15"/>
  <c r="AQ171" i="15" s="1"/>
  <c r="AQ155" i="15"/>
  <c r="BJ167" i="15"/>
  <c r="BH113" i="15"/>
  <c r="Y134" i="15"/>
  <c r="Y171" i="15" s="1"/>
  <c r="Y155" i="15"/>
  <c r="AD134" i="15"/>
  <c r="AD171" i="15" s="1"/>
  <c r="AO155" i="15"/>
  <c r="AO111" i="15"/>
  <c r="AO114" i="15" s="1"/>
  <c r="U155" i="15"/>
  <c r="AR126" i="15"/>
  <c r="AR181" i="15" s="1"/>
  <c r="AR180" i="15"/>
  <c r="AR125" i="15"/>
  <c r="AR179" i="15"/>
  <c r="AR187" i="15" s="1"/>
  <c r="AI126" i="15"/>
  <c r="AI181" i="15" s="1"/>
  <c r="AI180" i="15"/>
  <c r="AI179" i="15"/>
  <c r="AI187" i="15" s="1"/>
  <c r="AI125" i="15"/>
  <c r="Y148" i="15"/>
  <c r="Y164" i="15"/>
  <c r="Y126" i="15"/>
  <c r="Y181" i="15" s="1"/>
  <c r="Y180" i="15"/>
  <c r="Y179" i="15"/>
  <c r="Y187" i="15" s="1"/>
  <c r="Y125" i="15"/>
  <c r="AH126" i="15"/>
  <c r="AH181" i="15" s="1"/>
  <c r="AH180" i="15"/>
  <c r="AH179" i="15"/>
  <c r="AH187" i="15" s="1"/>
  <c r="AH125" i="15"/>
  <c r="BH148" i="15"/>
  <c r="BH164" i="15"/>
  <c r="AB126" i="15"/>
  <c r="AB181" i="15" s="1"/>
  <c r="AB180" i="15"/>
  <c r="AB125" i="15"/>
  <c r="AB179" i="15"/>
  <c r="AB187" i="15" s="1"/>
  <c r="W126" i="15"/>
  <c r="W181" i="15" s="1"/>
  <c r="W180" i="15"/>
  <c r="W125" i="15"/>
  <c r="W179" i="15"/>
  <c r="W187" i="15" s="1"/>
  <c r="BD126" i="15"/>
  <c r="BD181" i="15" s="1"/>
  <c r="BD180" i="15"/>
  <c r="BD179" i="15"/>
  <c r="BD187" i="15" s="1"/>
  <c r="BD125" i="15"/>
  <c r="X151" i="15"/>
  <c r="AJ113" i="15"/>
  <c r="AJ115" i="15" s="1"/>
  <c r="V113" i="15"/>
  <c r="V115" i="15" s="1"/>
  <c r="W113" i="15"/>
  <c r="W115" i="15" s="1"/>
  <c r="AJ134" i="15"/>
  <c r="AJ171" i="15" s="1"/>
  <c r="AJ155" i="15"/>
  <c r="AX151" i="15"/>
  <c r="AS148" i="15"/>
  <c r="AS164" i="15"/>
  <c r="BC151" i="15"/>
  <c r="BC171" i="15"/>
  <c r="AL148" i="15"/>
  <c r="AL164" i="15"/>
  <c r="BF148" i="15"/>
  <c r="BF164" i="15"/>
  <c r="AL167" i="15"/>
  <c r="BA134" i="15"/>
  <c r="BA171" i="15" s="1"/>
  <c r="BA155" i="15"/>
  <c r="BG148" i="15"/>
  <c r="BG164" i="15"/>
  <c r="W155" i="15"/>
  <c r="BJ126" i="15"/>
  <c r="BJ181" i="15" s="1"/>
  <c r="BJ180" i="15"/>
  <c r="BJ125" i="15"/>
  <c r="BJ179" i="15"/>
  <c r="BJ187" i="15" s="1"/>
  <c r="BH126" i="15"/>
  <c r="BH181" i="15" s="1"/>
  <c r="BH180" i="15"/>
  <c r="BH179" i="15"/>
  <c r="BH187" i="15" s="1"/>
  <c r="BH125" i="15"/>
  <c r="AD126" i="15"/>
  <c r="AD181" i="15" s="1"/>
  <c r="AD180" i="15"/>
  <c r="AD125" i="15"/>
  <c r="AD179" i="15"/>
  <c r="AD187" i="15" s="1"/>
  <c r="AZ113" i="15"/>
  <c r="AZ115" i="15" s="1"/>
  <c r="AO167" i="15"/>
  <c r="AO98" i="15"/>
  <c r="AO108" i="15"/>
  <c r="AO103" i="15"/>
  <c r="AC134" i="15"/>
  <c r="AC171" i="15" s="1"/>
  <c r="AC155" i="15"/>
  <c r="AE148" i="15"/>
  <c r="AE164" i="15"/>
  <c r="AB155" i="15"/>
  <c r="BH167" i="15"/>
  <c r="AN155" i="15"/>
  <c r="AX126" i="15"/>
  <c r="AX181" i="15" s="1"/>
  <c r="AX180" i="15"/>
  <c r="AX179" i="15"/>
  <c r="AX187" i="15" s="1"/>
  <c r="AX125" i="15"/>
  <c r="BI155" i="15"/>
  <c r="AS113" i="15"/>
  <c r="AS115" i="15" s="1"/>
  <c r="BD167" i="15"/>
  <c r="AU126" i="15"/>
  <c r="AU181" i="15" s="1"/>
  <c r="AU180" i="15"/>
  <c r="AU179" i="15"/>
  <c r="AU187" i="15" s="1"/>
  <c r="AU125" i="15"/>
  <c r="AI167" i="15"/>
  <c r="AA148" i="15"/>
  <c r="AA164" i="15"/>
  <c r="AY134" i="15"/>
  <c r="AG113" i="15"/>
  <c r="AG115" i="15" s="1"/>
  <c r="AQ148" i="15"/>
  <c r="AQ164" i="15"/>
  <c r="AF113" i="15"/>
  <c r="AF115" i="15" s="1"/>
  <c r="W167" i="15"/>
  <c r="AS126" i="15"/>
  <c r="AS181" i="15" s="1"/>
  <c r="AS180" i="15"/>
  <c r="AS179" i="15"/>
  <c r="AS187" i="15" s="1"/>
  <c r="AS125" i="15"/>
  <c r="AE155" i="15"/>
  <c r="AA155" i="15"/>
  <c r="X113" i="15"/>
  <c r="X115" i="15" s="1"/>
  <c r="AT148" i="15"/>
  <c r="AT164" i="15"/>
  <c r="AN113" i="15"/>
  <c r="AN115" i="15" s="1"/>
  <c r="Y151" i="15"/>
  <c r="BK148" i="15"/>
  <c r="BK164" i="15"/>
  <c r="AO110" i="15"/>
  <c r="AC126" i="15"/>
  <c r="AC181" i="15" s="1"/>
  <c r="AC180" i="15"/>
  <c r="AC125" i="15"/>
  <c r="AC179" i="15"/>
  <c r="AC187" i="15" s="1"/>
  <c r="AC148" i="15"/>
  <c r="AC164" i="15"/>
  <c r="AH148" i="15"/>
  <c r="AH164" i="15"/>
  <c r="Z114" i="15"/>
  <c r="Z115" i="15" s="1"/>
  <c r="AZ148" i="15"/>
  <c r="AZ164" i="15"/>
  <c r="AZ134" i="15"/>
  <c r="AZ171" i="15" s="1"/>
  <c r="AT151" i="15"/>
  <c r="Z148" i="15"/>
  <c r="Z164" i="15"/>
  <c r="AU148" i="15"/>
  <c r="AU164" i="15"/>
  <c r="BK155" i="15"/>
  <c r="U113" i="15"/>
  <c r="U115" i="15" s="1"/>
  <c r="V151" i="15"/>
  <c r="V171" i="15"/>
  <c r="BC148" i="15"/>
  <c r="BC164" i="15"/>
  <c r="BF167" i="15"/>
  <c r="AP126" i="15"/>
  <c r="AP181" i="15" s="1"/>
  <c r="AP180" i="15"/>
  <c r="AP125" i="15"/>
  <c r="AP179" i="15"/>
  <c r="AP187" i="15" s="1"/>
  <c r="AM167" i="15"/>
  <c r="BG126" i="15"/>
  <c r="BG181" i="15" s="1"/>
  <c r="BG180" i="15"/>
  <c r="BG125" i="15"/>
  <c r="BG179" i="15"/>
  <c r="BG187" i="15" s="1"/>
  <c r="BE113" i="15"/>
  <c r="AP167" i="15"/>
  <c r="AH151" i="15"/>
  <c r="AH171" i="15"/>
  <c r="BB126" i="15"/>
  <c r="BB181" i="15" s="1"/>
  <c r="BB180" i="15"/>
  <c r="BB125" i="15"/>
  <c r="BB179" i="15"/>
  <c r="BB187" i="15" s="1"/>
  <c r="BD134" i="15"/>
  <c r="BD155" i="15"/>
  <c r="AO105" i="15"/>
  <c r="AU167" i="15"/>
  <c r="AK134" i="15"/>
  <c r="AK171" i="15" s="1"/>
  <c r="AV148" i="15"/>
  <c r="AV164" i="15"/>
  <c r="AN148" i="15"/>
  <c r="AN164" i="15"/>
  <c r="AF134" i="15"/>
  <c r="AF171" i="15" s="1"/>
  <c r="AF155" i="15"/>
  <c r="V148" i="15"/>
  <c r="V164" i="15"/>
  <c r="AO109" i="15"/>
  <c r="X134" i="15"/>
  <c r="X171" i="15" s="1"/>
  <c r="X155" i="15"/>
  <c r="AR134" i="15"/>
  <c r="AR155" i="15"/>
  <c r="AE126" i="15"/>
  <c r="AE181" i="15" s="1"/>
  <c r="AE180" i="15"/>
  <c r="AE125" i="15"/>
  <c r="AE179" i="15"/>
  <c r="AE187" i="15" s="1"/>
  <c r="AN167" i="15"/>
  <c r="AN134" i="15" s="1"/>
  <c r="AX148" i="15"/>
  <c r="AX164" i="15"/>
  <c r="BI167" i="15"/>
  <c r="BI134" i="15" s="1"/>
  <c r="AO102" i="15"/>
  <c r="AU114" i="15"/>
  <c r="AU115" i="15" s="1"/>
  <c r="AA126" i="15"/>
  <c r="AA181" i="15" s="1"/>
  <c r="AA180" i="15"/>
  <c r="AA125" i="15"/>
  <c r="AA179" i="15"/>
  <c r="AA187" i="15" s="1"/>
  <c r="AQ126" i="15"/>
  <c r="AQ181" i="15" s="1"/>
  <c r="AQ180" i="15"/>
  <c r="AQ125" i="15"/>
  <c r="AQ179" i="15"/>
  <c r="AQ187" i="15" s="1"/>
  <c r="AJ148" i="15"/>
  <c r="AJ164" i="15"/>
  <c r="BH114" i="15"/>
  <c r="AS167" i="15"/>
  <c r="AO104" i="15"/>
  <c r="AE167" i="15"/>
  <c r="AA167" i="15"/>
  <c r="AA134" i="15" s="1"/>
  <c r="AV113" i="15"/>
  <c r="AV115" i="15" s="1"/>
  <c r="AG148" i="15"/>
  <c r="AG164" i="15"/>
  <c r="AG126" i="15"/>
  <c r="AG181" i="15" s="1"/>
  <c r="AG180" i="15"/>
  <c r="AG125" i="15"/>
  <c r="AG179" i="15"/>
  <c r="AG187" i="15" s="1"/>
  <c r="AW114" i="15"/>
  <c r="AC113" i="15"/>
  <c r="AC115" i="15" s="1"/>
  <c r="AF148" i="15"/>
  <c r="AF164" i="15"/>
  <c r="BK126" i="15"/>
  <c r="BK181" i="15" s="1"/>
  <c r="BK180" i="15"/>
  <c r="BK179" i="15"/>
  <c r="BK187" i="15" s="1"/>
  <c r="BK125" i="15"/>
  <c r="AO153" i="15"/>
  <c r="AI114" i="15"/>
  <c r="X148" i="15"/>
  <c r="X164" i="15"/>
  <c r="U167" i="15"/>
  <c r="U134" i="15" s="1"/>
  <c r="AH113" i="15"/>
  <c r="AH115" i="15" s="1"/>
  <c r="AZ126" i="15"/>
  <c r="AZ181" i="15" s="1"/>
  <c r="AZ180" i="15"/>
  <c r="AZ125" i="15"/>
  <c r="AZ179" i="15"/>
  <c r="AZ187" i="15" s="1"/>
  <c r="BK167" i="15"/>
  <c r="BK134" i="15" s="1"/>
  <c r="G105" i="15"/>
  <c r="G108" i="15"/>
  <c r="G107" i="15"/>
  <c r="G156" i="15"/>
  <c r="N132" i="15"/>
  <c r="G153" i="15"/>
  <c r="G132" i="15"/>
  <c r="G164" i="15" s="1"/>
  <c r="G103" i="15"/>
  <c r="G113" i="15" s="1"/>
  <c r="M164" i="15"/>
  <c r="M149" i="15" s="1"/>
  <c r="G112" i="15"/>
  <c r="G146" i="15"/>
  <c r="G124" i="15"/>
  <c r="G179" i="15" s="1"/>
  <c r="G187" i="15" s="1"/>
  <c r="G106" i="15"/>
  <c r="G120" i="15"/>
  <c r="G155" i="15" s="1"/>
  <c r="G99" i="15"/>
  <c r="G111" i="15"/>
  <c r="G110" i="15"/>
  <c r="B98" i="15"/>
  <c r="J98" i="15"/>
  <c r="K185" i="15"/>
  <c r="D153" i="15"/>
  <c r="K99" i="15"/>
  <c r="K98" i="15"/>
  <c r="M134" i="15"/>
  <c r="M171" i="15" s="1"/>
  <c r="K156" i="15"/>
  <c r="K108" i="15"/>
  <c r="O106" i="15"/>
  <c r="O132" i="15"/>
  <c r="O148" i="15" s="1"/>
  <c r="O100" i="15"/>
  <c r="O124" i="15"/>
  <c r="O179" i="15" s="1"/>
  <c r="O187" i="15" s="1"/>
  <c r="O104" i="15"/>
  <c r="O107" i="15"/>
  <c r="K153" i="15"/>
  <c r="H114" i="15"/>
  <c r="B106" i="15"/>
  <c r="O111" i="15"/>
  <c r="O109" i="15"/>
  <c r="O147" i="15"/>
  <c r="O156" i="15"/>
  <c r="J124" i="15"/>
  <c r="J180" i="15" s="1"/>
  <c r="J103" i="15"/>
  <c r="B102" i="15"/>
  <c r="O98" i="15"/>
  <c r="J106" i="15"/>
  <c r="O101" i="15"/>
  <c r="O112" i="15"/>
  <c r="O102" i="15"/>
  <c r="K104" i="15"/>
  <c r="K132" i="15"/>
  <c r="K164" i="15" s="1"/>
  <c r="K112" i="15"/>
  <c r="K105" i="15"/>
  <c r="K101" i="15"/>
  <c r="K146" i="15"/>
  <c r="K124" i="15"/>
  <c r="K180" i="15" s="1"/>
  <c r="K106" i="15"/>
  <c r="K128" i="15"/>
  <c r="K110" i="15"/>
  <c r="I107" i="15"/>
  <c r="F185" i="15"/>
  <c r="B185" i="15"/>
  <c r="I124" i="15"/>
  <c r="I180" i="15" s="1"/>
  <c r="K100" i="15"/>
  <c r="K111" i="15"/>
  <c r="K107" i="15"/>
  <c r="K147" i="15"/>
  <c r="K102" i="15"/>
  <c r="N105" i="15"/>
  <c r="L100" i="15"/>
  <c r="N110" i="15"/>
  <c r="T114" i="15"/>
  <c r="J128" i="15"/>
  <c r="J101" i="15"/>
  <c r="M148" i="15"/>
  <c r="B105" i="15"/>
  <c r="J111" i="15"/>
  <c r="B124" i="15"/>
  <c r="B180" i="15" s="1"/>
  <c r="J147" i="15"/>
  <c r="J104" i="15"/>
  <c r="J132" i="15"/>
  <c r="J167" i="15" s="1"/>
  <c r="J151" i="15" s="1"/>
  <c r="J100" i="15"/>
  <c r="J99" i="15"/>
  <c r="J109" i="15"/>
  <c r="J146" i="15"/>
  <c r="J107" i="15"/>
  <c r="J110" i="15"/>
  <c r="J112" i="15"/>
  <c r="J156" i="15"/>
  <c r="J105" i="15"/>
  <c r="J108" i="15"/>
  <c r="N167" i="15"/>
  <c r="N151" i="15" s="1"/>
  <c r="N153" i="15"/>
  <c r="I147" i="15"/>
  <c r="N120" i="15"/>
  <c r="N155" i="15" s="1"/>
  <c r="M125" i="15"/>
  <c r="B153" i="15"/>
  <c r="L99" i="15"/>
  <c r="L105" i="15"/>
  <c r="J153" i="15"/>
  <c r="N146" i="15"/>
  <c r="N107" i="15"/>
  <c r="N99" i="15"/>
  <c r="N101" i="15"/>
  <c r="F128" i="15"/>
  <c r="L146" i="15"/>
  <c r="N147" i="15"/>
  <c r="N124" i="15"/>
  <c r="N179" i="15" s="1"/>
  <c r="N187" i="15" s="1"/>
  <c r="N111" i="15"/>
  <c r="N98" i="15"/>
  <c r="D185" i="15"/>
  <c r="F146" i="15"/>
  <c r="L102" i="15"/>
  <c r="F109" i="15"/>
  <c r="N156" i="15"/>
  <c r="N128" i="15"/>
  <c r="F100" i="15"/>
  <c r="N103" i="15"/>
  <c r="N100" i="15"/>
  <c r="N108" i="15"/>
  <c r="N112" i="15"/>
  <c r="N109" i="15"/>
  <c r="B112" i="15"/>
  <c r="B111" i="15"/>
  <c r="B99" i="15"/>
  <c r="B146" i="15"/>
  <c r="I111" i="15"/>
  <c r="I146" i="15"/>
  <c r="I112" i="15"/>
  <c r="I98" i="15"/>
  <c r="I103" i="15"/>
  <c r="B100" i="15"/>
  <c r="B107" i="15"/>
  <c r="B110" i="15"/>
  <c r="I109" i="15"/>
  <c r="I100" i="15"/>
  <c r="I104" i="15"/>
  <c r="B101" i="15"/>
  <c r="I110" i="15"/>
  <c r="I108" i="15"/>
  <c r="B103" i="15"/>
  <c r="B156" i="15"/>
  <c r="B128" i="15"/>
  <c r="I132" i="15"/>
  <c r="I167" i="15" s="1"/>
  <c r="I134" i="15" s="1"/>
  <c r="I171" i="15" s="1"/>
  <c r="I99" i="15"/>
  <c r="I102" i="15"/>
  <c r="B104" i="15"/>
  <c r="I101" i="15"/>
  <c r="B132" i="15"/>
  <c r="B167" i="15" s="1"/>
  <c r="B134" i="15" s="1"/>
  <c r="B171" i="15" s="1"/>
  <c r="B147" i="15"/>
  <c r="I156" i="15"/>
  <c r="B109" i="15"/>
  <c r="F147" i="15"/>
  <c r="Q102" i="15"/>
  <c r="J120" i="15"/>
  <c r="L107" i="15"/>
  <c r="L132" i="15"/>
  <c r="L167" i="15" s="1"/>
  <c r="L151" i="15" s="1"/>
  <c r="F101" i="15"/>
  <c r="F108" i="15"/>
  <c r="F124" i="15"/>
  <c r="F179" i="15" s="1"/>
  <c r="F187" i="15" s="1"/>
  <c r="H179" i="15"/>
  <c r="H187" i="15" s="1"/>
  <c r="H193" i="15" s="1"/>
  <c r="L103" i="15"/>
  <c r="L147" i="15"/>
  <c r="L128" i="15"/>
  <c r="L108" i="15"/>
  <c r="L104" i="15"/>
  <c r="L98" i="15"/>
  <c r="F105" i="15"/>
  <c r="F156" i="15"/>
  <c r="F132" i="15"/>
  <c r="F167" i="15" s="1"/>
  <c r="F134" i="15" s="1"/>
  <c r="L101" i="15"/>
  <c r="L106" i="15"/>
  <c r="L111" i="15"/>
  <c r="L114" i="15" s="1"/>
  <c r="L124" i="15"/>
  <c r="L180" i="15" s="1"/>
  <c r="L156" i="15"/>
  <c r="F104" i="15"/>
  <c r="L109" i="15"/>
  <c r="F99" i="15"/>
  <c r="M113" i="15"/>
  <c r="M180" i="15"/>
  <c r="M246" i="15" s="1"/>
  <c r="M126" i="15"/>
  <c r="M181" i="15" s="1"/>
  <c r="F98" i="15"/>
  <c r="F103" i="15"/>
  <c r="F110" i="15"/>
  <c r="L110" i="15"/>
  <c r="F106" i="15"/>
  <c r="F112" i="15"/>
  <c r="F102" i="15"/>
  <c r="F111" i="15"/>
  <c r="M114" i="15"/>
  <c r="I105" i="15"/>
  <c r="I106" i="15"/>
  <c r="H125" i="15"/>
  <c r="H126" i="15"/>
  <c r="H181" i="15" s="1"/>
  <c r="R120" i="15"/>
  <c r="R155" i="15" s="1"/>
  <c r="R153" i="15"/>
  <c r="R185" i="15"/>
  <c r="H164" i="15"/>
  <c r="H149" i="15" s="1"/>
  <c r="S113" i="15"/>
  <c r="Q98" i="15"/>
  <c r="H148" i="15"/>
  <c r="H113" i="15"/>
  <c r="D110" i="15"/>
  <c r="Q112" i="15"/>
  <c r="Q105" i="15"/>
  <c r="D109" i="15"/>
  <c r="D103" i="15"/>
  <c r="D156" i="15"/>
  <c r="D146" i="15"/>
  <c r="D106" i="15"/>
  <c r="D107" i="15"/>
  <c r="D100" i="15"/>
  <c r="D104" i="15"/>
  <c r="D147" i="15"/>
  <c r="D124" i="15"/>
  <c r="D111" i="15"/>
  <c r="D108" i="15"/>
  <c r="D128" i="15"/>
  <c r="D98" i="15"/>
  <c r="D102" i="15"/>
  <c r="D105" i="15"/>
  <c r="D99" i="15"/>
  <c r="D112" i="15"/>
  <c r="D132" i="15"/>
  <c r="Q101" i="15"/>
  <c r="D101" i="15"/>
  <c r="R102" i="15"/>
  <c r="R106" i="15"/>
  <c r="R105" i="15"/>
  <c r="R99" i="15"/>
  <c r="R104" i="15"/>
  <c r="R98" i="15"/>
  <c r="R132" i="15"/>
  <c r="R146" i="15"/>
  <c r="R103" i="15"/>
  <c r="R110" i="15"/>
  <c r="R100" i="15"/>
  <c r="R111" i="15"/>
  <c r="R109" i="15"/>
  <c r="R156" i="15"/>
  <c r="R124" i="15"/>
  <c r="R107" i="15"/>
  <c r="R112" i="15"/>
  <c r="R108" i="15"/>
  <c r="R147" i="15"/>
  <c r="R128" i="15"/>
  <c r="R101" i="15"/>
  <c r="Q109" i="15"/>
  <c r="Q111" i="15"/>
  <c r="Q103" i="15"/>
  <c r="E110" i="15"/>
  <c r="Q100" i="15"/>
  <c r="Q108" i="15"/>
  <c r="Q110" i="15"/>
  <c r="G148" i="15"/>
  <c r="N148" i="15"/>
  <c r="N164" i="15"/>
  <c r="G167" i="15"/>
  <c r="G151" i="15" s="1"/>
  <c r="S151" i="15"/>
  <c r="BM184" i="15"/>
  <c r="BM137" i="15"/>
  <c r="E156" i="15"/>
  <c r="E132" i="15"/>
  <c r="E167" i="15" s="1"/>
  <c r="E147" i="15"/>
  <c r="E128" i="15"/>
  <c r="E146" i="15"/>
  <c r="E124" i="15"/>
  <c r="E101" i="15"/>
  <c r="P180" i="15"/>
  <c r="P126" i="15"/>
  <c r="P181" i="15" s="1"/>
  <c r="P125" i="15"/>
  <c r="P179" i="15"/>
  <c r="P187" i="15" s="1"/>
  <c r="E106" i="15"/>
  <c r="C172" i="15"/>
  <c r="C150" i="15"/>
  <c r="C91" i="15"/>
  <c r="T155" i="15"/>
  <c r="Q155" i="15"/>
  <c r="S180" i="15"/>
  <c r="S126" i="15"/>
  <c r="S181" i="15" s="1"/>
  <c r="S179" i="15"/>
  <c r="S187" i="15" s="1"/>
  <c r="S125" i="15"/>
  <c r="BM157" i="15"/>
  <c r="BM119" i="15"/>
  <c r="BM120" i="15" s="1"/>
  <c r="BM155" i="15" s="1"/>
  <c r="BM94" i="15"/>
  <c r="BM104" i="15" s="1"/>
  <c r="BM183" i="15"/>
  <c r="BM145" i="15"/>
  <c r="BM150" i="15"/>
  <c r="E120" i="15"/>
  <c r="E100" i="15"/>
  <c r="S134" i="15"/>
  <c r="S171" i="15" s="1"/>
  <c r="S155" i="15"/>
  <c r="Q153" i="15"/>
  <c r="E153" i="15"/>
  <c r="P148" i="15"/>
  <c r="P164" i="15"/>
  <c r="Q128" i="15"/>
  <c r="Q156" i="15"/>
  <c r="Q132" i="15"/>
  <c r="Q146" i="15"/>
  <c r="Q124" i="15"/>
  <c r="Q147" i="15"/>
  <c r="Q99" i="15"/>
  <c r="C123" i="15"/>
  <c r="C168" i="15"/>
  <c r="C136" i="15" s="1"/>
  <c r="C157" i="15"/>
  <c r="C145" i="15"/>
  <c r="C183" i="15"/>
  <c r="C119" i="15"/>
  <c r="C120" i="15" s="1"/>
  <c r="C94" i="15"/>
  <c r="C111" i="15" s="1"/>
  <c r="M232" i="15"/>
  <c r="S114" i="15"/>
  <c r="T180" i="15"/>
  <c r="T126" i="15"/>
  <c r="T181" i="15" s="1"/>
  <c r="T125" i="15"/>
  <c r="T179" i="15"/>
  <c r="T187" i="15" s="1"/>
  <c r="H246" i="15"/>
  <c r="H232" i="15"/>
  <c r="P113" i="15"/>
  <c r="P115" i="15" s="1"/>
  <c r="E107" i="15"/>
  <c r="E108" i="15"/>
  <c r="Q106" i="15"/>
  <c r="C137" i="15"/>
  <c r="C184" i="15"/>
  <c r="BM123" i="15"/>
  <c r="BM168" i="15"/>
  <c r="BM136" i="15" s="1"/>
  <c r="I155" i="15"/>
  <c r="E112" i="15"/>
  <c r="E104" i="15"/>
  <c r="E105" i="15"/>
  <c r="M188" i="15"/>
  <c r="M189" i="15" s="1"/>
  <c r="M190" i="15"/>
  <c r="M191" i="15" s="1"/>
  <c r="L155" i="15"/>
  <c r="S148" i="15"/>
  <c r="S164" i="15"/>
  <c r="T148" i="15"/>
  <c r="T164" i="15"/>
  <c r="O125" i="15"/>
  <c r="BM91" i="15"/>
  <c r="BM172" i="15"/>
  <c r="BM122" i="15"/>
  <c r="BM121" i="15"/>
  <c r="BM182" i="15" s="1"/>
  <c r="E102" i="15"/>
  <c r="E103" i="15"/>
  <c r="Q185" i="15"/>
  <c r="BM135" i="15"/>
  <c r="E111" i="15"/>
  <c r="E98" i="15"/>
  <c r="T167" i="15"/>
  <c r="E99" i="15"/>
  <c r="P167" i="15"/>
  <c r="H151" i="15"/>
  <c r="H134" i="15"/>
  <c r="H171" i="15" s="1"/>
  <c r="Q104" i="15"/>
  <c r="C135" i="15"/>
  <c r="C121" i="15"/>
  <c r="C182" i="15" s="1"/>
  <c r="C122" i="15"/>
  <c r="E279" i="14"/>
  <c r="C279" i="14"/>
  <c r="N279" i="14"/>
  <c r="B280" i="14"/>
  <c r="J280" i="14"/>
  <c r="AZ238" i="13" l="1"/>
  <c r="AZ239" i="13" s="1"/>
  <c r="AZ246" i="13"/>
  <c r="AZ247" i="13" s="1"/>
  <c r="AZ242" i="13"/>
  <c r="AZ243" i="13" s="1"/>
  <c r="AZ240" i="13"/>
  <c r="AZ241" i="13" s="1"/>
  <c r="AZ244" i="13"/>
  <c r="AZ245" i="13" s="1"/>
  <c r="S214" i="13"/>
  <c r="S215" i="13" s="1"/>
  <c r="S220" i="13"/>
  <c r="S221" i="13" s="1"/>
  <c r="S216" i="13"/>
  <c r="S217" i="13" s="1"/>
  <c r="S222" i="13"/>
  <c r="S223" i="13" s="1"/>
  <c r="S218" i="13"/>
  <c r="S219" i="13" s="1"/>
  <c r="B224" i="13"/>
  <c r="B225" i="13" s="1"/>
  <c r="B236" i="13"/>
  <c r="B237" i="13" s="1"/>
  <c r="B216" i="13"/>
  <c r="B217" i="13" s="1"/>
  <c r="B220" i="13"/>
  <c r="B221" i="13" s="1"/>
  <c r="B222" i="13"/>
  <c r="B223" i="13" s="1"/>
  <c r="B218" i="13"/>
  <c r="B214" i="13"/>
  <c r="B215" i="13" s="1"/>
  <c r="AP218" i="13"/>
  <c r="AP216" i="13"/>
  <c r="AP217" i="13" s="1"/>
  <c r="AP214" i="13"/>
  <c r="AP215" i="13" s="1"/>
  <c r="AP220" i="13"/>
  <c r="AP221" i="13" s="1"/>
  <c r="AP222" i="13"/>
  <c r="AP223" i="13" s="1"/>
  <c r="AX222" i="13"/>
  <c r="AX223" i="13" s="1"/>
  <c r="AX214" i="13"/>
  <c r="AX215" i="13" s="1"/>
  <c r="AX216" i="13"/>
  <c r="AX217" i="13" s="1"/>
  <c r="AX218" i="13"/>
  <c r="AX219" i="13" s="1"/>
  <c r="AX220" i="13"/>
  <c r="AX221" i="13" s="1"/>
  <c r="J143" i="13"/>
  <c r="J198" i="13" s="1"/>
  <c r="J284" i="13"/>
  <c r="AN111" i="13"/>
  <c r="N143" i="13"/>
  <c r="N198" i="13" s="1"/>
  <c r="N284" i="13"/>
  <c r="AP172" i="13"/>
  <c r="AP119" i="13"/>
  <c r="AP202" i="13"/>
  <c r="AP101" i="13"/>
  <c r="AP111" i="13" s="1"/>
  <c r="AP185" i="13"/>
  <c r="AP153" i="13" s="1"/>
  <c r="I170" i="13"/>
  <c r="AV218" i="13"/>
  <c r="AV219" i="13" s="1"/>
  <c r="AV214" i="13"/>
  <c r="AV215" i="13" s="1"/>
  <c r="AV222" i="13"/>
  <c r="AV223" i="13" s="1"/>
  <c r="AV220" i="13"/>
  <c r="AV221" i="13" s="1"/>
  <c r="AV216" i="13"/>
  <c r="AV217" i="13" s="1"/>
  <c r="AG143" i="13"/>
  <c r="AG198" i="13" s="1"/>
  <c r="AG284" i="13"/>
  <c r="I284" i="13"/>
  <c r="I143" i="13"/>
  <c r="I198" i="13" s="1"/>
  <c r="R211" i="13"/>
  <c r="S212" i="13"/>
  <c r="S224" i="13"/>
  <c r="S225" i="13" s="1"/>
  <c r="AJ214" i="13"/>
  <c r="AJ215" i="13" s="1"/>
  <c r="AJ220" i="13"/>
  <c r="AJ221" i="13" s="1"/>
  <c r="AJ218" i="13"/>
  <c r="AJ219" i="13" s="1"/>
  <c r="AJ222" i="13"/>
  <c r="AJ223" i="13" s="1"/>
  <c r="AJ216" i="13"/>
  <c r="AJ217" i="13" s="1"/>
  <c r="O220" i="13"/>
  <c r="O221" i="13" s="1"/>
  <c r="O218" i="13"/>
  <c r="O216" i="13"/>
  <c r="O217" i="13" s="1"/>
  <c r="O214" i="13"/>
  <c r="O215" i="13" s="1"/>
  <c r="O222" i="13"/>
  <c r="O223" i="13" s="1"/>
  <c r="AT163" i="13"/>
  <c r="AT164" i="13"/>
  <c r="AT145" i="13"/>
  <c r="AT173" i="13"/>
  <c r="AT149" i="13"/>
  <c r="AR226" i="13"/>
  <c r="AR227" i="13" s="1"/>
  <c r="AR228" i="13"/>
  <c r="AR229" i="13" s="1"/>
  <c r="AR232" i="13"/>
  <c r="AR233" i="13" s="1"/>
  <c r="AR230" i="13"/>
  <c r="AR231" i="13" s="1"/>
  <c r="AR234" i="13"/>
  <c r="AR235" i="13" s="1"/>
  <c r="T211" i="13"/>
  <c r="T212" i="13" s="1"/>
  <c r="E111" i="13"/>
  <c r="E120" i="13"/>
  <c r="E130" i="13" s="1"/>
  <c r="E132" i="13" s="1"/>
  <c r="E189" i="13"/>
  <c r="E139" i="13"/>
  <c r="E138" i="13"/>
  <c r="E199" i="13" s="1"/>
  <c r="BC143" i="13"/>
  <c r="BC198" i="13" s="1"/>
  <c r="BC284" i="13"/>
  <c r="I210" i="13"/>
  <c r="I205" i="13"/>
  <c r="I206" i="13" s="1"/>
  <c r="I207" i="13"/>
  <c r="I208" i="13" s="1"/>
  <c r="AJ212" i="13"/>
  <c r="AJ224" i="13"/>
  <c r="AJ225" i="13" s="1"/>
  <c r="AJ236" i="13" s="1"/>
  <c r="AJ237" i="13" s="1"/>
  <c r="G220" i="13"/>
  <c r="G221" i="13" s="1"/>
  <c r="G216" i="13"/>
  <c r="G217" i="13" s="1"/>
  <c r="G222" i="13"/>
  <c r="G223" i="13" s="1"/>
  <c r="G214" i="13"/>
  <c r="G215" i="13" s="1"/>
  <c r="G218" i="13"/>
  <c r="BN146" i="13"/>
  <c r="BN175" i="13" s="1"/>
  <c r="BN185" i="13"/>
  <c r="BN153" i="13" s="1"/>
  <c r="BN202" i="13"/>
  <c r="BN119" i="13"/>
  <c r="BN101" i="13"/>
  <c r="BN140" i="13"/>
  <c r="M111" i="13"/>
  <c r="L211" i="13"/>
  <c r="L213" i="13" s="1"/>
  <c r="O139" i="13"/>
  <c r="O189" i="13"/>
  <c r="O120" i="13"/>
  <c r="O130" i="13" s="1"/>
  <c r="O132" i="13" s="1"/>
  <c r="O140" i="13"/>
  <c r="O138" i="13"/>
  <c r="O199" i="13" s="1"/>
  <c r="O219" i="13" s="1"/>
  <c r="O111" i="13"/>
  <c r="AT220" i="13"/>
  <c r="AT221" i="13" s="1"/>
  <c r="AT222" i="13"/>
  <c r="AT223" i="13" s="1"/>
  <c r="AT214" i="13"/>
  <c r="AT215" i="13" s="1"/>
  <c r="AT216" i="13"/>
  <c r="AT217" i="13" s="1"/>
  <c r="AT218" i="13"/>
  <c r="AT219" i="13" s="1"/>
  <c r="AT120" i="13"/>
  <c r="AT130" i="13" s="1"/>
  <c r="AT132" i="13" s="1"/>
  <c r="AT189" i="13"/>
  <c r="AT139" i="13"/>
  <c r="AT138" i="13"/>
  <c r="AT199" i="13" s="1"/>
  <c r="N146" i="13"/>
  <c r="N175" i="13" s="1"/>
  <c r="N202" i="13"/>
  <c r="N101" i="13"/>
  <c r="N172" i="13"/>
  <c r="N119" i="13"/>
  <c r="N185" i="13"/>
  <c r="N153" i="13" s="1"/>
  <c r="N210" i="13"/>
  <c r="N207" i="13"/>
  <c r="N208" i="13" s="1"/>
  <c r="N205" i="13"/>
  <c r="N206" i="13" s="1"/>
  <c r="E211" i="13"/>
  <c r="E213" i="13" s="1"/>
  <c r="AB143" i="13"/>
  <c r="AB198" i="13" s="1"/>
  <c r="AB284" i="13"/>
  <c r="AL143" i="13"/>
  <c r="AL198" i="13" s="1"/>
  <c r="AL284" i="13"/>
  <c r="BJ111" i="13"/>
  <c r="R111" i="13"/>
  <c r="R163" i="13" s="1"/>
  <c r="D146" i="13"/>
  <c r="D175" i="13" s="1"/>
  <c r="D202" i="13"/>
  <c r="D185" i="13"/>
  <c r="D153" i="13" s="1"/>
  <c r="D101" i="13"/>
  <c r="D111" i="13" s="1"/>
  <c r="D119" i="13"/>
  <c r="D140" i="13"/>
  <c r="AO170" i="13"/>
  <c r="AX149" i="13"/>
  <c r="AX164" i="13"/>
  <c r="AX173" i="13"/>
  <c r="AX163" i="13"/>
  <c r="AX145" i="13"/>
  <c r="N170" i="13"/>
  <c r="AT153" i="13"/>
  <c r="G212" i="13"/>
  <c r="G224" i="13"/>
  <c r="G225" i="13" s="1"/>
  <c r="G236" i="13" s="1"/>
  <c r="G237" i="13" s="1"/>
  <c r="Q210" i="13"/>
  <c r="Q205" i="13"/>
  <c r="Q206" i="13" s="1"/>
  <c r="Q207" i="13"/>
  <c r="Q208" i="13" s="1"/>
  <c r="AX212" i="13"/>
  <c r="AX224" i="13"/>
  <c r="AX225" i="13" s="1"/>
  <c r="AX236" i="13" s="1"/>
  <c r="AX237" i="13" s="1"/>
  <c r="I100" i="13"/>
  <c r="I146" i="13" s="1"/>
  <c r="I175" i="13" s="1"/>
  <c r="D143" i="13"/>
  <c r="D198" i="13" s="1"/>
  <c r="D284" i="13"/>
  <c r="AZ234" i="13"/>
  <c r="AZ235" i="13" s="1"/>
  <c r="AZ228" i="13"/>
  <c r="AZ229" i="13" s="1"/>
  <c r="AZ232" i="13"/>
  <c r="AZ233" i="13" s="1"/>
  <c r="AZ230" i="13"/>
  <c r="AZ231" i="13" s="1"/>
  <c r="AZ226" i="13"/>
  <c r="AZ227" i="13" s="1"/>
  <c r="F143" i="13"/>
  <c r="F198" i="13" s="1"/>
  <c r="F284" i="13"/>
  <c r="BN205" i="13"/>
  <c r="BN206" i="13" s="1"/>
  <c r="BN210" i="13"/>
  <c r="BN207" i="13"/>
  <c r="BN208" i="13" s="1"/>
  <c r="Q284" i="13"/>
  <c r="Q143" i="13"/>
  <c r="Q198" i="13" s="1"/>
  <c r="D205" i="13"/>
  <c r="D206" i="13" s="1"/>
  <c r="D207" i="13"/>
  <c r="D208" i="13" s="1"/>
  <c r="D210" i="13"/>
  <c r="O212" i="13"/>
  <c r="O224" i="13"/>
  <c r="O225" i="13" s="1"/>
  <c r="BN172" i="13"/>
  <c r="AT224" i="13"/>
  <c r="AT225" i="13" s="1"/>
  <c r="D172" i="13"/>
  <c r="E140" i="13"/>
  <c r="G219" i="13"/>
  <c r="U143" i="13"/>
  <c r="U198" i="13" s="1"/>
  <c r="U284" i="13"/>
  <c r="AO143" i="13"/>
  <c r="AO198" i="13" s="1"/>
  <c r="AO284" i="13"/>
  <c r="AR216" i="13"/>
  <c r="AR217" i="13" s="1"/>
  <c r="AR214" i="13"/>
  <c r="AR215" i="13" s="1"/>
  <c r="AR222" i="13"/>
  <c r="AR223" i="13" s="1"/>
  <c r="AR218" i="13"/>
  <c r="AR219" i="13" s="1"/>
  <c r="AR220" i="13"/>
  <c r="AR221" i="13" s="1"/>
  <c r="AR236" i="13"/>
  <c r="AR237" i="13" s="1"/>
  <c r="AP146" i="13"/>
  <c r="AP175" i="13" s="1"/>
  <c r="AT236" i="13"/>
  <c r="AT237" i="13" s="1"/>
  <c r="AV224" i="13"/>
  <c r="AV225" i="13" s="1"/>
  <c r="AP224" i="13"/>
  <c r="AP225" i="13" s="1"/>
  <c r="AP212" i="13"/>
  <c r="AP236" i="13"/>
  <c r="AP237" i="13" s="1"/>
  <c r="J177" i="14"/>
  <c r="B177" i="14"/>
  <c r="M222" i="13"/>
  <c r="M223" i="13" s="1"/>
  <c r="M216" i="13"/>
  <c r="M217" i="13" s="1"/>
  <c r="M220" i="13"/>
  <c r="M221" i="13" s="1"/>
  <c r="M214" i="13"/>
  <c r="M215" i="13" s="1"/>
  <c r="M218" i="13"/>
  <c r="U100" i="14"/>
  <c r="U146" i="14" s="1"/>
  <c r="U175" i="14" s="1"/>
  <c r="R214" i="14"/>
  <c r="R215" i="14" s="1"/>
  <c r="R220" i="14"/>
  <c r="R221" i="14" s="1"/>
  <c r="R218" i="14"/>
  <c r="R219" i="14" s="1"/>
  <c r="R222" i="14"/>
  <c r="R223" i="14" s="1"/>
  <c r="R216" i="14"/>
  <c r="R217" i="14" s="1"/>
  <c r="G169" i="1"/>
  <c r="AB172" i="13"/>
  <c r="K228" i="13"/>
  <c r="K229" i="13" s="1"/>
  <c r="K232" i="13"/>
  <c r="K233" i="13" s="1"/>
  <c r="K230" i="13"/>
  <c r="K231" i="13" s="1"/>
  <c r="K234" i="13"/>
  <c r="K235" i="13" s="1"/>
  <c r="K226" i="13"/>
  <c r="K227" i="13" s="1"/>
  <c r="C163" i="13"/>
  <c r="C145" i="13"/>
  <c r="C164" i="13"/>
  <c r="C149" i="13"/>
  <c r="C173" i="13"/>
  <c r="BC172" i="13"/>
  <c r="BE115" i="15"/>
  <c r="AC270" i="13"/>
  <c r="AC271" i="13" s="1"/>
  <c r="AC272" i="13"/>
  <c r="AC273" i="13" s="1"/>
  <c r="AC274" i="13"/>
  <c r="AC275" i="13" s="1"/>
  <c r="S185" i="14"/>
  <c r="S119" i="14"/>
  <c r="S202" i="14"/>
  <c r="S140" i="14"/>
  <c r="S101" i="14"/>
  <c r="S172" i="14"/>
  <c r="S111" i="14"/>
  <c r="H265" i="14"/>
  <c r="H266" i="14" s="1"/>
  <c r="H267" i="14"/>
  <c r="H268" i="14" s="1"/>
  <c r="J170" i="13"/>
  <c r="V270" i="13"/>
  <c r="V271" i="13" s="1"/>
  <c r="V272" i="13"/>
  <c r="V273" i="13" s="1"/>
  <c r="V274" i="13"/>
  <c r="V275" i="13" s="1"/>
  <c r="Y119" i="13"/>
  <c r="Y202" i="13"/>
  <c r="Y185" i="13"/>
  <c r="Y153" i="13" s="1"/>
  <c r="Y101" i="13"/>
  <c r="Y140" i="13" s="1"/>
  <c r="Y172" i="13"/>
  <c r="Y111" i="13"/>
  <c r="N156" i="14"/>
  <c r="N155" i="14"/>
  <c r="AD236" i="13"/>
  <c r="AD237" i="13" s="1"/>
  <c r="AD240" i="13" s="1"/>
  <c r="AD241" i="13" s="1"/>
  <c r="AD212" i="13"/>
  <c r="AD224" i="13"/>
  <c r="AD225" i="13" s="1"/>
  <c r="W270" i="13"/>
  <c r="W271" i="13" s="1"/>
  <c r="W272" i="13"/>
  <c r="W273" i="13" s="1"/>
  <c r="W274" i="13"/>
  <c r="W275" i="13" s="1"/>
  <c r="U124" i="14"/>
  <c r="U167" i="14"/>
  <c r="AK214" i="13"/>
  <c r="AK215" i="13" s="1"/>
  <c r="AK222" i="13"/>
  <c r="AK223" i="13" s="1"/>
  <c r="AK216" i="13"/>
  <c r="AK217" i="13" s="1"/>
  <c r="AK218" i="13"/>
  <c r="AK219" i="13" s="1"/>
  <c r="AK220" i="13"/>
  <c r="AK221" i="13" s="1"/>
  <c r="AI274" i="13"/>
  <c r="AI275" i="13" s="1"/>
  <c r="AI270" i="13"/>
  <c r="AI271" i="13" s="1"/>
  <c r="AI272" i="13"/>
  <c r="AI273" i="13" s="1"/>
  <c r="L260" i="1"/>
  <c r="L246" i="1"/>
  <c r="Z212" i="13"/>
  <c r="Z224" i="13"/>
  <c r="Z225" i="13" s="1"/>
  <c r="Z236" i="13" s="1"/>
  <c r="Z237" i="13" s="1"/>
  <c r="X120" i="13"/>
  <c r="X130" i="13" s="1"/>
  <c r="X132" i="13" s="1"/>
  <c r="X189" i="13"/>
  <c r="X138" i="13"/>
  <c r="X199" i="13" s="1"/>
  <c r="X139" i="13"/>
  <c r="X111" i="13"/>
  <c r="AM120" i="13"/>
  <c r="AM130" i="13" s="1"/>
  <c r="AM132" i="13" s="1"/>
  <c r="AM189" i="13"/>
  <c r="AM138" i="13"/>
  <c r="AM199" i="13" s="1"/>
  <c r="AM139" i="13"/>
  <c r="AW224" i="13"/>
  <c r="AW225" i="13" s="1"/>
  <c r="AW228" i="13" s="1"/>
  <c r="AW229" i="13" s="1"/>
  <c r="AW212" i="13"/>
  <c r="P111" i="13"/>
  <c r="T130" i="14"/>
  <c r="T132" i="14" s="1"/>
  <c r="D264" i="14"/>
  <c r="D269" i="14"/>
  <c r="H153" i="14"/>
  <c r="B129" i="1"/>
  <c r="B131" i="1" s="1"/>
  <c r="U121" i="14"/>
  <c r="Y216" i="13"/>
  <c r="Y217" i="13" s="1"/>
  <c r="Y222" i="13"/>
  <c r="Y214" i="13"/>
  <c r="Y215" i="13" s="1"/>
  <c r="Y218" i="13"/>
  <c r="Y219" i="13" s="1"/>
  <c r="Y220" i="13"/>
  <c r="Y221" i="13" s="1"/>
  <c r="BB211" i="13"/>
  <c r="BB213" i="13" s="1"/>
  <c r="AM115" i="15"/>
  <c r="AL202" i="13"/>
  <c r="AL119" i="13"/>
  <c r="AL185" i="13"/>
  <c r="AL153" i="13" s="1"/>
  <c r="AL101" i="13"/>
  <c r="AL140" i="13" s="1"/>
  <c r="M221" i="14"/>
  <c r="F164" i="14"/>
  <c r="F149" i="14"/>
  <c r="F173" i="14"/>
  <c r="F163" i="14"/>
  <c r="F145" i="14"/>
  <c r="R173" i="13"/>
  <c r="R164" i="13"/>
  <c r="X212" i="13"/>
  <c r="X224" i="13"/>
  <c r="X225" i="13" s="1"/>
  <c r="X234" i="13" s="1"/>
  <c r="X235" i="13" s="1"/>
  <c r="X153" i="13"/>
  <c r="BG270" i="13"/>
  <c r="BG271" i="13" s="1"/>
  <c r="BG272" i="13"/>
  <c r="BG273" i="13" s="1"/>
  <c r="BG274" i="13"/>
  <c r="BG275" i="13" s="1"/>
  <c r="BE216" i="13"/>
  <c r="BE217" i="13" s="1"/>
  <c r="BE214" i="13"/>
  <c r="BE215" i="13" s="1"/>
  <c r="BE218" i="13"/>
  <c r="BE219" i="13" s="1"/>
  <c r="BE220" i="13"/>
  <c r="BE221" i="13" s="1"/>
  <c r="BE222" i="13"/>
  <c r="BE223" i="13" s="1"/>
  <c r="K208" i="1"/>
  <c r="K210" i="1" s="1"/>
  <c r="B119" i="1"/>
  <c r="B186" i="1"/>
  <c r="B136" i="1"/>
  <c r="B196" i="1" s="1"/>
  <c r="B137" i="1"/>
  <c r="AH120" i="13"/>
  <c r="AH189" i="13"/>
  <c r="AH138" i="13"/>
  <c r="AH199" i="13" s="1"/>
  <c r="AH111" i="13"/>
  <c r="AH139" i="13"/>
  <c r="Y212" i="13"/>
  <c r="Y224" i="13"/>
  <c r="Y225" i="13" s="1"/>
  <c r="Y236" i="13" s="1"/>
  <c r="Y237" i="13" s="1"/>
  <c r="M246" i="14"/>
  <c r="M247" i="14" s="1"/>
  <c r="M242" i="14"/>
  <c r="M243" i="14" s="1"/>
  <c r="M238" i="14"/>
  <c r="M239" i="14" s="1"/>
  <c r="M240" i="14"/>
  <c r="M241" i="14" s="1"/>
  <c r="M244" i="14"/>
  <c r="M245" i="14" s="1"/>
  <c r="F118" i="1"/>
  <c r="F182" i="1"/>
  <c r="F150" i="1" s="1"/>
  <c r="F199" i="1"/>
  <c r="F101" i="1"/>
  <c r="M212" i="13"/>
  <c r="M224" i="13"/>
  <c r="M225" i="13" s="1"/>
  <c r="M236" i="13" s="1"/>
  <c r="M237" i="13" s="1"/>
  <c r="T140" i="1"/>
  <c r="T141" i="1"/>
  <c r="T195" i="1" s="1"/>
  <c r="T194" i="1"/>
  <c r="T193" i="1"/>
  <c r="T201" i="1" s="1"/>
  <c r="BB119" i="13"/>
  <c r="BB202" i="13"/>
  <c r="BB185" i="13"/>
  <c r="BB101" i="13"/>
  <c r="BB172" i="13"/>
  <c r="BB111" i="13"/>
  <c r="AW119" i="13"/>
  <c r="AW140" i="13"/>
  <c r="AW185" i="13"/>
  <c r="AW153" i="13" s="1"/>
  <c r="AW202" i="13"/>
  <c r="AW101" i="13"/>
  <c r="AW172" i="13"/>
  <c r="AW111" i="13"/>
  <c r="BG265" i="13"/>
  <c r="BG266" i="13" s="1"/>
  <c r="BG267" i="13"/>
  <c r="BG268" i="13" s="1"/>
  <c r="BE224" i="13"/>
  <c r="BE225" i="13" s="1"/>
  <c r="BE226" i="13" s="1"/>
  <c r="BE227" i="13" s="1"/>
  <c r="BE212" i="13"/>
  <c r="G185" i="14"/>
  <c r="G153" i="14" s="1"/>
  <c r="G202" i="14"/>
  <c r="G119" i="14"/>
  <c r="G101" i="14"/>
  <c r="BC185" i="13"/>
  <c r="BC153" i="13" s="1"/>
  <c r="BC119" i="13"/>
  <c r="BC202" i="13"/>
  <c r="BC101" i="13"/>
  <c r="BC140" i="13" s="1"/>
  <c r="L165" i="1"/>
  <c r="L148" i="1"/>
  <c r="L185" i="1" s="1"/>
  <c r="H256" i="14"/>
  <c r="H257" i="14" s="1"/>
  <c r="H260" i="14"/>
  <c r="H261" i="14" s="1"/>
  <c r="H258" i="14"/>
  <c r="H259" i="14" s="1"/>
  <c r="AD189" i="13"/>
  <c r="AD120" i="13"/>
  <c r="AD130" i="13" s="1"/>
  <c r="AD132" i="13" s="1"/>
  <c r="AD111" i="13"/>
  <c r="AD139" i="13"/>
  <c r="AD138" i="13"/>
  <c r="AD199" i="13" s="1"/>
  <c r="F137" i="13"/>
  <c r="L204" i="1"/>
  <c r="L205" i="1" s="1"/>
  <c r="L207" i="1"/>
  <c r="L202" i="1"/>
  <c r="L203" i="1" s="1"/>
  <c r="AW115" i="15"/>
  <c r="AA153" i="13"/>
  <c r="O146" i="1"/>
  <c r="O170" i="1"/>
  <c r="O142" i="1"/>
  <c r="O161" i="1"/>
  <c r="O160" i="1"/>
  <c r="O139" i="1"/>
  <c r="H253" i="14"/>
  <c r="H254" i="14" s="1"/>
  <c r="H251" i="14"/>
  <c r="H252" i="14" s="1"/>
  <c r="L145" i="13"/>
  <c r="L164" i="13"/>
  <c r="L173" i="13"/>
  <c r="L149" i="13"/>
  <c r="L163" i="13"/>
  <c r="BJ265" i="13"/>
  <c r="BJ266" i="13" s="1"/>
  <c r="BJ267" i="13"/>
  <c r="BJ268" i="13" s="1"/>
  <c r="Q263" i="14"/>
  <c r="Q249" i="14"/>
  <c r="U146" i="13"/>
  <c r="U175" i="13" s="1"/>
  <c r="U100" i="13"/>
  <c r="L163" i="1"/>
  <c r="L179" i="1"/>
  <c r="L147" i="1" s="1"/>
  <c r="U152" i="14"/>
  <c r="U117" i="14"/>
  <c r="M153" i="13"/>
  <c r="D120" i="14"/>
  <c r="D130" i="14" s="1"/>
  <c r="D132" i="14" s="1"/>
  <c r="D189" i="14"/>
  <c r="D138" i="14"/>
  <c r="D199" i="14" s="1"/>
  <c r="D139" i="14"/>
  <c r="P138" i="1"/>
  <c r="P199" i="1"/>
  <c r="P182" i="1"/>
  <c r="P118" i="1"/>
  <c r="P101" i="1"/>
  <c r="P111" i="1"/>
  <c r="P169" i="1"/>
  <c r="F210" i="13"/>
  <c r="F207" i="13"/>
  <c r="F208" i="13" s="1"/>
  <c r="F205" i="13"/>
  <c r="F206" i="13" s="1"/>
  <c r="AS163" i="13"/>
  <c r="AS145" i="13"/>
  <c r="AS149" i="13"/>
  <c r="AS164" i="13"/>
  <c r="AS173" i="13"/>
  <c r="AS211" i="13"/>
  <c r="AS213" i="13" s="1"/>
  <c r="BG153" i="13"/>
  <c r="D211" i="14"/>
  <c r="G196" i="14"/>
  <c r="G204" i="14" s="1"/>
  <c r="Y234" i="13"/>
  <c r="Y235" i="13" s="1"/>
  <c r="Y230" i="13"/>
  <c r="Y231" i="13" s="1"/>
  <c r="Y226" i="13"/>
  <c r="Y227" i="13" s="1"/>
  <c r="Y228" i="13"/>
  <c r="Y229" i="13" s="1"/>
  <c r="Y232" i="13"/>
  <c r="Y233" i="13" s="1"/>
  <c r="BJ211" i="13"/>
  <c r="BJ213" i="13" s="1"/>
  <c r="BC205" i="13"/>
  <c r="BC206" i="13" s="1"/>
  <c r="BC210" i="13"/>
  <c r="BC207" i="13"/>
  <c r="BC208" i="13" s="1"/>
  <c r="J170" i="1"/>
  <c r="J139" i="1"/>
  <c r="J146" i="1"/>
  <c r="J160" i="1"/>
  <c r="J142" i="1"/>
  <c r="J161" i="1"/>
  <c r="AO202" i="13"/>
  <c r="AO185" i="13"/>
  <c r="AO153" i="13" s="1"/>
  <c r="AO119" i="13"/>
  <c r="AO101" i="13"/>
  <c r="AO140" i="13" s="1"/>
  <c r="G118" i="1"/>
  <c r="G199" i="1"/>
  <c r="G138" i="1"/>
  <c r="G182" i="1"/>
  <c r="G150" i="1" s="1"/>
  <c r="G101" i="1"/>
  <c r="AA212" i="13"/>
  <c r="AA224" i="13"/>
  <c r="AA225" i="13" s="1"/>
  <c r="AA232" i="13" s="1"/>
  <c r="AA233" i="13" s="1"/>
  <c r="C120" i="13"/>
  <c r="C130" i="13" s="1"/>
  <c r="C132" i="13" s="1"/>
  <c r="C189" i="13"/>
  <c r="C138" i="13"/>
  <c r="C199" i="13" s="1"/>
  <c r="C139" i="13"/>
  <c r="AG207" i="13"/>
  <c r="AG208" i="13" s="1"/>
  <c r="AG210" i="13"/>
  <c r="AG205" i="13"/>
  <c r="AG206" i="13" s="1"/>
  <c r="O119" i="1"/>
  <c r="O186" i="1"/>
  <c r="O136" i="1"/>
  <c r="O196" i="1" s="1"/>
  <c r="O137" i="1"/>
  <c r="H146" i="1"/>
  <c r="H170" i="1"/>
  <c r="H139" i="1"/>
  <c r="H161" i="1"/>
  <c r="H160" i="1"/>
  <c r="H142" i="1"/>
  <c r="S160" i="1"/>
  <c r="S142" i="1"/>
  <c r="S139" i="1"/>
  <c r="S170" i="1"/>
  <c r="S146" i="1"/>
  <c r="S161" i="1"/>
  <c r="K222" i="13"/>
  <c r="K223" i="13" s="1"/>
  <c r="K214" i="13"/>
  <c r="K215" i="13" s="1"/>
  <c r="K220" i="13"/>
  <c r="K221" i="13" s="1"/>
  <c r="K216" i="13"/>
  <c r="K217" i="13" s="1"/>
  <c r="K218" i="13"/>
  <c r="K219" i="13" s="1"/>
  <c r="K246" i="14"/>
  <c r="K247" i="14" s="1"/>
  <c r="K240" i="14"/>
  <c r="K241" i="14" s="1"/>
  <c r="K244" i="14"/>
  <c r="K245" i="14" s="1"/>
  <c r="K242" i="14"/>
  <c r="K243" i="14" s="1"/>
  <c r="K238" i="14"/>
  <c r="K239" i="14" s="1"/>
  <c r="AG100" i="13"/>
  <c r="AG146" i="13" s="1"/>
  <c r="AG175" i="13" s="1"/>
  <c r="BJ270" i="13"/>
  <c r="BJ271" i="13" s="1"/>
  <c r="BJ272" i="13"/>
  <c r="BJ273" i="13" s="1"/>
  <c r="BJ274" i="13"/>
  <c r="BJ275" i="13" s="1"/>
  <c r="AD140" i="13"/>
  <c r="F100" i="13"/>
  <c r="F146" i="13" s="1"/>
  <c r="F175" i="13" s="1"/>
  <c r="AW272" i="13"/>
  <c r="AW273" i="13" s="1"/>
  <c r="AW270" i="13"/>
  <c r="AW271" i="13" s="1"/>
  <c r="AW274" i="13"/>
  <c r="AW275" i="13" s="1"/>
  <c r="F169" i="1"/>
  <c r="Q145" i="13"/>
  <c r="Q149" i="13"/>
  <c r="Q163" i="13"/>
  <c r="Q173" i="13"/>
  <c r="Q164" i="13"/>
  <c r="U128" i="14"/>
  <c r="U131" i="14" s="1"/>
  <c r="U108" i="14"/>
  <c r="U127" i="14" s="1"/>
  <c r="F260" i="14"/>
  <c r="F261" i="14" s="1"/>
  <c r="F258" i="14"/>
  <c r="F259" i="14" s="1"/>
  <c r="F256" i="14"/>
  <c r="F257" i="14" s="1"/>
  <c r="S211" i="14"/>
  <c r="BA212" i="13"/>
  <c r="BA224" i="13"/>
  <c r="AS270" i="13"/>
  <c r="AS271" i="13" s="1"/>
  <c r="AS274" i="13"/>
  <c r="AS275" i="13" s="1"/>
  <c r="AS272" i="13"/>
  <c r="AS273" i="13" s="1"/>
  <c r="F153" i="14"/>
  <c r="T162" i="1"/>
  <c r="T181" i="1"/>
  <c r="T178" i="1"/>
  <c r="C216" i="13"/>
  <c r="C217" i="13" s="1"/>
  <c r="C214" i="13"/>
  <c r="C215" i="13" s="1"/>
  <c r="C218" i="13"/>
  <c r="C222" i="13"/>
  <c r="C223" i="13" s="1"/>
  <c r="C220" i="13"/>
  <c r="C221" i="13" s="1"/>
  <c r="F170" i="13"/>
  <c r="P264" i="14"/>
  <c r="P269" i="14"/>
  <c r="U137" i="14"/>
  <c r="U118" i="14"/>
  <c r="AG269" i="13"/>
  <c r="AG264" i="13"/>
  <c r="Z149" i="13"/>
  <c r="Z164" i="13"/>
  <c r="Z173" i="13"/>
  <c r="Z163" i="13"/>
  <c r="Z145" i="13"/>
  <c r="AH140" i="13"/>
  <c r="T214" i="14"/>
  <c r="T215" i="14" s="1"/>
  <c r="T218" i="14"/>
  <c r="T219" i="14" s="1"/>
  <c r="T216" i="14"/>
  <c r="T217" i="14" s="1"/>
  <c r="T222" i="14"/>
  <c r="T220" i="14"/>
  <c r="T221" i="14" s="1"/>
  <c r="H220" i="13"/>
  <c r="H221" i="13" s="1"/>
  <c r="H214" i="13"/>
  <c r="H215" i="13" s="1"/>
  <c r="H216" i="13"/>
  <c r="H217" i="13" s="1"/>
  <c r="H218" i="13"/>
  <c r="H219" i="13" s="1"/>
  <c r="H222" i="13"/>
  <c r="H223" i="13" s="1"/>
  <c r="U170" i="13"/>
  <c r="K236" i="13"/>
  <c r="K237" i="13" s="1"/>
  <c r="G143" i="1"/>
  <c r="G172" i="1" s="1"/>
  <c r="BA185" i="13"/>
  <c r="BA153" i="13" s="1"/>
  <c r="BA202" i="13"/>
  <c r="BA119" i="13"/>
  <c r="BA140" i="13"/>
  <c r="BA101" i="13"/>
  <c r="BA172" i="13"/>
  <c r="BA111" i="13"/>
  <c r="AA218" i="13"/>
  <c r="AA214" i="13"/>
  <c r="AA215" i="13" s="1"/>
  <c r="AA216" i="13"/>
  <c r="AA217" i="13" s="1"/>
  <c r="AA220" i="13"/>
  <c r="AA221" i="13" s="1"/>
  <c r="AA222" i="13"/>
  <c r="AA223" i="13" s="1"/>
  <c r="AQ211" i="13"/>
  <c r="AQ213" i="13" s="1"/>
  <c r="W211" i="13"/>
  <c r="W213" i="13" s="1"/>
  <c r="V119" i="13"/>
  <c r="V202" i="13"/>
  <c r="V185" i="13"/>
  <c r="V153" i="13" s="1"/>
  <c r="V101" i="13"/>
  <c r="V140" i="13" s="1"/>
  <c r="V172" i="13"/>
  <c r="AR165" i="13"/>
  <c r="AR181" i="13"/>
  <c r="AR184" i="13"/>
  <c r="S186" i="1"/>
  <c r="S119" i="1"/>
  <c r="S137" i="1"/>
  <c r="S136" i="1"/>
  <c r="S196" i="1" s="1"/>
  <c r="BI120" i="13"/>
  <c r="BI189" i="13"/>
  <c r="BI139" i="13"/>
  <c r="BI138" i="13"/>
  <c r="BI199" i="13" s="1"/>
  <c r="BI111" i="13"/>
  <c r="BD211" i="13"/>
  <c r="BD213" i="13" s="1"/>
  <c r="N100" i="1"/>
  <c r="AU189" i="13"/>
  <c r="AU120" i="13"/>
  <c r="AU130" i="13" s="1"/>
  <c r="AU132" i="13" s="1"/>
  <c r="AU138" i="13"/>
  <c r="AU199" i="13" s="1"/>
  <c r="AU139" i="13"/>
  <c r="AU111" i="13"/>
  <c r="U172" i="14"/>
  <c r="U116" i="14"/>
  <c r="U154" i="14"/>
  <c r="U170" i="14" s="1"/>
  <c r="U201" i="14"/>
  <c r="P185" i="14"/>
  <c r="P153" i="14" s="1"/>
  <c r="P119" i="14"/>
  <c r="P202" i="14"/>
  <c r="P101" i="14"/>
  <c r="P111" i="14" s="1"/>
  <c r="P172" i="14"/>
  <c r="AU212" i="13"/>
  <c r="AU224" i="13"/>
  <c r="AU225" i="13" s="1"/>
  <c r="AU232" i="13" s="1"/>
  <c r="AU233" i="13" s="1"/>
  <c r="AW265" i="13"/>
  <c r="AW266" i="13" s="1"/>
  <c r="AW267" i="13"/>
  <c r="AW268" i="13" s="1"/>
  <c r="BA265" i="13"/>
  <c r="BA266" i="13" s="1"/>
  <c r="BA267" i="13"/>
  <c r="BA268" i="13" s="1"/>
  <c r="AL205" i="13"/>
  <c r="AL206" i="13" s="1"/>
  <c r="AL207" i="13"/>
  <c r="AL208" i="13" s="1"/>
  <c r="AL210" i="13"/>
  <c r="F251" i="14"/>
  <c r="F252" i="14" s="1"/>
  <c r="F253" i="14"/>
  <c r="F254" i="14" s="1"/>
  <c r="O164" i="14"/>
  <c r="O163" i="14"/>
  <c r="O149" i="14"/>
  <c r="O145" i="14"/>
  <c r="O173" i="14"/>
  <c r="BA222" i="13"/>
  <c r="BA223" i="13" s="1"/>
  <c r="BA214" i="13"/>
  <c r="BA215" i="13" s="1"/>
  <c r="BA216" i="13"/>
  <c r="BA217" i="13" s="1"/>
  <c r="BA220" i="13"/>
  <c r="BA221" i="13" s="1"/>
  <c r="BA218" i="13"/>
  <c r="BA219" i="13" s="1"/>
  <c r="AS265" i="13"/>
  <c r="AS266" i="13" s="1"/>
  <c r="AS267" i="13"/>
  <c r="AS268" i="13" s="1"/>
  <c r="K188" i="14"/>
  <c r="K168" i="14"/>
  <c r="K151" i="14"/>
  <c r="C212" i="13"/>
  <c r="C224" i="13"/>
  <c r="C225" i="13" s="1"/>
  <c r="C236" i="13" s="1"/>
  <c r="C237" i="13" s="1"/>
  <c r="S228" i="13"/>
  <c r="S229" i="13" s="1"/>
  <c r="S226" i="13"/>
  <c r="S227" i="13" s="1"/>
  <c r="S232" i="13"/>
  <c r="S233" i="13" s="1"/>
  <c r="S230" i="13"/>
  <c r="S231" i="13" s="1"/>
  <c r="S234" i="13"/>
  <c r="S235" i="13" s="1"/>
  <c r="S236" i="13"/>
  <c r="S237" i="13" s="1"/>
  <c r="P250" i="14"/>
  <c r="P255" i="14"/>
  <c r="P139" i="13"/>
  <c r="P138" i="13"/>
  <c r="P199" i="13" s="1"/>
  <c r="P120" i="13"/>
  <c r="P130" i="13" s="1"/>
  <c r="P132" i="13" s="1"/>
  <c r="P189" i="13"/>
  <c r="I100" i="1"/>
  <c r="I143" i="1" s="1"/>
  <c r="I172" i="1" s="1"/>
  <c r="AO269" i="13"/>
  <c r="AO264" i="13"/>
  <c r="H149" i="14"/>
  <c r="H164" i="14"/>
  <c r="H173" i="14"/>
  <c r="H145" i="14"/>
  <c r="H163" i="14"/>
  <c r="AH130" i="13"/>
  <c r="AH132" i="13" s="1"/>
  <c r="M170" i="1"/>
  <c r="M139" i="1"/>
  <c r="M142" i="1"/>
  <c r="M160" i="1"/>
  <c r="M146" i="1"/>
  <c r="M161" i="1"/>
  <c r="T212" i="14"/>
  <c r="T224" i="14"/>
  <c r="T225" i="14" s="1"/>
  <c r="T236" i="14"/>
  <c r="T237" i="14" s="1"/>
  <c r="Q167" i="1"/>
  <c r="F213" i="14"/>
  <c r="F211" i="14"/>
  <c r="J185" i="13"/>
  <c r="J153" i="13" s="1"/>
  <c r="J119" i="13"/>
  <c r="J202" i="13"/>
  <c r="J101" i="13"/>
  <c r="J140" i="13" s="1"/>
  <c r="AM211" i="13"/>
  <c r="AM213" i="13" s="1"/>
  <c r="R224" i="14"/>
  <c r="R225" i="14" s="1"/>
  <c r="R236" i="14" s="1"/>
  <c r="R237" i="14" s="1"/>
  <c r="R212" i="14"/>
  <c r="AL172" i="13"/>
  <c r="P210" i="14"/>
  <c r="P207" i="14"/>
  <c r="P208" i="14" s="1"/>
  <c r="P205" i="14"/>
  <c r="P206" i="14" s="1"/>
  <c r="AQ119" i="13"/>
  <c r="AQ202" i="13"/>
  <c r="AQ185" i="13"/>
  <c r="AQ153" i="13" s="1"/>
  <c r="AQ101" i="13"/>
  <c r="AQ140" i="13" s="1"/>
  <c r="AQ172" i="13"/>
  <c r="BH211" i="13"/>
  <c r="BH213" i="13" s="1"/>
  <c r="F120" i="14"/>
  <c r="F130" i="14" s="1"/>
  <c r="F132" i="14" s="1"/>
  <c r="F189" i="14"/>
  <c r="F138" i="14"/>
  <c r="F199" i="14" s="1"/>
  <c r="F139" i="14"/>
  <c r="R189" i="13"/>
  <c r="R120" i="13"/>
  <c r="R138" i="13"/>
  <c r="R199" i="13" s="1"/>
  <c r="R139" i="13"/>
  <c r="H163" i="13"/>
  <c r="H164" i="13"/>
  <c r="H149" i="13"/>
  <c r="H145" i="13"/>
  <c r="H173" i="13"/>
  <c r="AU153" i="13"/>
  <c r="AZ168" i="13"/>
  <c r="AZ151" i="13"/>
  <c r="AZ188" i="13" s="1"/>
  <c r="AU234" i="13"/>
  <c r="AU235" i="13" s="1"/>
  <c r="AU226" i="13"/>
  <c r="AU227" i="13" s="1"/>
  <c r="C140" i="13"/>
  <c r="S184" i="13"/>
  <c r="S165" i="13"/>
  <c r="S181" i="13"/>
  <c r="BA272" i="13"/>
  <c r="BA273" i="13" s="1"/>
  <c r="BA270" i="13"/>
  <c r="BA271" i="13" s="1"/>
  <c r="BA274" i="13"/>
  <c r="BA275" i="13" s="1"/>
  <c r="R199" i="1"/>
  <c r="R118" i="1"/>
  <c r="R182" i="1"/>
  <c r="R101" i="1"/>
  <c r="R111" i="1"/>
  <c r="R169" i="1"/>
  <c r="AE270" i="13"/>
  <c r="AE271" i="13" s="1"/>
  <c r="AE272" i="13"/>
  <c r="AE273" i="13" s="1"/>
  <c r="AE274" i="13"/>
  <c r="AE275" i="13" s="1"/>
  <c r="F167" i="1"/>
  <c r="BC269" i="13"/>
  <c r="BC264" i="13"/>
  <c r="O120" i="14"/>
  <c r="O130" i="14" s="1"/>
  <c r="O132" i="14" s="1"/>
  <c r="O189" i="14"/>
  <c r="O139" i="14"/>
  <c r="O138" i="14"/>
  <c r="O199" i="14" s="1"/>
  <c r="F140" i="14"/>
  <c r="R130" i="13"/>
  <c r="R132" i="13" s="1"/>
  <c r="K247" i="1"/>
  <c r="K252" i="1"/>
  <c r="AB264" i="13"/>
  <c r="AB269" i="13"/>
  <c r="AB202" i="13"/>
  <c r="AB185" i="13"/>
  <c r="AB153" i="13" s="1"/>
  <c r="AB119" i="13"/>
  <c r="AB101" i="13"/>
  <c r="G165" i="13"/>
  <c r="G184" i="13"/>
  <c r="G181" i="13"/>
  <c r="J181" i="14"/>
  <c r="J165" i="14"/>
  <c r="J184" i="14"/>
  <c r="K182" i="14"/>
  <c r="K150" i="14" s="1"/>
  <c r="K166" i="14"/>
  <c r="E145" i="14"/>
  <c r="E173" i="14"/>
  <c r="E163" i="14"/>
  <c r="E149" i="14"/>
  <c r="E164" i="14"/>
  <c r="AI172" i="13"/>
  <c r="Q170" i="14"/>
  <c r="U207" i="13"/>
  <c r="U208" i="13" s="1"/>
  <c r="U205" i="13"/>
  <c r="U206" i="13" s="1"/>
  <c r="U210" i="13"/>
  <c r="T145" i="14"/>
  <c r="T173" i="14"/>
  <c r="T149" i="14"/>
  <c r="T164" i="14"/>
  <c r="T163" i="14"/>
  <c r="H189" i="14"/>
  <c r="H120" i="14"/>
  <c r="H138" i="14"/>
  <c r="H199" i="14" s="1"/>
  <c r="H139" i="14"/>
  <c r="Z189" i="13"/>
  <c r="Z120" i="13"/>
  <c r="Z130" i="13" s="1"/>
  <c r="Z132" i="13" s="1"/>
  <c r="Z138" i="13"/>
  <c r="Z199" i="13" s="1"/>
  <c r="Z139" i="13"/>
  <c r="W120" i="13"/>
  <c r="W130" i="13" s="1"/>
  <c r="W132" i="13" s="1"/>
  <c r="W189" i="13"/>
  <c r="W139" i="13"/>
  <c r="W138" i="13"/>
  <c r="W199" i="13" s="1"/>
  <c r="W111" i="13"/>
  <c r="U137" i="13"/>
  <c r="BG224" i="13"/>
  <c r="BG225" i="13" s="1"/>
  <c r="BG226" i="13" s="1"/>
  <c r="BG227" i="13" s="1"/>
  <c r="BG212" i="13"/>
  <c r="BI220" i="13"/>
  <c r="BI221" i="13" s="1"/>
  <c r="BI216" i="13"/>
  <c r="BI217" i="13" s="1"/>
  <c r="BI222" i="13"/>
  <c r="BI223" i="13" s="1"/>
  <c r="BI218" i="13"/>
  <c r="BI219" i="13" s="1"/>
  <c r="BI214" i="13"/>
  <c r="BI215" i="13" s="1"/>
  <c r="D182" i="1"/>
  <c r="D150" i="1" s="1"/>
  <c r="D199" i="1"/>
  <c r="D118" i="1"/>
  <c r="D138" i="1"/>
  <c r="D101" i="1"/>
  <c r="BH119" i="13"/>
  <c r="BH185" i="13"/>
  <c r="BH202" i="13"/>
  <c r="BH101" i="13"/>
  <c r="BH172" i="13"/>
  <c r="O251" i="14"/>
  <c r="O252" i="14" s="1"/>
  <c r="O253" i="14"/>
  <c r="O254" i="14" s="1"/>
  <c r="AF265" i="13"/>
  <c r="AF266" i="13" s="1"/>
  <c r="AF267" i="13"/>
  <c r="AF268" i="13" s="1"/>
  <c r="M165" i="15"/>
  <c r="M133" i="15" s="1"/>
  <c r="M166" i="15" s="1"/>
  <c r="AA189" i="13"/>
  <c r="AA120" i="13"/>
  <c r="AA130" i="13" s="1"/>
  <c r="AA132" i="13" s="1"/>
  <c r="AA139" i="13"/>
  <c r="AA138" i="13"/>
  <c r="AA199" i="13" s="1"/>
  <c r="AA272" i="13"/>
  <c r="AA273" i="13" s="1"/>
  <c r="AA274" i="13"/>
  <c r="AA275" i="13" s="1"/>
  <c r="AA270" i="13"/>
  <c r="AA271" i="13" s="1"/>
  <c r="O129" i="1"/>
  <c r="O131" i="1" s="1"/>
  <c r="AI216" i="13"/>
  <c r="AI217" i="13" s="1"/>
  <c r="AI214" i="13"/>
  <c r="AI215" i="13" s="1"/>
  <c r="AI218" i="13"/>
  <c r="AI219" i="13" s="1"/>
  <c r="AI220" i="13"/>
  <c r="AI221" i="13" s="1"/>
  <c r="AI222" i="13"/>
  <c r="AI223" i="13" s="1"/>
  <c r="AE222" i="13"/>
  <c r="AE223" i="13" s="1"/>
  <c r="AE214" i="13"/>
  <c r="AE215" i="13" s="1"/>
  <c r="AE220" i="13"/>
  <c r="AE221" i="13" s="1"/>
  <c r="AE216" i="13"/>
  <c r="AE217" i="13" s="1"/>
  <c r="AE218" i="13"/>
  <c r="AE219" i="13" s="1"/>
  <c r="S129" i="1"/>
  <c r="S131" i="1" s="1"/>
  <c r="T164" i="13"/>
  <c r="T149" i="13"/>
  <c r="T163" i="13"/>
  <c r="T145" i="13"/>
  <c r="T173" i="13"/>
  <c r="BI153" i="13"/>
  <c r="O258" i="14"/>
  <c r="O259" i="14" s="1"/>
  <c r="O256" i="14"/>
  <c r="O257" i="14" s="1"/>
  <c r="O260" i="14"/>
  <c r="O261" i="14" s="1"/>
  <c r="BF211" i="13"/>
  <c r="BF213" i="13"/>
  <c r="O265" i="14"/>
  <c r="O266" i="14" s="1"/>
  <c r="O267" i="14"/>
  <c r="O268" i="14" s="1"/>
  <c r="AF270" i="13"/>
  <c r="AF271" i="13" s="1"/>
  <c r="AF274" i="13"/>
  <c r="AF275" i="13" s="1"/>
  <c r="AF272" i="13"/>
  <c r="AF273" i="13" s="1"/>
  <c r="P222" i="13"/>
  <c r="P223" i="13" s="1"/>
  <c r="P220" i="13"/>
  <c r="P221" i="13" s="1"/>
  <c r="P218" i="13"/>
  <c r="P219" i="13" s="1"/>
  <c r="P216" i="13"/>
  <c r="P217" i="13" s="1"/>
  <c r="P214" i="13"/>
  <c r="P215" i="13" s="1"/>
  <c r="AG137" i="13"/>
  <c r="BE164" i="13"/>
  <c r="BE163" i="13"/>
  <c r="BE149" i="13"/>
  <c r="BE173" i="13"/>
  <c r="BE145" i="13"/>
  <c r="AE265" i="13"/>
  <c r="AE266" i="13" s="1"/>
  <c r="AE267" i="13"/>
  <c r="AE268" i="13" s="1"/>
  <c r="AB207" i="13"/>
  <c r="AB208" i="13" s="1"/>
  <c r="AB205" i="13"/>
  <c r="AB206" i="13" s="1"/>
  <c r="AB210" i="13"/>
  <c r="Q120" i="13"/>
  <c r="Q189" i="13"/>
  <c r="Q139" i="13"/>
  <c r="Q138" i="13"/>
  <c r="Q199" i="13" s="1"/>
  <c r="BD119" i="13"/>
  <c r="BD202" i="13"/>
  <c r="BD185" i="13"/>
  <c r="BD153" i="13" s="1"/>
  <c r="BD101" i="13"/>
  <c r="BD172" i="13"/>
  <c r="BD111" i="13"/>
  <c r="AY202" i="13"/>
  <c r="AY119" i="13"/>
  <c r="AY185" i="13"/>
  <c r="AY153" i="13" s="1"/>
  <c r="AY101" i="13"/>
  <c r="AY111" i="13" s="1"/>
  <c r="AY172" i="13"/>
  <c r="BF265" i="13"/>
  <c r="BF266" i="13" s="1"/>
  <c r="BF267" i="13"/>
  <c r="BF268" i="13" s="1"/>
  <c r="O140" i="14"/>
  <c r="M145" i="13"/>
  <c r="M163" i="13"/>
  <c r="M149" i="13"/>
  <c r="M164" i="13"/>
  <c r="M173" i="13"/>
  <c r="AC185" i="13"/>
  <c r="AC153" i="13" s="1"/>
  <c r="AC119" i="13"/>
  <c r="AC202" i="13"/>
  <c r="AC101" i="13"/>
  <c r="AC172" i="13"/>
  <c r="AN163" i="13"/>
  <c r="AN173" i="13"/>
  <c r="AN149" i="13"/>
  <c r="AN145" i="13"/>
  <c r="AN164" i="13"/>
  <c r="V211" i="13"/>
  <c r="V213" i="13" s="1"/>
  <c r="AN214" i="13"/>
  <c r="AN215" i="13" s="1"/>
  <c r="AN216" i="13"/>
  <c r="AN217" i="13" s="1"/>
  <c r="AN218" i="13"/>
  <c r="AN219" i="13" s="1"/>
  <c r="AN220" i="13"/>
  <c r="AN221" i="13" s="1"/>
  <c r="AN222" i="13"/>
  <c r="AN223" i="13" s="1"/>
  <c r="K145" i="13"/>
  <c r="K173" i="13"/>
  <c r="K163" i="13"/>
  <c r="K149" i="13"/>
  <c r="K164" i="13"/>
  <c r="K261" i="1"/>
  <c r="K266" i="1"/>
  <c r="F272" i="14"/>
  <c r="F273" i="14" s="1"/>
  <c r="F270" i="14"/>
  <c r="F271" i="14" s="1"/>
  <c r="F274" i="14"/>
  <c r="F275" i="14" s="1"/>
  <c r="AO207" i="13"/>
  <c r="AO208" i="13" s="1"/>
  <c r="AO205" i="13"/>
  <c r="AO206" i="13" s="1"/>
  <c r="AO210" i="13"/>
  <c r="AI189" i="13"/>
  <c r="AI120" i="13"/>
  <c r="AI130" i="13" s="1"/>
  <c r="AI132" i="13" s="1"/>
  <c r="AI138" i="13"/>
  <c r="AI199" i="13" s="1"/>
  <c r="AI139" i="13"/>
  <c r="AI111" i="13"/>
  <c r="G249" i="14"/>
  <c r="G263" i="14"/>
  <c r="AW234" i="13"/>
  <c r="AW235" i="13" s="1"/>
  <c r="R165" i="14"/>
  <c r="R184" i="14"/>
  <c r="R181" i="14"/>
  <c r="T120" i="14"/>
  <c r="T189" i="14"/>
  <c r="T139" i="14"/>
  <c r="T138" i="14"/>
  <c r="T199" i="14" s="1"/>
  <c r="S250" i="14"/>
  <c r="S255" i="14"/>
  <c r="Q135" i="1"/>
  <c r="AE172" i="13"/>
  <c r="BG145" i="13"/>
  <c r="BG163" i="13"/>
  <c r="BG173" i="13"/>
  <c r="BG149" i="13"/>
  <c r="BG164" i="13"/>
  <c r="K154" i="1"/>
  <c r="K155" i="1"/>
  <c r="K187" i="1" s="1"/>
  <c r="K188" i="1" s="1"/>
  <c r="K168" i="1" s="1"/>
  <c r="K183" i="1"/>
  <c r="K184" i="1" s="1"/>
  <c r="K166" i="1"/>
  <c r="J210" i="13"/>
  <c r="J207" i="13"/>
  <c r="J208" i="13" s="1"/>
  <c r="J205" i="13"/>
  <c r="J206" i="13" s="1"/>
  <c r="H130" i="14"/>
  <c r="H132" i="14" s="1"/>
  <c r="Z153" i="13"/>
  <c r="BG228" i="13"/>
  <c r="BG229" i="13" s="1"/>
  <c r="H224" i="13"/>
  <c r="H225" i="13" s="1"/>
  <c r="H236" i="13" s="1"/>
  <c r="H237" i="13" s="1"/>
  <c r="H212" i="13"/>
  <c r="E199" i="1"/>
  <c r="E182" i="1"/>
  <c r="E150" i="1" s="1"/>
  <c r="E118" i="1"/>
  <c r="E101" i="1"/>
  <c r="E138" i="1" s="1"/>
  <c r="X222" i="13"/>
  <c r="X223" i="13" s="1"/>
  <c r="X214" i="13"/>
  <c r="X215" i="13" s="1"/>
  <c r="X218" i="13"/>
  <c r="X219" i="13" s="1"/>
  <c r="X220" i="13"/>
  <c r="X221" i="13" s="1"/>
  <c r="X216" i="13"/>
  <c r="X217" i="13" s="1"/>
  <c r="BH115" i="15"/>
  <c r="AA265" i="13"/>
  <c r="AA266" i="13" s="1"/>
  <c r="AA267" i="13"/>
  <c r="AA268" i="13" s="1"/>
  <c r="AI212" i="13"/>
  <c r="AI224" i="13"/>
  <c r="AI225" i="13" s="1"/>
  <c r="AI230" i="13" s="1"/>
  <c r="AI231" i="13" s="1"/>
  <c r="S138" i="1"/>
  <c r="K125" i="15"/>
  <c r="G114" i="15"/>
  <c r="K230" i="14"/>
  <c r="K231" i="14" s="1"/>
  <c r="K228" i="14"/>
  <c r="K229" i="14" s="1"/>
  <c r="K232" i="14"/>
  <c r="K233" i="14" s="1"/>
  <c r="K226" i="14"/>
  <c r="K227" i="14" s="1"/>
  <c r="K277" i="14" s="1"/>
  <c r="K234" i="14"/>
  <c r="K235" i="14" s="1"/>
  <c r="O138" i="1"/>
  <c r="AI234" i="13"/>
  <c r="AI235" i="13" s="1"/>
  <c r="AE212" i="13"/>
  <c r="AE224" i="13"/>
  <c r="AE225" i="13" s="1"/>
  <c r="AE230" i="13" s="1"/>
  <c r="AE231" i="13" s="1"/>
  <c r="AE236" i="13"/>
  <c r="AE237" i="13" s="1"/>
  <c r="AE242" i="13" s="1"/>
  <c r="AE243" i="13" s="1"/>
  <c r="S150" i="1"/>
  <c r="U255" i="13"/>
  <c r="U250" i="13"/>
  <c r="BI140" i="13"/>
  <c r="AU140" i="13"/>
  <c r="AD218" i="13"/>
  <c r="AD219" i="13" s="1"/>
  <c r="AD220" i="13"/>
  <c r="AD221" i="13" s="1"/>
  <c r="AD216" i="13"/>
  <c r="AD217" i="13" s="1"/>
  <c r="AD214" i="13"/>
  <c r="AD215" i="13" s="1"/>
  <c r="AD222" i="13"/>
  <c r="AD223" i="13" s="1"/>
  <c r="O272" i="14"/>
  <c r="O273" i="14" s="1"/>
  <c r="O270" i="14"/>
  <c r="O271" i="14" s="1"/>
  <c r="O274" i="14"/>
  <c r="O275" i="14" s="1"/>
  <c r="AZ182" i="13"/>
  <c r="AZ150" i="13" s="1"/>
  <c r="AZ183" i="13"/>
  <c r="AZ166" i="13"/>
  <c r="P212" i="13"/>
  <c r="P224" i="13"/>
  <c r="P225" i="13" s="1"/>
  <c r="P236" i="13" s="1"/>
  <c r="P237" i="13" s="1"/>
  <c r="AU220" i="13"/>
  <c r="AU221" i="13" s="1"/>
  <c r="AU222" i="13"/>
  <c r="AU223" i="13" s="1"/>
  <c r="AU214" i="13"/>
  <c r="AU215" i="13" s="1"/>
  <c r="AU218" i="13"/>
  <c r="AU219" i="13" s="1"/>
  <c r="AU216" i="13"/>
  <c r="AU217" i="13" s="1"/>
  <c r="AC211" i="13"/>
  <c r="AC213" i="13" s="1"/>
  <c r="BH265" i="13"/>
  <c r="BH266" i="13" s="1"/>
  <c r="BH267" i="13"/>
  <c r="BH268" i="13" s="1"/>
  <c r="BE120" i="13"/>
  <c r="BE130" i="13" s="1"/>
  <c r="BE132" i="13" s="1"/>
  <c r="BE189" i="13"/>
  <c r="BE138" i="13"/>
  <c r="BE199" i="13" s="1"/>
  <c r="BE139" i="13"/>
  <c r="AV165" i="13"/>
  <c r="AV184" i="13"/>
  <c r="AV181" i="13"/>
  <c r="Q196" i="14"/>
  <c r="Q204" i="14" s="1"/>
  <c r="AL264" i="13"/>
  <c r="AL269" i="13"/>
  <c r="AK212" i="13"/>
  <c r="AK236" i="13"/>
  <c r="AK237" i="13" s="1"/>
  <c r="AK244" i="13" s="1"/>
  <c r="AK245" i="13" s="1"/>
  <c r="AK224" i="13"/>
  <c r="AK225" i="13" s="1"/>
  <c r="AK234" i="13" s="1"/>
  <c r="AK235" i="13" s="1"/>
  <c r="Q153" i="13"/>
  <c r="BD146" i="13"/>
  <c r="BD175" i="13" s="1"/>
  <c r="BJ145" i="13"/>
  <c r="BJ164" i="13"/>
  <c r="BJ173" i="13"/>
  <c r="BJ163" i="13"/>
  <c r="BJ149" i="13"/>
  <c r="B168" i="14"/>
  <c r="B188" i="14"/>
  <c r="B151" i="14"/>
  <c r="AY146" i="13"/>
  <c r="AY175" i="13" s="1"/>
  <c r="AE164" i="13"/>
  <c r="AE145" i="13"/>
  <c r="AE149" i="13"/>
  <c r="AE163" i="13"/>
  <c r="AE173" i="13"/>
  <c r="BF272" i="13"/>
  <c r="BF273" i="13" s="1"/>
  <c r="BF274" i="13"/>
  <c r="BF275" i="13" s="1"/>
  <c r="BF270" i="13"/>
  <c r="BF271" i="13" s="1"/>
  <c r="N167" i="1"/>
  <c r="O153" i="14"/>
  <c r="Z216" i="13"/>
  <c r="Z217" i="13" s="1"/>
  <c r="Z218" i="13"/>
  <c r="Z220" i="13"/>
  <c r="Z221" i="13" s="1"/>
  <c r="Z214" i="13"/>
  <c r="Z215" i="13" s="1"/>
  <c r="Z222" i="13"/>
  <c r="Z223" i="13" s="1"/>
  <c r="U125" i="14"/>
  <c r="U141" i="14"/>
  <c r="U197" i="14" s="1"/>
  <c r="H212" i="14"/>
  <c r="AN212" i="13"/>
  <c r="AN224" i="13"/>
  <c r="AN225" i="13" s="1"/>
  <c r="AN236" i="13" s="1"/>
  <c r="AN237" i="13" s="1"/>
  <c r="F267" i="14"/>
  <c r="F268" i="14" s="1"/>
  <c r="F265" i="14"/>
  <c r="F266" i="14" s="1"/>
  <c r="C146" i="1"/>
  <c r="C142" i="1"/>
  <c r="C139" i="1"/>
  <c r="C170" i="1"/>
  <c r="C161" i="1"/>
  <c r="C160" i="1"/>
  <c r="C168" i="14"/>
  <c r="C151" i="14"/>
  <c r="C188" i="14" s="1"/>
  <c r="G167" i="1"/>
  <c r="O211" i="14"/>
  <c r="AY211" i="13"/>
  <c r="AY213" i="13"/>
  <c r="AW218" i="13"/>
  <c r="AW220" i="13"/>
  <c r="AW221" i="13" s="1"/>
  <c r="AW214" i="13"/>
  <c r="AW215" i="13" s="1"/>
  <c r="AW216" i="13"/>
  <c r="AW217" i="13" s="1"/>
  <c r="AW222" i="13"/>
  <c r="AW223" i="13" s="1"/>
  <c r="E135" i="1"/>
  <c r="T140" i="14"/>
  <c r="S264" i="14"/>
  <c r="S269" i="14"/>
  <c r="AS120" i="13"/>
  <c r="AS130" i="13" s="1"/>
  <c r="AS132" i="13" s="1"/>
  <c r="AS189" i="13"/>
  <c r="AS139" i="13"/>
  <c r="AS138" i="13"/>
  <c r="AS199" i="13" s="1"/>
  <c r="AE189" i="13"/>
  <c r="AE120" i="13"/>
  <c r="AE130" i="13" s="1"/>
  <c r="AE132" i="13" s="1"/>
  <c r="AE138" i="13"/>
  <c r="AE199" i="13" s="1"/>
  <c r="AE139" i="13"/>
  <c r="K180" i="1"/>
  <c r="H140" i="14"/>
  <c r="B111" i="1"/>
  <c r="BI212" i="13"/>
  <c r="BI224" i="13"/>
  <c r="BI225" i="13" s="1"/>
  <c r="BI226" i="13" s="1"/>
  <c r="BI227" i="13" s="1"/>
  <c r="BB267" i="13"/>
  <c r="BB268" i="13" s="1"/>
  <c r="BB265" i="13"/>
  <c r="BB266" i="13" s="1"/>
  <c r="B163" i="13"/>
  <c r="B145" i="13"/>
  <c r="B164" i="13"/>
  <c r="B149" i="13"/>
  <c r="B173" i="13"/>
  <c r="BC111" i="13"/>
  <c r="AK165" i="13"/>
  <c r="AK181" i="13"/>
  <c r="AK184" i="13"/>
  <c r="E143" i="1"/>
  <c r="E172" i="1" s="1"/>
  <c r="AF185" i="13"/>
  <c r="AF202" i="13"/>
  <c r="AF119" i="13"/>
  <c r="AF101" i="13"/>
  <c r="AF140" i="13" s="1"/>
  <c r="AF172" i="13"/>
  <c r="AA111" i="13"/>
  <c r="AC265" i="13"/>
  <c r="AC266" i="13" s="1"/>
  <c r="AC267" i="13"/>
  <c r="AC268" i="13" s="1"/>
  <c r="U123" i="14"/>
  <c r="AH211" i="13"/>
  <c r="AH213" i="13" s="1"/>
  <c r="H272" i="14"/>
  <c r="H273" i="14" s="1"/>
  <c r="H270" i="14"/>
  <c r="H271" i="14" s="1"/>
  <c r="H274" i="14"/>
  <c r="H275" i="14" s="1"/>
  <c r="V265" i="13"/>
  <c r="V266" i="13" s="1"/>
  <c r="V267" i="13"/>
  <c r="V268" i="13" s="1"/>
  <c r="M149" i="14"/>
  <c r="M145" i="14"/>
  <c r="M164" i="14"/>
  <c r="M173" i="14"/>
  <c r="M163" i="14"/>
  <c r="Y146" i="13"/>
  <c r="Y175" i="13" s="1"/>
  <c r="BI130" i="13"/>
  <c r="BI132" i="13" s="1"/>
  <c r="AJ173" i="13"/>
  <c r="AJ149" i="13"/>
  <c r="AJ164" i="13"/>
  <c r="AJ163" i="13"/>
  <c r="AJ145" i="13"/>
  <c r="AD232" i="13"/>
  <c r="AD233" i="13" s="1"/>
  <c r="AD234" i="13"/>
  <c r="AD235" i="13" s="1"/>
  <c r="AD230" i="13"/>
  <c r="AD231" i="13" s="1"/>
  <c r="AD228" i="13"/>
  <c r="AD229" i="13" s="1"/>
  <c r="AD226" i="13"/>
  <c r="AD227" i="13" s="1"/>
  <c r="AF211" i="13"/>
  <c r="AF213" i="13" s="1"/>
  <c r="BF202" i="13"/>
  <c r="BF119" i="13"/>
  <c r="BF185" i="13"/>
  <c r="BF101" i="13"/>
  <c r="BF140" i="13" s="1"/>
  <c r="BF172" i="13"/>
  <c r="BH274" i="13"/>
  <c r="BH275" i="13" s="1"/>
  <c r="BH272" i="13"/>
  <c r="BH273" i="13" s="1"/>
  <c r="BH270" i="13"/>
  <c r="BH271" i="13" s="1"/>
  <c r="BE140" i="13"/>
  <c r="W265" i="13"/>
  <c r="W266" i="13" s="1"/>
  <c r="W267" i="13"/>
  <c r="W268" i="13" s="1"/>
  <c r="J137" i="13"/>
  <c r="AK226" i="13"/>
  <c r="AK227" i="13" s="1"/>
  <c r="Q130" i="13"/>
  <c r="Q132" i="13" s="1"/>
  <c r="B240" i="13"/>
  <c r="B241" i="13" s="1"/>
  <c r="B244" i="13"/>
  <c r="B245" i="13" s="1"/>
  <c r="B246" i="13"/>
  <c r="B247" i="13" s="1"/>
  <c r="B238" i="13"/>
  <c r="B239" i="13" s="1"/>
  <c r="B242" i="13"/>
  <c r="B243" i="13" s="1"/>
  <c r="BJ120" i="13"/>
  <c r="BJ130" i="13" s="1"/>
  <c r="BJ132" i="13" s="1"/>
  <c r="BJ189" i="13"/>
  <c r="BJ139" i="13"/>
  <c r="BJ138" i="13"/>
  <c r="BJ199" i="13" s="1"/>
  <c r="B182" i="14"/>
  <c r="B150" i="14" s="1"/>
  <c r="B183" i="14" s="1"/>
  <c r="B166" i="14"/>
  <c r="AI265" i="13"/>
  <c r="AI266" i="13" s="1"/>
  <c r="AI267" i="13"/>
  <c r="AI268" i="13" s="1"/>
  <c r="B219" i="13"/>
  <c r="M120" i="13"/>
  <c r="M130" i="13" s="1"/>
  <c r="M132" i="13" s="1"/>
  <c r="M189" i="13"/>
  <c r="M139" i="13"/>
  <c r="M138" i="13"/>
  <c r="M199" i="13" s="1"/>
  <c r="H213" i="14"/>
  <c r="AN189" i="13"/>
  <c r="AN120" i="13"/>
  <c r="AN130" i="13" s="1"/>
  <c r="AN132" i="13" s="1"/>
  <c r="AN139" i="13"/>
  <c r="AN138" i="13"/>
  <c r="AN199" i="13" s="1"/>
  <c r="AN234" i="13"/>
  <c r="AN235" i="13" s="1"/>
  <c r="AN232" i="13"/>
  <c r="AN233" i="13" s="1"/>
  <c r="AO111" i="13"/>
  <c r="AP114" i="15"/>
  <c r="AP115" i="15" s="1"/>
  <c r="C166" i="14"/>
  <c r="C182" i="14"/>
  <c r="C150" i="14" s="1"/>
  <c r="D111" i="14"/>
  <c r="Q100" i="14"/>
  <c r="Q146" i="14" s="1"/>
  <c r="Q175" i="14" s="1"/>
  <c r="AM111" i="13"/>
  <c r="T153" i="14"/>
  <c r="D255" i="14"/>
  <c r="D250" i="14"/>
  <c r="AE140" i="13"/>
  <c r="BG120" i="13"/>
  <c r="BG130" i="13" s="1"/>
  <c r="BG132" i="13" s="1"/>
  <c r="BG189" i="13"/>
  <c r="BG138" i="13"/>
  <c r="BG199" i="13" s="1"/>
  <c r="BG139" i="13"/>
  <c r="B138" i="1"/>
  <c r="Z140" i="13"/>
  <c r="W140" i="13"/>
  <c r="BG218" i="13"/>
  <c r="BG219" i="13" s="1"/>
  <c r="BG214" i="13"/>
  <c r="BG215" i="13" s="1"/>
  <c r="BG216" i="13"/>
  <c r="BG217" i="13" s="1"/>
  <c r="BG220" i="13"/>
  <c r="BG221" i="13" s="1"/>
  <c r="BG222" i="13"/>
  <c r="BG223" i="13" s="1"/>
  <c r="M228" i="14"/>
  <c r="M229" i="14" s="1"/>
  <c r="M232" i="14"/>
  <c r="M233" i="14" s="1"/>
  <c r="M226" i="14"/>
  <c r="M227" i="14" s="1"/>
  <c r="M277" i="14" s="1"/>
  <c r="M234" i="14"/>
  <c r="M235" i="14" s="1"/>
  <c r="M230" i="14"/>
  <c r="M231" i="14" s="1"/>
  <c r="BI232" i="13"/>
  <c r="BI233" i="13" s="1"/>
  <c r="BI228" i="13"/>
  <c r="BI229" i="13" s="1"/>
  <c r="BB274" i="13"/>
  <c r="BB275" i="13" s="1"/>
  <c r="BB272" i="13"/>
  <c r="BB273" i="13" s="1"/>
  <c r="BB270" i="13"/>
  <c r="BB271" i="13" s="1"/>
  <c r="G111" i="1"/>
  <c r="AL146" i="13"/>
  <c r="AL175" i="13" s="1"/>
  <c r="Q182" i="1"/>
  <c r="Q150" i="1" s="1"/>
  <c r="Q138" i="1"/>
  <c r="Q199" i="1"/>
  <c r="Q118" i="1"/>
  <c r="Q101" i="1"/>
  <c r="X165" i="15"/>
  <c r="X133" i="15" s="1"/>
  <c r="X149" i="15"/>
  <c r="AG188" i="15"/>
  <c r="AG189" i="15" s="1"/>
  <c r="AG193" i="15"/>
  <c r="AG190" i="15"/>
  <c r="AG191" i="15" s="1"/>
  <c r="AE151" i="15"/>
  <c r="AA232" i="15"/>
  <c r="AA246" i="15"/>
  <c r="AE190" i="15"/>
  <c r="AE191" i="15" s="1"/>
  <c r="AE188" i="15"/>
  <c r="AE189" i="15" s="1"/>
  <c r="AE193" i="15"/>
  <c r="AU151" i="15"/>
  <c r="AP151" i="15"/>
  <c r="AP134" i="15"/>
  <c r="AP171" i="15" s="1"/>
  <c r="BC149" i="15"/>
  <c r="BC165" i="15"/>
  <c r="BC133" i="15" s="1"/>
  <c r="BC166" i="15" s="1"/>
  <c r="BK149" i="15"/>
  <c r="BK165" i="15"/>
  <c r="BK133" i="15" s="1"/>
  <c r="BK166" i="15" s="1"/>
  <c r="W151" i="15"/>
  <c r="AO113" i="15"/>
  <c r="AO115" i="15" s="1"/>
  <c r="AH190" i="15"/>
  <c r="AH191" i="15" s="1"/>
  <c r="AH188" i="15"/>
  <c r="AH189" i="15" s="1"/>
  <c r="AH193" i="15"/>
  <c r="AW149" i="15"/>
  <c r="AW165" i="15"/>
  <c r="AW133" i="15" s="1"/>
  <c r="AW166" i="15" s="1"/>
  <c r="AY190" i="15"/>
  <c r="AY191" i="15" s="1"/>
  <c r="AY193" i="15"/>
  <c r="AY188" i="15"/>
  <c r="AY189" i="15" s="1"/>
  <c r="AK246" i="15"/>
  <c r="AK232" i="15"/>
  <c r="BE246" i="15"/>
  <c r="BE232" i="15"/>
  <c r="BK151" i="15"/>
  <c r="BK171" i="15"/>
  <c r="BK190" i="15"/>
  <c r="BK191" i="15" s="1"/>
  <c r="BK188" i="15"/>
  <c r="BK189" i="15" s="1"/>
  <c r="BK193" i="15"/>
  <c r="AX149" i="15"/>
  <c r="AX165" i="15"/>
  <c r="AX133" i="15" s="1"/>
  <c r="V149" i="15"/>
  <c r="V165" i="15"/>
  <c r="V133" i="15" s="1"/>
  <c r="V166" i="15" s="1"/>
  <c r="AV166" i="15"/>
  <c r="AV165" i="15"/>
  <c r="AV133" i="15" s="1"/>
  <c r="AV149" i="15"/>
  <c r="AP232" i="15"/>
  <c r="AP246" i="15"/>
  <c r="AU166" i="15"/>
  <c r="AU149" i="15"/>
  <c r="AU165" i="15"/>
  <c r="AU133" i="15" s="1"/>
  <c r="AC149" i="15"/>
  <c r="AC165" i="15"/>
  <c r="AC133" i="15" s="1"/>
  <c r="AC166" i="15" s="1"/>
  <c r="AC246" i="15"/>
  <c r="AC232" i="15"/>
  <c r="AT165" i="15"/>
  <c r="AT133" i="15" s="1"/>
  <c r="AT149" i="15"/>
  <c r="AS188" i="15"/>
  <c r="AS189" i="15" s="1"/>
  <c r="AS193" i="15"/>
  <c r="AS190" i="15"/>
  <c r="AS191" i="15" s="1"/>
  <c r="BD151" i="15"/>
  <c r="BD171" i="15"/>
  <c r="AX232" i="15"/>
  <c r="AX246" i="15"/>
  <c r="AO151" i="15"/>
  <c r="AD232" i="15"/>
  <c r="AD246" i="15"/>
  <c r="BH246" i="15"/>
  <c r="BH232" i="15"/>
  <c r="BJ246" i="15"/>
  <c r="BJ232" i="15"/>
  <c r="AL151" i="15"/>
  <c r="AL171" i="15"/>
  <c r="AL134" i="15"/>
  <c r="W190" i="15"/>
  <c r="W191" i="15" s="1"/>
  <c r="W188" i="15"/>
  <c r="W189" i="15" s="1"/>
  <c r="W193" i="15"/>
  <c r="AB188" i="15"/>
  <c r="AB189" i="15" s="1"/>
  <c r="AB193" i="15"/>
  <c r="AB190" i="15"/>
  <c r="AB191" i="15" s="1"/>
  <c r="BH165" i="15"/>
  <c r="BH133" i="15" s="1"/>
  <c r="BH166" i="15" s="1"/>
  <c r="BH149" i="15"/>
  <c r="AH232" i="15"/>
  <c r="AH246" i="15"/>
  <c r="Y246" i="15"/>
  <c r="Y232" i="15"/>
  <c r="AR188" i="15"/>
  <c r="AR189" i="15" s="1"/>
  <c r="AR193" i="15"/>
  <c r="AR190" i="15"/>
  <c r="AR191" i="15" s="1"/>
  <c r="BJ151" i="15"/>
  <c r="BJ134" i="15"/>
  <c r="BJ171" i="15" s="1"/>
  <c r="AF246" i="15"/>
  <c r="AF232" i="15"/>
  <c r="U188" i="15"/>
  <c r="U189" i="15" s="1"/>
  <c r="U193" i="15"/>
  <c r="U190" i="15"/>
  <c r="U191" i="15" s="1"/>
  <c r="AW188" i="15"/>
  <c r="AW189" i="15" s="1"/>
  <c r="AW193" i="15"/>
  <c r="AW190" i="15"/>
  <c r="AW191" i="15" s="1"/>
  <c r="AJ246" i="15"/>
  <c r="AJ232" i="15"/>
  <c r="Z190" i="15"/>
  <c r="Z191" i="15" s="1"/>
  <c r="Z188" i="15"/>
  <c r="Z189" i="15" s="1"/>
  <c r="Z193" i="15"/>
  <c r="AO148" i="15"/>
  <c r="AO164" i="15"/>
  <c r="AO126" i="15"/>
  <c r="AO181" i="15" s="1"/>
  <c r="AO180" i="15"/>
  <c r="AO125" i="15"/>
  <c r="AO179" i="15"/>
  <c r="AO187" i="15" s="1"/>
  <c r="AB166" i="15"/>
  <c r="AB165" i="15"/>
  <c r="AB133" i="15" s="1"/>
  <c r="AB149" i="15"/>
  <c r="AN246" i="15"/>
  <c r="AN232" i="15"/>
  <c r="AY165" i="15"/>
  <c r="AY133" i="15" s="1"/>
  <c r="AY149" i="15"/>
  <c r="AK149" i="15"/>
  <c r="AK165" i="15"/>
  <c r="AK133" i="15" s="1"/>
  <c r="AK166" i="15" s="1"/>
  <c r="BC232" i="15"/>
  <c r="BC246" i="15"/>
  <c r="BA149" i="15"/>
  <c r="BA165" i="15"/>
  <c r="BA133" i="15" s="1"/>
  <c r="BA246" i="15"/>
  <c r="BA232" i="15"/>
  <c r="AM149" i="15"/>
  <c r="AM165" i="15"/>
  <c r="AM133" i="15" s="1"/>
  <c r="AM166" i="15" s="1"/>
  <c r="AL232" i="15"/>
  <c r="AL246" i="15"/>
  <c r="AM232" i="15"/>
  <c r="AM246" i="15"/>
  <c r="AZ246" i="15"/>
  <c r="AZ232" i="15"/>
  <c r="AF165" i="15"/>
  <c r="AF133" i="15" s="1"/>
  <c r="AF166" i="15" s="1"/>
  <c r="AF149" i="15"/>
  <c r="AJ165" i="15"/>
  <c r="AJ133" i="15" s="1"/>
  <c r="AJ149" i="15"/>
  <c r="BB232" i="15"/>
  <c r="BB246" i="15"/>
  <c r="AX190" i="15"/>
  <c r="AX191" i="15" s="1"/>
  <c r="AX188" i="15"/>
  <c r="AX189" i="15" s="1"/>
  <c r="AX193" i="15"/>
  <c r="Y188" i="15"/>
  <c r="Y189" i="15" s="1"/>
  <c r="Y193" i="15"/>
  <c r="Y190" i="15"/>
  <c r="Y191" i="15" s="1"/>
  <c r="AR149" i="15"/>
  <c r="AR165" i="15"/>
  <c r="AR133" i="15" s="1"/>
  <c r="AJ188" i="15"/>
  <c r="AJ189" i="15" s="1"/>
  <c r="AJ193" i="15"/>
  <c r="AJ190" i="15"/>
  <c r="AJ191" i="15" s="1"/>
  <c r="AB151" i="15"/>
  <c r="AZ188" i="15"/>
  <c r="AZ189" i="15" s="1"/>
  <c r="AZ193" i="15"/>
  <c r="AZ190" i="15"/>
  <c r="AZ191" i="15" s="1"/>
  <c r="BK232" i="15"/>
  <c r="BK246" i="15"/>
  <c r="AG246" i="15"/>
  <c r="AG232" i="15"/>
  <c r="AS151" i="15"/>
  <c r="AS134" i="15"/>
  <c r="AS171" i="15" s="1"/>
  <c r="AQ190" i="15"/>
  <c r="AQ191" i="15" s="1"/>
  <c r="AQ193" i="15"/>
  <c r="AQ188" i="15"/>
  <c r="AQ189" i="15" s="1"/>
  <c r="AA190" i="15"/>
  <c r="AA191" i="15" s="1"/>
  <c r="AA193" i="15"/>
  <c r="AA188" i="15"/>
  <c r="AA189" i="15" s="1"/>
  <c r="AE232" i="15"/>
  <c r="AE246" i="15"/>
  <c r="BB190" i="15"/>
  <c r="BB191" i="15" s="1"/>
  <c r="BB193" i="15"/>
  <c r="BB188" i="15"/>
  <c r="BB189" i="15" s="1"/>
  <c r="BG190" i="15"/>
  <c r="BG191" i="15" s="1"/>
  <c r="BG193" i="15"/>
  <c r="BG188" i="15"/>
  <c r="BG189" i="15" s="1"/>
  <c r="AM151" i="15"/>
  <c r="AM134" i="15"/>
  <c r="AM171" i="15" s="1"/>
  <c r="AS246" i="15"/>
  <c r="AS232" i="15"/>
  <c r="AQ165" i="15"/>
  <c r="AQ133" i="15" s="1"/>
  <c r="AQ149" i="15"/>
  <c r="AA149" i="15"/>
  <c r="AA165" i="15"/>
  <c r="AA133" i="15" s="1"/>
  <c r="AU190" i="15"/>
  <c r="AU191" i="15" s="1"/>
  <c r="AU188" i="15"/>
  <c r="AU189" i="15" s="1"/>
  <c r="AU193" i="15"/>
  <c r="W134" i="15"/>
  <c r="W171" i="15" s="1"/>
  <c r="BF165" i="15"/>
  <c r="BF133" i="15" s="1"/>
  <c r="BF166" i="15" s="1"/>
  <c r="BF149" i="15"/>
  <c r="BD188" i="15"/>
  <c r="BD189" i="15" s="1"/>
  <c r="BD193" i="15"/>
  <c r="BD190" i="15"/>
  <c r="BD191" i="15" s="1"/>
  <c r="AI190" i="15"/>
  <c r="AI191" i="15" s="1"/>
  <c r="AI193" i="15"/>
  <c r="AI188" i="15"/>
  <c r="AI189" i="15" s="1"/>
  <c r="AI149" i="15"/>
  <c r="AI165" i="15"/>
  <c r="AI133" i="15" s="1"/>
  <c r="AW246" i="15"/>
  <c r="AW232" i="15"/>
  <c r="AT190" i="15"/>
  <c r="AT191" i="15" s="1"/>
  <c r="AT193" i="15"/>
  <c r="AT188" i="15"/>
  <c r="AT189" i="15" s="1"/>
  <c r="BI165" i="15"/>
  <c r="BI133" i="15" s="1"/>
  <c r="BI149" i="15"/>
  <c r="BI246" i="15"/>
  <c r="BI232" i="15"/>
  <c r="BD149" i="15"/>
  <c r="BD165" i="15"/>
  <c r="BD133" i="15" s="1"/>
  <c r="AV188" i="15"/>
  <c r="AV189" i="15" s="1"/>
  <c r="AV193" i="15"/>
  <c r="AV190" i="15"/>
  <c r="AV191" i="15" s="1"/>
  <c r="BE151" i="15"/>
  <c r="BE171" i="15"/>
  <c r="V232" i="15"/>
  <c r="V246" i="15"/>
  <c r="AY232" i="15"/>
  <c r="AY246" i="15"/>
  <c r="BB165" i="15"/>
  <c r="BB133" i="15" s="1"/>
  <c r="BB149" i="15"/>
  <c r="AM190" i="15"/>
  <c r="AM191" i="15" s="1"/>
  <c r="AM188" i="15"/>
  <c r="AM189" i="15" s="1"/>
  <c r="AM193" i="15"/>
  <c r="BE166" i="15"/>
  <c r="BE149" i="15"/>
  <c r="BE165" i="15"/>
  <c r="BE133" i="15" s="1"/>
  <c r="AG149" i="15"/>
  <c r="AG165" i="15"/>
  <c r="AG133" i="15" s="1"/>
  <c r="AG166" i="15" s="1"/>
  <c r="AQ232" i="15"/>
  <c r="AQ246" i="15"/>
  <c r="BI151" i="15"/>
  <c r="BI171" i="15"/>
  <c r="BG232" i="15"/>
  <c r="BG246" i="15"/>
  <c r="AZ166" i="15"/>
  <c r="AZ165" i="15"/>
  <c r="AZ133" i="15" s="1"/>
  <c r="AZ149" i="15"/>
  <c r="AI151" i="15"/>
  <c r="AI171" i="15"/>
  <c r="AI134" i="15"/>
  <c r="AE149" i="15"/>
  <c r="AE165" i="15"/>
  <c r="AE133" i="15" s="1"/>
  <c r="BH188" i="15"/>
  <c r="BH189" i="15" s="1"/>
  <c r="BH193" i="15"/>
  <c r="BH190" i="15"/>
  <c r="BH191" i="15" s="1"/>
  <c r="AL165" i="15"/>
  <c r="AL133" i="15" s="1"/>
  <c r="AL166" i="15" s="1"/>
  <c r="AL149" i="15"/>
  <c r="AS166" i="15"/>
  <c r="AS149" i="15"/>
  <c r="AS165" i="15"/>
  <c r="AS133" i="15" s="1"/>
  <c r="X246" i="15"/>
  <c r="X232" i="15"/>
  <c r="BI188" i="15"/>
  <c r="BI189" i="15" s="1"/>
  <c r="BI193" i="15"/>
  <c r="BI190" i="15"/>
  <c r="BI191" i="15" s="1"/>
  <c r="V190" i="15"/>
  <c r="V191" i="15" s="1"/>
  <c r="V193" i="15"/>
  <c r="V188" i="15"/>
  <c r="V189" i="15" s="1"/>
  <c r="BF232" i="15"/>
  <c r="BF246" i="15"/>
  <c r="U151" i="15"/>
  <c r="U171" i="15"/>
  <c r="AA151" i="15"/>
  <c r="AA171" i="15"/>
  <c r="AN151" i="15"/>
  <c r="AN171" i="15"/>
  <c r="AN165" i="15"/>
  <c r="AN133" i="15" s="1"/>
  <c r="AN149" i="15"/>
  <c r="AP190" i="15"/>
  <c r="AP191" i="15" s="1"/>
  <c r="AP188" i="15"/>
  <c r="AP189" i="15" s="1"/>
  <c r="AP193" i="15"/>
  <c r="BF171" i="15"/>
  <c r="BF151" i="15"/>
  <c r="BF134" i="15"/>
  <c r="Z165" i="15"/>
  <c r="Z133" i="15" s="1"/>
  <c r="Z166" i="15" s="1"/>
  <c r="Z149" i="15"/>
  <c r="AH149" i="15"/>
  <c r="AH165" i="15"/>
  <c r="AH133" i="15" s="1"/>
  <c r="AH166" i="15" s="1"/>
  <c r="AC188" i="15"/>
  <c r="AC189" i="15" s="1"/>
  <c r="AC193" i="15"/>
  <c r="AC190" i="15"/>
  <c r="AC191" i="15" s="1"/>
  <c r="AE134" i="15"/>
  <c r="AE171" i="15" s="1"/>
  <c r="AU232" i="15"/>
  <c r="AU246" i="15"/>
  <c r="BH151" i="15"/>
  <c r="AB134" i="15"/>
  <c r="AB171" i="15" s="1"/>
  <c r="AD190" i="15"/>
  <c r="AD191" i="15" s="1"/>
  <c r="AD193" i="15"/>
  <c r="AD188" i="15"/>
  <c r="AD189" i="15" s="1"/>
  <c r="BJ190" i="15"/>
  <c r="BJ191" i="15" s="1"/>
  <c r="BJ193" i="15"/>
  <c r="BJ188" i="15"/>
  <c r="BJ189" i="15" s="1"/>
  <c r="BG166" i="15"/>
  <c r="BG165" i="15"/>
  <c r="BG133" i="15" s="1"/>
  <c r="BG149" i="15"/>
  <c r="BD246" i="15"/>
  <c r="BD232" i="15"/>
  <c r="W232" i="15"/>
  <c r="W246" i="15"/>
  <c r="AB246" i="15"/>
  <c r="AB232" i="15"/>
  <c r="Y149" i="15"/>
  <c r="Y165" i="15"/>
  <c r="Y133" i="15" s="1"/>
  <c r="AI232" i="15"/>
  <c r="AI246" i="15"/>
  <c r="AR246" i="15"/>
  <c r="AR232" i="15"/>
  <c r="X188" i="15"/>
  <c r="X189" i="15" s="1"/>
  <c r="X193" i="15"/>
  <c r="X190" i="15"/>
  <c r="X191" i="15" s="1"/>
  <c r="AF188" i="15"/>
  <c r="AF189" i="15" s="1"/>
  <c r="AF193" i="15"/>
  <c r="AF190" i="15"/>
  <c r="AF191" i="15" s="1"/>
  <c r="U149" i="15"/>
  <c r="U165" i="15"/>
  <c r="U133" i="15" s="1"/>
  <c r="U246" i="15"/>
  <c r="U232" i="15"/>
  <c r="AT246" i="15"/>
  <c r="AT232" i="15"/>
  <c r="AO134" i="15"/>
  <c r="AO171" i="15" s="1"/>
  <c r="Z246" i="15"/>
  <c r="Z232" i="15"/>
  <c r="AI115" i="15"/>
  <c r="W165" i="15"/>
  <c r="W133" i="15" s="1"/>
  <c r="W166" i="15" s="1"/>
  <c r="W149" i="15"/>
  <c r="AD166" i="15"/>
  <c r="AD149" i="15"/>
  <c r="AD165" i="15"/>
  <c r="AD133" i="15" s="1"/>
  <c r="AN188" i="15"/>
  <c r="AN189" i="15" s="1"/>
  <c r="AN193" i="15"/>
  <c r="AN190" i="15"/>
  <c r="AN191" i="15" s="1"/>
  <c r="AV246" i="15"/>
  <c r="AV232" i="15"/>
  <c r="BJ165" i="15"/>
  <c r="BJ133" i="15" s="1"/>
  <c r="BJ166" i="15" s="1"/>
  <c r="BJ149" i="15"/>
  <c r="AP165" i="15"/>
  <c r="AP133" i="15" s="1"/>
  <c r="AP149" i="15"/>
  <c r="BC190" i="15"/>
  <c r="BC191" i="15" s="1"/>
  <c r="BC188" i="15"/>
  <c r="BC189" i="15" s="1"/>
  <c r="BC193" i="15"/>
  <c r="BA188" i="15"/>
  <c r="BA189" i="15" s="1"/>
  <c r="BA193" i="15"/>
  <c r="BA190" i="15"/>
  <c r="BA191" i="15" s="1"/>
  <c r="AL190" i="15"/>
  <c r="AL191" i="15" s="1"/>
  <c r="AL193" i="15"/>
  <c r="AL188" i="15"/>
  <c r="AL189" i="15" s="1"/>
  <c r="BB151" i="15"/>
  <c r="BB171" i="15"/>
  <c r="BB134" i="15"/>
  <c r="AU134" i="15"/>
  <c r="AU171" i="15" s="1"/>
  <c r="BH134" i="15"/>
  <c r="BH171" i="15" s="1"/>
  <c r="AK188" i="15"/>
  <c r="AK189" i="15" s="1"/>
  <c r="AK193" i="15"/>
  <c r="AK190" i="15"/>
  <c r="AK191" i="15" s="1"/>
  <c r="BF190" i="15"/>
  <c r="BF191" i="15" s="1"/>
  <c r="BF188" i="15"/>
  <c r="BF189" i="15" s="1"/>
  <c r="BF193" i="15"/>
  <c r="BE188" i="15"/>
  <c r="BE189" i="15" s="1"/>
  <c r="BE193" i="15"/>
  <c r="BE190" i="15"/>
  <c r="BE191" i="15" s="1"/>
  <c r="G180" i="15"/>
  <c r="G193" i="15" s="1"/>
  <c r="G125" i="15"/>
  <c r="G126" i="15"/>
  <c r="G181" i="15" s="1"/>
  <c r="K114" i="15"/>
  <c r="K115" i="15" s="1"/>
  <c r="J126" i="15"/>
  <c r="J181" i="15" s="1"/>
  <c r="B179" i="15"/>
  <c r="B187" i="15" s="1"/>
  <c r="B193" i="15" s="1"/>
  <c r="O164" i="15"/>
  <c r="O165" i="15" s="1"/>
  <c r="O133" i="15" s="1"/>
  <c r="I179" i="15"/>
  <c r="I187" i="15" s="1"/>
  <c r="I190" i="15" s="1"/>
  <c r="I191" i="15" s="1"/>
  <c r="K167" i="15"/>
  <c r="K134" i="15" s="1"/>
  <c r="K171" i="15" s="1"/>
  <c r="K148" i="15"/>
  <c r="K113" i="15"/>
  <c r="I125" i="15"/>
  <c r="I126" i="15"/>
  <c r="I181" i="15" s="1"/>
  <c r="O167" i="15"/>
  <c r="O134" i="15" s="1"/>
  <c r="O171" i="15" s="1"/>
  <c r="J125" i="15"/>
  <c r="B125" i="15"/>
  <c r="J179" i="15"/>
  <c r="J187" i="15" s="1"/>
  <c r="J190" i="15" s="1"/>
  <c r="J191" i="15" s="1"/>
  <c r="O114" i="15"/>
  <c r="K179" i="15"/>
  <c r="K187" i="15" s="1"/>
  <c r="K188" i="15" s="1"/>
  <c r="K189" i="15" s="1"/>
  <c r="O113" i="15"/>
  <c r="H115" i="15"/>
  <c r="O180" i="15"/>
  <c r="O232" i="15" s="1"/>
  <c r="O126" i="15"/>
  <c r="O181" i="15" s="1"/>
  <c r="K126" i="15"/>
  <c r="K181" i="15" s="1"/>
  <c r="T115" i="15"/>
  <c r="S115" i="15"/>
  <c r="J148" i="15"/>
  <c r="J164" i="15"/>
  <c r="J165" i="15" s="1"/>
  <c r="J133" i="15" s="1"/>
  <c r="J166" i="15" s="1"/>
  <c r="H190" i="15"/>
  <c r="H191" i="15" s="1"/>
  <c r="M193" i="15"/>
  <c r="M194" i="15" s="1"/>
  <c r="M196" i="15" s="1"/>
  <c r="B126" i="15"/>
  <c r="B181" i="15" s="1"/>
  <c r="J114" i="15"/>
  <c r="H165" i="15"/>
  <c r="H133" i="15" s="1"/>
  <c r="H169" i="15" s="1"/>
  <c r="H170" i="15" s="1"/>
  <c r="J113" i="15"/>
  <c r="N125" i="15"/>
  <c r="J134" i="15"/>
  <c r="J171" i="15" s="1"/>
  <c r="J155" i="15"/>
  <c r="N134" i="15"/>
  <c r="N171" i="15" s="1"/>
  <c r="B114" i="15"/>
  <c r="N113" i="15"/>
  <c r="N126" i="15"/>
  <c r="N181" i="15" s="1"/>
  <c r="I151" i="15"/>
  <c r="I164" i="15"/>
  <c r="I149" i="15" s="1"/>
  <c r="N180" i="15"/>
  <c r="N246" i="15" s="1"/>
  <c r="F148" i="15"/>
  <c r="M115" i="15"/>
  <c r="N114" i="15"/>
  <c r="I113" i="15"/>
  <c r="B113" i="15"/>
  <c r="L134" i="15"/>
  <c r="L171" i="15" s="1"/>
  <c r="L164" i="15"/>
  <c r="L149" i="15" s="1"/>
  <c r="H188" i="15"/>
  <c r="H189" i="15" s="1"/>
  <c r="B164" i="15"/>
  <c r="B165" i="15" s="1"/>
  <c r="B133" i="15" s="1"/>
  <c r="B151" i="15"/>
  <c r="Q114" i="15"/>
  <c r="F114" i="15"/>
  <c r="L113" i="15"/>
  <c r="L115" i="15" s="1"/>
  <c r="I114" i="15"/>
  <c r="L148" i="15"/>
  <c r="B148" i="15"/>
  <c r="I148" i="15"/>
  <c r="F125" i="15"/>
  <c r="L125" i="15"/>
  <c r="L179" i="15"/>
  <c r="L187" i="15" s="1"/>
  <c r="L190" i="15" s="1"/>
  <c r="L191" i="15" s="1"/>
  <c r="F126" i="15"/>
  <c r="F181" i="15" s="1"/>
  <c r="F151" i="15"/>
  <c r="L126" i="15"/>
  <c r="L181" i="15" s="1"/>
  <c r="F180" i="15"/>
  <c r="F246" i="15" s="1"/>
  <c r="F164" i="15"/>
  <c r="F165" i="15" s="1"/>
  <c r="F133" i="15" s="1"/>
  <c r="F166" i="15" s="1"/>
  <c r="F171" i="15"/>
  <c r="F113" i="15"/>
  <c r="E114" i="15"/>
  <c r="C112" i="15"/>
  <c r="C114" i="15" s="1"/>
  <c r="G115" i="15"/>
  <c r="R114" i="15"/>
  <c r="D164" i="15"/>
  <c r="D167" i="15"/>
  <c r="D148" i="15"/>
  <c r="D114" i="15"/>
  <c r="D113" i="15"/>
  <c r="D125" i="15"/>
  <c r="D126" i="15"/>
  <c r="D181" i="15" s="1"/>
  <c r="D180" i="15"/>
  <c r="D179" i="15"/>
  <c r="D187" i="15" s="1"/>
  <c r="R126" i="15"/>
  <c r="R181" i="15" s="1"/>
  <c r="R180" i="15"/>
  <c r="R179" i="15"/>
  <c r="R187" i="15" s="1"/>
  <c r="R125" i="15"/>
  <c r="R167" i="15"/>
  <c r="R164" i="15"/>
  <c r="R148" i="15"/>
  <c r="R113" i="15"/>
  <c r="Q113" i="15"/>
  <c r="C109" i="15"/>
  <c r="BM106" i="15"/>
  <c r="C100" i="15"/>
  <c r="C104" i="15"/>
  <c r="BM185" i="15"/>
  <c r="C102" i="15"/>
  <c r="C98" i="15"/>
  <c r="C101" i="15"/>
  <c r="G188" i="15"/>
  <c r="G189" i="15" s="1"/>
  <c r="G190" i="15"/>
  <c r="G191" i="15" s="1"/>
  <c r="N188" i="15"/>
  <c r="N189" i="15" s="1"/>
  <c r="N190" i="15"/>
  <c r="N191" i="15" s="1"/>
  <c r="G149" i="15"/>
  <c r="G165" i="15"/>
  <c r="G133" i="15" s="1"/>
  <c r="G166" i="15" s="1"/>
  <c r="BM100" i="15"/>
  <c r="C106" i="15"/>
  <c r="BM110" i="15"/>
  <c r="C105" i="15"/>
  <c r="N149" i="15"/>
  <c r="N165" i="15"/>
  <c r="N133" i="15" s="1"/>
  <c r="G246" i="15"/>
  <c r="G232" i="15"/>
  <c r="K232" i="15"/>
  <c r="K246" i="15"/>
  <c r="BM101" i="15"/>
  <c r="BM111" i="15"/>
  <c r="C99" i="15"/>
  <c r="BM109" i="15"/>
  <c r="BM103" i="15"/>
  <c r="BM102" i="15"/>
  <c r="C108" i="15"/>
  <c r="K149" i="15"/>
  <c r="K165" i="15"/>
  <c r="K133" i="15" s="1"/>
  <c r="G134" i="15"/>
  <c r="G171" i="15" s="1"/>
  <c r="C155" i="15"/>
  <c r="P151" i="15"/>
  <c r="P134" i="15"/>
  <c r="P171" i="15" s="1"/>
  <c r="H252" i="15"/>
  <c r="H247" i="15"/>
  <c r="C185" i="15"/>
  <c r="Q180" i="15"/>
  <c r="Q126" i="15"/>
  <c r="Q181" i="15" s="1"/>
  <c r="Q179" i="15"/>
  <c r="Q187" i="15" s="1"/>
  <c r="Q125" i="15"/>
  <c r="B232" i="15"/>
  <c r="B246" i="15"/>
  <c r="P165" i="15"/>
  <c r="P133" i="15" s="1"/>
  <c r="P166" i="15" s="1"/>
  <c r="P149" i="15"/>
  <c r="BM108" i="15"/>
  <c r="BM107" i="15"/>
  <c r="BM105" i="15"/>
  <c r="P246" i="15"/>
  <c r="P232" i="15"/>
  <c r="F188" i="15"/>
  <c r="F189" i="15" s="1"/>
  <c r="F190" i="15"/>
  <c r="F191" i="15" s="1"/>
  <c r="T246" i="15"/>
  <c r="T232" i="15"/>
  <c r="M247" i="15"/>
  <c r="M252" i="15"/>
  <c r="L232" i="15"/>
  <c r="L246" i="15"/>
  <c r="E134" i="15"/>
  <c r="E171" i="15" s="1"/>
  <c r="E155" i="15"/>
  <c r="BM147" i="15"/>
  <c r="BM128" i="15"/>
  <c r="BM124" i="15"/>
  <c r="BM146" i="15"/>
  <c r="BM132" i="15"/>
  <c r="BM167" i="15" s="1"/>
  <c r="BM156" i="15"/>
  <c r="S232" i="15"/>
  <c r="S246" i="15"/>
  <c r="P193" i="15"/>
  <c r="P188" i="15"/>
  <c r="P189" i="15" s="1"/>
  <c r="P190" i="15"/>
  <c r="P191" i="15" s="1"/>
  <c r="S149" i="15"/>
  <c r="S165" i="15"/>
  <c r="S133" i="15" s="1"/>
  <c r="S166" i="15" s="1"/>
  <c r="T151" i="15"/>
  <c r="M141" i="15"/>
  <c r="M173" i="15" s="1"/>
  <c r="M174" i="15" s="1"/>
  <c r="M154" i="15" s="1"/>
  <c r="M140" i="15"/>
  <c r="M169" i="15"/>
  <c r="M170" i="15" s="1"/>
  <c r="M152" i="15"/>
  <c r="C153" i="15"/>
  <c r="T190" i="15"/>
  <c r="T191" i="15" s="1"/>
  <c r="T193" i="15"/>
  <c r="T188" i="15"/>
  <c r="T189" i="15" s="1"/>
  <c r="BM112" i="15"/>
  <c r="M238" i="15"/>
  <c r="M233" i="15"/>
  <c r="Q148" i="15"/>
  <c r="Q164" i="15"/>
  <c r="B188" i="15"/>
  <c r="B189" i="15" s="1"/>
  <c r="E151" i="15"/>
  <c r="BM98" i="15"/>
  <c r="BM99" i="15"/>
  <c r="H194" i="15"/>
  <c r="O246" i="15"/>
  <c r="E113" i="15"/>
  <c r="O188" i="15"/>
  <c r="O189" i="15" s="1"/>
  <c r="O190" i="15"/>
  <c r="O191" i="15" s="1"/>
  <c r="O193" i="15"/>
  <c r="T165" i="15"/>
  <c r="T133" i="15" s="1"/>
  <c r="T166" i="15" s="1"/>
  <c r="T149" i="15"/>
  <c r="H233" i="15"/>
  <c r="H238" i="15"/>
  <c r="J232" i="15"/>
  <c r="J246" i="15"/>
  <c r="C147" i="15"/>
  <c r="C156" i="15"/>
  <c r="C124" i="15"/>
  <c r="C128" i="15"/>
  <c r="C132" i="15"/>
  <c r="C146" i="15"/>
  <c r="S188" i="15"/>
  <c r="S189" i="15" s="1"/>
  <c r="S190" i="15"/>
  <c r="S191" i="15" s="1"/>
  <c r="S193" i="15"/>
  <c r="T134" i="15"/>
  <c r="T171" i="15" s="1"/>
  <c r="C110" i="15"/>
  <c r="C107" i="15"/>
  <c r="C103" i="15"/>
  <c r="Q167" i="15"/>
  <c r="I232" i="15"/>
  <c r="I246" i="15"/>
  <c r="E180" i="15"/>
  <c r="E126" i="15"/>
  <c r="E181" i="15" s="1"/>
  <c r="E125" i="15"/>
  <c r="E179" i="15"/>
  <c r="E187" i="15" s="1"/>
  <c r="E148" i="15"/>
  <c r="E164" i="15"/>
  <c r="BM153" i="15"/>
  <c r="M279" i="14"/>
  <c r="K279" i="14"/>
  <c r="C280" i="14"/>
  <c r="N280" i="14"/>
  <c r="E280" i="14"/>
  <c r="L216" i="13" l="1"/>
  <c r="L217" i="13" s="1"/>
  <c r="L222" i="13"/>
  <c r="L223" i="13" s="1"/>
  <c r="L220" i="13"/>
  <c r="L221" i="13" s="1"/>
  <c r="L218" i="13"/>
  <c r="L219" i="13" s="1"/>
  <c r="L214" i="13"/>
  <c r="L215" i="13" s="1"/>
  <c r="AP145" i="13"/>
  <c r="AP163" i="13"/>
  <c r="AP173" i="13"/>
  <c r="AP164" i="13"/>
  <c r="AP149" i="13"/>
  <c r="AX246" i="13"/>
  <c r="AX247" i="13" s="1"/>
  <c r="AX238" i="13"/>
  <c r="AX239" i="13" s="1"/>
  <c r="AX242" i="13"/>
  <c r="AX243" i="13" s="1"/>
  <c r="AX240" i="13"/>
  <c r="AX241" i="13" s="1"/>
  <c r="AX244" i="13"/>
  <c r="AX245" i="13" s="1"/>
  <c r="G244" i="13"/>
  <c r="G245" i="13" s="1"/>
  <c r="G238" i="13"/>
  <c r="G239" i="13" s="1"/>
  <c r="G242" i="13"/>
  <c r="G243" i="13" s="1"/>
  <c r="G246" i="13"/>
  <c r="G247" i="13" s="1"/>
  <c r="G240" i="13"/>
  <c r="G241" i="13" s="1"/>
  <c r="AJ246" i="13"/>
  <c r="AJ247" i="13" s="1"/>
  <c r="AJ238" i="13"/>
  <c r="AJ239" i="13" s="1"/>
  <c r="AJ244" i="13"/>
  <c r="AJ245" i="13" s="1"/>
  <c r="AJ240" i="13"/>
  <c r="AJ241" i="13" s="1"/>
  <c r="AJ242" i="13"/>
  <c r="AJ243" i="13" s="1"/>
  <c r="D163" i="13"/>
  <c r="D173" i="13"/>
  <c r="D145" i="13"/>
  <c r="D164" i="13"/>
  <c r="D149" i="13"/>
  <c r="E222" i="13"/>
  <c r="E223" i="13" s="1"/>
  <c r="E218" i="13"/>
  <c r="E216" i="13"/>
  <c r="E217" i="13" s="1"/>
  <c r="E220" i="13"/>
  <c r="E221" i="13" s="1"/>
  <c r="E214" i="13"/>
  <c r="E215" i="13" s="1"/>
  <c r="AN226" i="13"/>
  <c r="AN227" i="13" s="1"/>
  <c r="AK230" i="13"/>
  <c r="AK231" i="13" s="1"/>
  <c r="Z219" i="13"/>
  <c r="Z277" i="13" s="1"/>
  <c r="BG230" i="13"/>
  <c r="BG231" i="13" s="1"/>
  <c r="AW226" i="13"/>
  <c r="AW227" i="13" s="1"/>
  <c r="AU230" i="13"/>
  <c r="AU231" i="13" s="1"/>
  <c r="V111" i="13"/>
  <c r="BE232" i="13"/>
  <c r="BE233" i="13" s="1"/>
  <c r="AA234" i="13"/>
  <c r="AA235" i="13" s="1"/>
  <c r="AD242" i="13"/>
  <c r="AD243" i="13" s="1"/>
  <c r="R149" i="13"/>
  <c r="AT226" i="13"/>
  <c r="AT227" i="13" s="1"/>
  <c r="AT228" i="13"/>
  <c r="AT229" i="13" s="1"/>
  <c r="AT232" i="13"/>
  <c r="AT233" i="13" s="1"/>
  <c r="AT234" i="13"/>
  <c r="AT235" i="13" s="1"/>
  <c r="AT230" i="13"/>
  <c r="AT231" i="13" s="1"/>
  <c r="BN213" i="13"/>
  <c r="Q211" i="13"/>
  <c r="Q213" i="13"/>
  <c r="BN120" i="13"/>
  <c r="BN130" i="13" s="1"/>
  <c r="BN132" i="13" s="1"/>
  <c r="BN189" i="13"/>
  <c r="BN139" i="13"/>
  <c r="BN138" i="13"/>
  <c r="BN199" i="13" s="1"/>
  <c r="AT181" i="13"/>
  <c r="AT165" i="13"/>
  <c r="AT184" i="13"/>
  <c r="AP242" i="13"/>
  <c r="AP243" i="13" s="1"/>
  <c r="AP246" i="13"/>
  <c r="AP247" i="13" s="1"/>
  <c r="AP238" i="13"/>
  <c r="AP239" i="13" s="1"/>
  <c r="AP240" i="13"/>
  <c r="AP241" i="13" s="1"/>
  <c r="AP244" i="13"/>
  <c r="AP245" i="13" s="1"/>
  <c r="AJ234" i="13"/>
  <c r="AJ235" i="13" s="1"/>
  <c r="AJ226" i="13"/>
  <c r="AJ227" i="13" s="1"/>
  <c r="AJ228" i="13"/>
  <c r="AJ229" i="13" s="1"/>
  <c r="AJ232" i="13"/>
  <c r="AJ233" i="13" s="1"/>
  <c r="AJ277" i="13" s="1"/>
  <c r="AJ230" i="13"/>
  <c r="AJ231" i="13" s="1"/>
  <c r="AW236" i="13"/>
  <c r="AW237" i="13" s="1"/>
  <c r="O236" i="13"/>
  <c r="O237" i="13" s="1"/>
  <c r="O226" i="13"/>
  <c r="O227" i="13" s="1"/>
  <c r="O230" i="13"/>
  <c r="O231" i="13" s="1"/>
  <c r="O232" i="13"/>
  <c r="O233" i="13" s="1"/>
  <c r="O228" i="13"/>
  <c r="O229" i="13" s="1"/>
  <c r="O234" i="13"/>
  <c r="O235" i="13" s="1"/>
  <c r="G230" i="13"/>
  <c r="G231" i="13" s="1"/>
  <c r="G234" i="13"/>
  <c r="G235" i="13" s="1"/>
  <c r="G228" i="13"/>
  <c r="G229" i="13" s="1"/>
  <c r="G232" i="13"/>
  <c r="G233" i="13" s="1"/>
  <c r="G226" i="13"/>
  <c r="G227" i="13" s="1"/>
  <c r="G277" i="13" s="1"/>
  <c r="E164" i="13"/>
  <c r="E173" i="13"/>
  <c r="E145" i="13"/>
  <c r="E163" i="13"/>
  <c r="E149" i="13"/>
  <c r="AP120" i="13"/>
  <c r="AP130" i="13" s="1"/>
  <c r="AP132" i="13" s="1"/>
  <c r="AP189" i="13"/>
  <c r="AP139" i="13"/>
  <c r="AP138" i="13"/>
  <c r="AP199" i="13" s="1"/>
  <c r="AP219" i="13" s="1"/>
  <c r="B277" i="13"/>
  <c r="BI234" i="13"/>
  <c r="BI235" i="13" s="1"/>
  <c r="Z228" i="13"/>
  <c r="Z229" i="13" s="1"/>
  <c r="AQ111" i="13"/>
  <c r="R145" i="13"/>
  <c r="AP228" i="13"/>
  <c r="AP229" i="13" s="1"/>
  <c r="AP234" i="13"/>
  <c r="AP235" i="13" s="1"/>
  <c r="AP230" i="13"/>
  <c r="AP231" i="13" s="1"/>
  <c r="AP232" i="13"/>
  <c r="AP233" i="13" s="1"/>
  <c r="AP226" i="13"/>
  <c r="AP227" i="13" s="1"/>
  <c r="AX165" i="13"/>
  <c r="AX184" i="13"/>
  <c r="AX181" i="13"/>
  <c r="N211" i="13"/>
  <c r="BI230" i="13"/>
  <c r="BI231" i="13" s="1"/>
  <c r="BI236" i="13"/>
  <c r="BI237" i="13" s="1"/>
  <c r="Z232" i="13"/>
  <c r="Z233" i="13" s="1"/>
  <c r="AU236" i="13"/>
  <c r="AU237" i="13" s="1"/>
  <c r="BE236" i="13"/>
  <c r="BE237" i="13" s="1"/>
  <c r="BE246" i="13" s="1"/>
  <c r="BE247" i="13" s="1"/>
  <c r="AV236" i="13"/>
  <c r="AV237" i="13" s="1"/>
  <c r="AV226" i="13"/>
  <c r="AV227" i="13" s="1"/>
  <c r="AV228" i="13"/>
  <c r="AV229" i="13" s="1"/>
  <c r="AV232" i="13"/>
  <c r="AV233" i="13" s="1"/>
  <c r="AV230" i="13"/>
  <c r="AV231" i="13" s="1"/>
  <c r="AV234" i="13"/>
  <c r="AV235" i="13" s="1"/>
  <c r="D211" i="13"/>
  <c r="D213" i="13" s="1"/>
  <c r="I101" i="13"/>
  <c r="I119" i="13"/>
  <c r="I202" i="13"/>
  <c r="I185" i="13"/>
  <c r="I153" i="13" s="1"/>
  <c r="I172" i="13"/>
  <c r="T213" i="13"/>
  <c r="Z234" i="13"/>
  <c r="Z235" i="13" s="1"/>
  <c r="AT240" i="13"/>
  <c r="AT241" i="13" s="1"/>
  <c r="AT242" i="13"/>
  <c r="AT243" i="13" s="1"/>
  <c r="AT244" i="13"/>
  <c r="AT245" i="13" s="1"/>
  <c r="AT246" i="13"/>
  <c r="AT247" i="13" s="1"/>
  <c r="AT238" i="13"/>
  <c r="AT239" i="13" s="1"/>
  <c r="I211" i="13"/>
  <c r="I213" i="13" s="1"/>
  <c r="AP140" i="13"/>
  <c r="AY140" i="13"/>
  <c r="AA219" i="13"/>
  <c r="AX234" i="13"/>
  <c r="AX235" i="13" s="1"/>
  <c r="AX230" i="13"/>
  <c r="AX231" i="13" s="1"/>
  <c r="AX228" i="13"/>
  <c r="AX229" i="13" s="1"/>
  <c r="AX232" i="13"/>
  <c r="AX233" i="13" s="1"/>
  <c r="AX226" i="13"/>
  <c r="AX227" i="13" s="1"/>
  <c r="L212" i="13"/>
  <c r="L224" i="13"/>
  <c r="L225" i="13" s="1"/>
  <c r="Z226" i="13"/>
  <c r="Z227" i="13" s="1"/>
  <c r="AK232" i="13"/>
  <c r="AK233" i="13" s="1"/>
  <c r="AW230" i="13"/>
  <c r="AW231" i="13" s="1"/>
  <c r="Z230" i="13"/>
  <c r="Z231" i="13" s="1"/>
  <c r="C219" i="13"/>
  <c r="BA225" i="13"/>
  <c r="BE230" i="13"/>
  <c r="BE231" i="13" s="1"/>
  <c r="AD244" i="13"/>
  <c r="AD245" i="13" s="1"/>
  <c r="AR238" i="13"/>
  <c r="AR239" i="13" s="1"/>
  <c r="AR277" i="13" s="1"/>
  <c r="AR240" i="13"/>
  <c r="AR241" i="13" s="1"/>
  <c r="AR242" i="13"/>
  <c r="AR243" i="13" s="1"/>
  <c r="AR244" i="13"/>
  <c r="AR245" i="13" s="1"/>
  <c r="AR246" i="13"/>
  <c r="AR247" i="13" s="1"/>
  <c r="AX277" i="13"/>
  <c r="N189" i="13"/>
  <c r="N140" i="13"/>
  <c r="N138" i="13"/>
  <c r="N199" i="13" s="1"/>
  <c r="N139" i="13"/>
  <c r="N111" i="13"/>
  <c r="N120" i="13"/>
  <c r="N130" i="13" s="1"/>
  <c r="N132" i="13" s="1"/>
  <c r="R212" i="13"/>
  <c r="R224" i="13"/>
  <c r="R225" i="13" s="1"/>
  <c r="AK228" i="13"/>
  <c r="AK229" i="13" s="1"/>
  <c r="AW232" i="13"/>
  <c r="AW233" i="13" s="1"/>
  <c r="BE234" i="13"/>
  <c r="BE235" i="13" s="1"/>
  <c r="AA228" i="13"/>
  <c r="AA229" i="13" s="1"/>
  <c r="AD238" i="13"/>
  <c r="AD239" i="13" s="1"/>
  <c r="D138" i="13"/>
  <c r="D199" i="13" s="1"/>
  <c r="D139" i="13"/>
  <c r="D120" i="13"/>
  <c r="D130" i="13" s="1"/>
  <c r="D132" i="13" s="1"/>
  <c r="D189" i="13"/>
  <c r="E224" i="13"/>
  <c r="E225" i="13" s="1"/>
  <c r="E212" i="13"/>
  <c r="E236" i="13"/>
  <c r="E237" i="13" s="1"/>
  <c r="E219" i="13"/>
  <c r="R213" i="13"/>
  <c r="BN211" i="13"/>
  <c r="N213" i="13"/>
  <c r="AN228" i="13"/>
  <c r="AN229" i="13" s="1"/>
  <c r="AN230" i="13"/>
  <c r="AN231" i="13" s="1"/>
  <c r="BF111" i="13"/>
  <c r="BF163" i="13" s="1"/>
  <c r="BG232" i="13"/>
  <c r="BG233" i="13" s="1"/>
  <c r="BG236" i="13"/>
  <c r="BG237" i="13" s="1"/>
  <c r="AU228" i="13"/>
  <c r="AU229" i="13" s="1"/>
  <c r="I140" i="13"/>
  <c r="AA236" i="13"/>
  <c r="AA237" i="13" s="1"/>
  <c r="BE228" i="13"/>
  <c r="BE229" i="13" s="1"/>
  <c r="AA230" i="13"/>
  <c r="AA231" i="13" s="1"/>
  <c r="AD246" i="13"/>
  <c r="AD247" i="13" s="1"/>
  <c r="O163" i="13"/>
  <c r="O164" i="13"/>
  <c r="O173" i="13"/>
  <c r="O149" i="13"/>
  <c r="O145" i="13"/>
  <c r="BN111" i="13"/>
  <c r="B230" i="13"/>
  <c r="B231" i="13" s="1"/>
  <c r="B234" i="13"/>
  <c r="B235" i="13" s="1"/>
  <c r="B228" i="13"/>
  <c r="B229" i="13" s="1"/>
  <c r="B232" i="13"/>
  <c r="B233" i="13" s="1"/>
  <c r="B226" i="13"/>
  <c r="B227" i="13" s="1"/>
  <c r="AZ277" i="13"/>
  <c r="BI246" i="13"/>
  <c r="BI247" i="13" s="1"/>
  <c r="BG234" i="13"/>
  <c r="BG235" i="13" s="1"/>
  <c r="BI244" i="13"/>
  <c r="BI245" i="13" s="1"/>
  <c r="BE244" i="13"/>
  <c r="BE245" i="13" s="1"/>
  <c r="BE240" i="13"/>
  <c r="BE241" i="13" s="1"/>
  <c r="BA234" i="13"/>
  <c r="BA235" i="13" s="1"/>
  <c r="AN242" i="13"/>
  <c r="AN243" i="13" s="1"/>
  <c r="AN244" i="13"/>
  <c r="AN245" i="13" s="1"/>
  <c r="AN240" i="13"/>
  <c r="AN241" i="13" s="1"/>
  <c r="AN246" i="13"/>
  <c r="AN247" i="13" s="1"/>
  <c r="AN238" i="13"/>
  <c r="AN239" i="13" s="1"/>
  <c r="AI236" i="13"/>
  <c r="AI237" i="13" s="1"/>
  <c r="AI226" i="13"/>
  <c r="AI227" i="13" s="1"/>
  <c r="AK240" i="13"/>
  <c r="AK241" i="13" s="1"/>
  <c r="AI228" i="13"/>
  <c r="AI229" i="13" s="1"/>
  <c r="AK246" i="13"/>
  <c r="AK247" i="13" s="1"/>
  <c r="AI232" i="13"/>
  <c r="AI233" i="13" s="1"/>
  <c r="AK242" i="13"/>
  <c r="AK243" i="13" s="1"/>
  <c r="AK238" i="13"/>
  <c r="AK239" i="13" s="1"/>
  <c r="Z242" i="13"/>
  <c r="Z243" i="13" s="1"/>
  <c r="Z238" i="13"/>
  <c r="Z239" i="13" s="1"/>
  <c r="Z240" i="13"/>
  <c r="Z241" i="13" s="1"/>
  <c r="Z244" i="13"/>
  <c r="Z245" i="13" s="1"/>
  <c r="Z246" i="13"/>
  <c r="Z247" i="13" s="1"/>
  <c r="Y238" i="13"/>
  <c r="Y239" i="13" s="1"/>
  <c r="Y246" i="13"/>
  <c r="Y247" i="13" s="1"/>
  <c r="Y242" i="13"/>
  <c r="Y243" i="13" s="1"/>
  <c r="Y240" i="13"/>
  <c r="Y241" i="13" s="1"/>
  <c r="Y244" i="13"/>
  <c r="Y245" i="13" s="1"/>
  <c r="AE228" i="13"/>
  <c r="AE229" i="13" s="1"/>
  <c r="AE238" i="13"/>
  <c r="AE239" i="13" s="1"/>
  <c r="X232" i="13"/>
  <c r="X233" i="13" s="1"/>
  <c r="AE246" i="13"/>
  <c r="AE247" i="13" s="1"/>
  <c r="AE232" i="13"/>
  <c r="AE233" i="13" s="1"/>
  <c r="X228" i="13"/>
  <c r="X229" i="13" s="1"/>
  <c r="AE244" i="13"/>
  <c r="AE245" i="13" s="1"/>
  <c r="AE226" i="13"/>
  <c r="AE227" i="13" s="1"/>
  <c r="AE277" i="13" s="1"/>
  <c r="AA238" i="13"/>
  <c r="AA239" i="13" s="1"/>
  <c r="X230" i="13"/>
  <c r="X231" i="13" s="1"/>
  <c r="AE240" i="13"/>
  <c r="AE241" i="13" s="1"/>
  <c r="AE234" i="13"/>
  <c r="AE235" i="13" s="1"/>
  <c r="AA246" i="13"/>
  <c r="AA247" i="13" s="1"/>
  <c r="AA226" i="13"/>
  <c r="AA227" i="13" s="1"/>
  <c r="X236" i="13"/>
  <c r="X237" i="13" s="1"/>
  <c r="X226" i="13"/>
  <c r="X227" i="13" s="1"/>
  <c r="E177" i="14"/>
  <c r="C177" i="14"/>
  <c r="N177" i="14"/>
  <c r="AY163" i="13"/>
  <c r="AY173" i="13"/>
  <c r="AY164" i="13"/>
  <c r="AY149" i="13"/>
  <c r="AY145" i="13"/>
  <c r="G130" i="14"/>
  <c r="G132" i="14" s="1"/>
  <c r="P145" i="14"/>
  <c r="P163" i="14"/>
  <c r="P164" i="14"/>
  <c r="P173" i="14"/>
  <c r="P149" i="14"/>
  <c r="R242" i="14"/>
  <c r="R243" i="14" s="1"/>
  <c r="R246" i="14"/>
  <c r="R247" i="14" s="1"/>
  <c r="R238" i="14"/>
  <c r="R239" i="14" s="1"/>
  <c r="R240" i="14"/>
  <c r="R241" i="14" s="1"/>
  <c r="R244" i="14"/>
  <c r="R245" i="14" s="1"/>
  <c r="P240" i="13"/>
  <c r="P241" i="13" s="1"/>
  <c r="P242" i="13"/>
  <c r="P243" i="13" s="1"/>
  <c r="P238" i="13"/>
  <c r="P239" i="13" s="1"/>
  <c r="P244" i="13"/>
  <c r="P245" i="13" s="1"/>
  <c r="P246" i="13"/>
  <c r="P247" i="13" s="1"/>
  <c r="K213" i="1"/>
  <c r="K214" i="1" s="1"/>
  <c r="K215" i="1"/>
  <c r="K216" i="1" s="1"/>
  <c r="K219" i="1"/>
  <c r="K220" i="1" s="1"/>
  <c r="K217" i="1"/>
  <c r="K218" i="1" s="1"/>
  <c r="K211" i="1"/>
  <c r="K212" i="1" s="1"/>
  <c r="H244" i="13"/>
  <c r="H245" i="13" s="1"/>
  <c r="H238" i="13"/>
  <c r="H239" i="13" s="1"/>
  <c r="H242" i="13"/>
  <c r="H243" i="13" s="1"/>
  <c r="H240" i="13"/>
  <c r="H241" i="13" s="1"/>
  <c r="H246" i="13"/>
  <c r="H247" i="13" s="1"/>
  <c r="AO145" i="13"/>
  <c r="AO149" i="13"/>
  <c r="AO163" i="13"/>
  <c r="AO164" i="13"/>
  <c r="AO173" i="13"/>
  <c r="AC212" i="13"/>
  <c r="AC224" i="13"/>
  <c r="AC225" i="13" s="1"/>
  <c r="AC236" i="13" s="1"/>
  <c r="AC237" i="13" s="1"/>
  <c r="K153" i="1"/>
  <c r="K152" i="1"/>
  <c r="H165" i="14"/>
  <c r="H181" i="14"/>
  <c r="H184" i="14"/>
  <c r="N118" i="1"/>
  <c r="N182" i="1"/>
  <c r="N138" i="1"/>
  <c r="N199" i="1"/>
  <c r="N101" i="1"/>
  <c r="N111" i="1"/>
  <c r="N169" i="1"/>
  <c r="AR166" i="13"/>
  <c r="AR182" i="13"/>
  <c r="AR150" i="13" s="1"/>
  <c r="W212" i="13"/>
  <c r="W224" i="13"/>
  <c r="W225" i="13" s="1"/>
  <c r="W236" i="13" s="1"/>
  <c r="W237" i="13" s="1"/>
  <c r="P265" i="14"/>
  <c r="P266" i="14" s="1"/>
  <c r="P267" i="14"/>
  <c r="P268" i="14" s="1"/>
  <c r="H141" i="1"/>
  <c r="H195" i="1" s="1"/>
  <c r="H194" i="1"/>
  <c r="H140" i="1"/>
  <c r="H193" i="1"/>
  <c r="H201" i="1" s="1"/>
  <c r="AH226" i="13"/>
  <c r="AH227" i="13" s="1"/>
  <c r="AF120" i="13"/>
  <c r="AF130" i="13" s="1"/>
  <c r="AF132" i="13" s="1"/>
  <c r="AF189" i="13"/>
  <c r="AF138" i="13"/>
  <c r="AF199" i="13" s="1"/>
  <c r="AF139" i="13"/>
  <c r="C194" i="1"/>
  <c r="C141" i="1"/>
  <c r="C195" i="1" s="1"/>
  <c r="C140" i="1"/>
  <c r="C193" i="1"/>
  <c r="C201" i="1" s="1"/>
  <c r="BJ165" i="13"/>
  <c r="BJ184" i="13"/>
  <c r="BJ181" i="13"/>
  <c r="AC222" i="13"/>
  <c r="AC223" i="13" s="1"/>
  <c r="AC218" i="13"/>
  <c r="AC219" i="13" s="1"/>
  <c r="AC220" i="13"/>
  <c r="AC221" i="13" s="1"/>
  <c r="AC214" i="13"/>
  <c r="AC215" i="13" s="1"/>
  <c r="AC216" i="13"/>
  <c r="AC217" i="13" s="1"/>
  <c r="S253" i="14"/>
  <c r="S254" i="14" s="1"/>
  <c r="S251" i="14"/>
  <c r="S252" i="14" s="1"/>
  <c r="K165" i="13"/>
  <c r="K184" i="13"/>
  <c r="K181" i="13"/>
  <c r="V212" i="13"/>
  <c r="V224" i="13"/>
  <c r="V225" i="13" s="1"/>
  <c r="V236" i="13" s="1"/>
  <c r="V237" i="13" s="1"/>
  <c r="AC189" i="13"/>
  <c r="AC120" i="13"/>
  <c r="AC130" i="13" s="1"/>
  <c r="AC132" i="13" s="1"/>
  <c r="AC138" i="13"/>
  <c r="AC199" i="13" s="1"/>
  <c r="AC139" i="13"/>
  <c r="D119" i="1"/>
  <c r="D186" i="1"/>
  <c r="D136" i="1"/>
  <c r="D196" i="1" s="1"/>
  <c r="D111" i="1"/>
  <c r="D137" i="1"/>
  <c r="G182" i="13"/>
  <c r="G150" i="13" s="1"/>
  <c r="G166" i="13"/>
  <c r="AB265" i="13"/>
  <c r="AB266" i="13" s="1"/>
  <c r="AB267" i="13"/>
  <c r="AB268" i="13" s="1"/>
  <c r="R119" i="1"/>
  <c r="R186" i="1"/>
  <c r="R137" i="1"/>
  <c r="R136" i="1"/>
  <c r="R196" i="1" s="1"/>
  <c r="S168" i="13"/>
  <c r="S151" i="13"/>
  <c r="S188" i="13" s="1"/>
  <c r="J120" i="13"/>
  <c r="J130" i="13" s="1"/>
  <c r="J132" i="13" s="1"/>
  <c r="J189" i="13"/>
  <c r="J111" i="13"/>
  <c r="J139" i="13"/>
  <c r="J138" i="13"/>
  <c r="J199" i="13" s="1"/>
  <c r="AO267" i="13"/>
  <c r="AO268" i="13" s="1"/>
  <c r="AO265" i="13"/>
  <c r="AO266" i="13" s="1"/>
  <c r="P260" i="14"/>
  <c r="P261" i="14" s="1"/>
  <c r="P256" i="14"/>
  <c r="P257" i="14" s="1"/>
  <c r="P258" i="14"/>
  <c r="P259" i="14" s="1"/>
  <c r="C228" i="13"/>
  <c r="C229" i="13" s="1"/>
  <c r="C232" i="13"/>
  <c r="C233" i="13" s="1"/>
  <c r="C226" i="13"/>
  <c r="C227" i="13" s="1"/>
  <c r="C230" i="13"/>
  <c r="C231" i="13" s="1"/>
  <c r="C234" i="13"/>
  <c r="C235" i="13" s="1"/>
  <c r="AL211" i="13"/>
  <c r="AL213" i="13" s="1"/>
  <c r="N143" i="1"/>
  <c r="N172" i="1" s="1"/>
  <c r="AG270" i="13"/>
  <c r="AG271" i="13" s="1"/>
  <c r="AG272" i="13"/>
  <c r="AG273" i="13" s="1"/>
  <c r="AG274" i="13"/>
  <c r="AG275" i="13" s="1"/>
  <c r="BC211" i="13"/>
  <c r="BC213" i="13" s="1"/>
  <c r="AS212" i="13"/>
  <c r="AS224" i="13"/>
  <c r="AS225" i="13" s="1"/>
  <c r="AS236" i="13" s="1"/>
  <c r="AS237" i="13" s="1"/>
  <c r="P119" i="1"/>
  <c r="P186" i="1"/>
  <c r="P137" i="1"/>
  <c r="P136" i="1"/>
  <c r="P196" i="1" s="1"/>
  <c r="Q264" i="14"/>
  <c r="Q269" i="14"/>
  <c r="BB164" i="13"/>
  <c r="BB145" i="13"/>
  <c r="BB149" i="13"/>
  <c r="BB163" i="13"/>
  <c r="BB173" i="13"/>
  <c r="P173" i="13"/>
  <c r="P163" i="13"/>
  <c r="P145" i="13"/>
  <c r="P164" i="13"/>
  <c r="P149" i="13"/>
  <c r="S149" i="14"/>
  <c r="S145" i="14"/>
  <c r="S164" i="14"/>
  <c r="S163" i="14"/>
  <c r="S173" i="14"/>
  <c r="C165" i="13"/>
  <c r="C181" i="13"/>
  <c r="C184" i="13"/>
  <c r="S260" i="14"/>
  <c r="S261" i="14" s="1"/>
  <c r="S258" i="14"/>
  <c r="S259" i="14" s="1"/>
  <c r="S256" i="14"/>
  <c r="S257" i="14" s="1"/>
  <c r="BH120" i="13"/>
  <c r="BH130" i="13" s="1"/>
  <c r="BH132" i="13" s="1"/>
  <c r="BH189" i="13"/>
  <c r="BH138" i="13"/>
  <c r="BH199" i="13" s="1"/>
  <c r="BH139" i="13"/>
  <c r="W145" i="13"/>
  <c r="W173" i="13"/>
  <c r="W163" i="13"/>
  <c r="W164" i="13"/>
  <c r="W149" i="13"/>
  <c r="AB272" i="13"/>
  <c r="AB273" i="13" s="1"/>
  <c r="AB270" i="13"/>
  <c r="AB271" i="13" s="1"/>
  <c r="AB274" i="13"/>
  <c r="AB275" i="13" s="1"/>
  <c r="R160" i="1"/>
  <c r="R139" i="1"/>
  <c r="R146" i="1"/>
  <c r="R170" i="1"/>
  <c r="R142" i="1"/>
  <c r="R161" i="1"/>
  <c r="BH212" i="13"/>
  <c r="BH224" i="13"/>
  <c r="BH225" i="13" s="1"/>
  <c r="BH236" i="13" s="1"/>
  <c r="BH237" i="13" s="1"/>
  <c r="C244" i="13"/>
  <c r="C245" i="13" s="1"/>
  <c r="C238" i="13"/>
  <c r="C239" i="13" s="1"/>
  <c r="C242" i="13"/>
  <c r="C243" i="13" s="1"/>
  <c r="C246" i="13"/>
  <c r="C247" i="13" s="1"/>
  <c r="C240" i="13"/>
  <c r="C241" i="13" s="1"/>
  <c r="K242" i="13"/>
  <c r="K243" i="13" s="1"/>
  <c r="K240" i="13"/>
  <c r="K241" i="13" s="1"/>
  <c r="K238" i="13"/>
  <c r="K239" i="13" s="1"/>
  <c r="K244" i="13"/>
  <c r="K245" i="13" s="1"/>
  <c r="K246" i="13"/>
  <c r="K247" i="13" s="1"/>
  <c r="AG265" i="13"/>
  <c r="AG266" i="13" s="1"/>
  <c r="AG267" i="13"/>
  <c r="AG268" i="13" s="1"/>
  <c r="P139" i="1"/>
  <c r="P146" i="1"/>
  <c r="P142" i="1"/>
  <c r="P161" i="1"/>
  <c r="P160" i="1"/>
  <c r="P170" i="1"/>
  <c r="Q250" i="14"/>
  <c r="Q255" i="14"/>
  <c r="O194" i="1"/>
  <c r="O141" i="1"/>
  <c r="O195" i="1" s="1"/>
  <c r="O140" i="1"/>
  <c r="O193" i="1"/>
  <c r="O201" i="1" s="1"/>
  <c r="AH145" i="13"/>
  <c r="AH173" i="13"/>
  <c r="AH163" i="13"/>
  <c r="AH164" i="13"/>
  <c r="AH149" i="13"/>
  <c r="H216" i="14"/>
  <c r="H217" i="14" s="1"/>
  <c r="H220" i="14"/>
  <c r="H221" i="14" s="1"/>
  <c r="H214" i="14"/>
  <c r="H215" i="14" s="1"/>
  <c r="H218" i="14"/>
  <c r="H219" i="14" s="1"/>
  <c r="H222" i="14"/>
  <c r="H223" i="14" s="1"/>
  <c r="AF224" i="13"/>
  <c r="AF225" i="13" s="1"/>
  <c r="AF236" i="13" s="1"/>
  <c r="AF237" i="13" s="1"/>
  <c r="AF212" i="13"/>
  <c r="AH212" i="13"/>
  <c r="AH224" i="13"/>
  <c r="AH225" i="13" s="1"/>
  <c r="AH228" i="13" s="1"/>
  <c r="AH229" i="13" s="1"/>
  <c r="B165" i="13"/>
  <c r="B181" i="13"/>
  <c r="B184" i="13"/>
  <c r="B170" i="1"/>
  <c r="B142" i="1"/>
  <c r="B160" i="1"/>
  <c r="B161" i="1"/>
  <c r="B139" i="1"/>
  <c r="B146" i="1"/>
  <c r="O224" i="14"/>
  <c r="O225" i="14" s="1"/>
  <c r="O212" i="14"/>
  <c r="O236" i="14"/>
  <c r="O237" i="14" s="1"/>
  <c r="AB211" i="13"/>
  <c r="AB213" i="13" s="1"/>
  <c r="BE165" i="13"/>
  <c r="BE181" i="13"/>
  <c r="BE184" i="13"/>
  <c r="BF232" i="13"/>
  <c r="BF226" i="13"/>
  <c r="BF227" i="13" s="1"/>
  <c r="BF234" i="13"/>
  <c r="BF235" i="13" s="1"/>
  <c r="BF230" i="13"/>
  <c r="BF231" i="13" s="1"/>
  <c r="BH140" i="13"/>
  <c r="U213" i="13"/>
  <c r="U211" i="13"/>
  <c r="G168" i="13"/>
  <c r="G151" i="13"/>
  <c r="G188" i="13" s="1"/>
  <c r="R150" i="1"/>
  <c r="AQ163" i="13"/>
  <c r="AQ164" i="13"/>
  <c r="AQ145" i="13"/>
  <c r="AQ149" i="13"/>
  <c r="AQ173" i="13"/>
  <c r="T240" i="14"/>
  <c r="T241" i="14" s="1"/>
  <c r="T246" i="14"/>
  <c r="T247" i="14" s="1"/>
  <c r="T238" i="14"/>
  <c r="T239" i="14" s="1"/>
  <c r="T242" i="14"/>
  <c r="T243" i="14" s="1"/>
  <c r="T244" i="14"/>
  <c r="T245" i="14" s="1"/>
  <c r="AO272" i="13"/>
  <c r="AO273" i="13" s="1"/>
  <c r="AO270" i="13"/>
  <c r="AO271" i="13" s="1"/>
  <c r="AO274" i="13"/>
  <c r="AO275" i="13" s="1"/>
  <c r="P251" i="14"/>
  <c r="P252" i="14" s="1"/>
  <c r="P253" i="14"/>
  <c r="P254" i="14" s="1"/>
  <c r="BA164" i="13"/>
  <c r="BA173" i="13"/>
  <c r="BA145" i="13"/>
  <c r="BA149" i="13"/>
  <c r="BA163" i="13"/>
  <c r="S212" i="14"/>
  <c r="Q165" i="13"/>
  <c r="Q181" i="13"/>
  <c r="Q184" i="13"/>
  <c r="S162" i="1"/>
  <c r="S178" i="1"/>
  <c r="S181" i="1"/>
  <c r="H162" i="1"/>
  <c r="H178" i="1"/>
  <c r="H181" i="1"/>
  <c r="G205" i="14"/>
  <c r="G206" i="14" s="1"/>
  <c r="G207" i="14"/>
  <c r="G208" i="14" s="1"/>
  <c r="G210" i="14"/>
  <c r="P129" i="1"/>
  <c r="P131" i="1" s="1"/>
  <c r="G189" i="14"/>
  <c r="G120" i="14"/>
  <c r="G139" i="14"/>
  <c r="G138" i="14"/>
  <c r="G199" i="14" s="1"/>
  <c r="G111" i="14"/>
  <c r="M238" i="13"/>
  <c r="M239" i="13" s="1"/>
  <c r="M242" i="13"/>
  <c r="M243" i="13" s="1"/>
  <c r="M246" i="13"/>
  <c r="M247" i="13" s="1"/>
  <c r="M244" i="13"/>
  <c r="M245" i="13" s="1"/>
  <c r="M240" i="13"/>
  <c r="M241" i="13" s="1"/>
  <c r="X145" i="13"/>
  <c r="X173" i="13"/>
  <c r="X163" i="13"/>
  <c r="X164" i="13"/>
  <c r="X149" i="13"/>
  <c r="B190" i="15"/>
  <c r="B191" i="15" s="1"/>
  <c r="M165" i="14"/>
  <c r="M181" i="14"/>
  <c r="M184" i="14"/>
  <c r="O213" i="14"/>
  <c r="C162" i="1"/>
  <c r="C178" i="1"/>
  <c r="C181" i="1"/>
  <c r="H224" i="14"/>
  <c r="H225" i="14" s="1"/>
  <c r="AZ158" i="13"/>
  <c r="AZ190" i="13" s="1"/>
  <c r="AZ191" i="13" s="1"/>
  <c r="AZ171" i="13" s="1"/>
  <c r="AZ157" i="13"/>
  <c r="AZ169" i="13"/>
  <c r="AZ186" i="13"/>
  <c r="AZ187" i="13" s="1"/>
  <c r="AC140" i="13"/>
  <c r="BF220" i="13"/>
  <c r="BF221" i="13" s="1"/>
  <c r="BF218" i="13"/>
  <c r="BF219" i="13" s="1"/>
  <c r="BF222" i="13"/>
  <c r="BF223" i="13" s="1"/>
  <c r="BF216" i="13"/>
  <c r="BF217" i="13" s="1"/>
  <c r="BF214" i="13"/>
  <c r="BF215" i="13" s="1"/>
  <c r="BH153" i="13"/>
  <c r="D129" i="1"/>
  <c r="D131" i="1" s="1"/>
  <c r="K255" i="1"/>
  <c r="K256" i="1" s="1"/>
  <c r="K257" i="1"/>
  <c r="K258" i="1" s="1"/>
  <c r="K253" i="1"/>
  <c r="K254" i="1" s="1"/>
  <c r="BC265" i="13"/>
  <c r="BC266" i="13" s="1"/>
  <c r="BC267" i="13"/>
  <c r="BC268" i="13" s="1"/>
  <c r="R138" i="1"/>
  <c r="AQ189" i="13"/>
  <c r="AQ120" i="13"/>
  <c r="AQ139" i="13"/>
  <c r="AQ138" i="13"/>
  <c r="AQ199" i="13" s="1"/>
  <c r="T234" i="14"/>
  <c r="T235" i="14" s="1"/>
  <c r="T226" i="14"/>
  <c r="T227" i="14" s="1"/>
  <c r="T228" i="14"/>
  <c r="T229" i="14" s="1"/>
  <c r="T230" i="14"/>
  <c r="T231" i="14" s="1"/>
  <c r="T232" i="14"/>
  <c r="T233" i="14" s="1"/>
  <c r="S246" i="13"/>
  <c r="S247" i="13" s="1"/>
  <c r="S244" i="13"/>
  <c r="S245" i="13" s="1"/>
  <c r="S238" i="13"/>
  <c r="S239" i="13" s="1"/>
  <c r="S240" i="13"/>
  <c r="S241" i="13" s="1"/>
  <c r="S242" i="13"/>
  <c r="S243" i="13" s="1"/>
  <c r="S277" i="13" s="1"/>
  <c r="BD228" i="13"/>
  <c r="BD229" i="13" s="1"/>
  <c r="BD232" i="13"/>
  <c r="AQ214" i="13"/>
  <c r="AQ215" i="13" s="1"/>
  <c r="AQ216" i="13"/>
  <c r="AQ217" i="13" s="1"/>
  <c r="AQ218" i="13"/>
  <c r="AQ220" i="13"/>
  <c r="AQ221" i="13" s="1"/>
  <c r="AQ222" i="13"/>
  <c r="AQ223" i="13" s="1"/>
  <c r="G186" i="1"/>
  <c r="G119" i="1"/>
  <c r="G136" i="1"/>
  <c r="G196" i="1" s="1"/>
  <c r="G137" i="1"/>
  <c r="BJ212" i="13"/>
  <c r="BJ224" i="13"/>
  <c r="BJ225" i="13" s="1"/>
  <c r="BJ236" i="13" s="1"/>
  <c r="BJ237" i="13" s="1"/>
  <c r="AS232" i="13"/>
  <c r="AS233" i="13" s="1"/>
  <c r="AS228" i="13"/>
  <c r="AS229" i="13" s="1"/>
  <c r="AS230" i="13"/>
  <c r="AS231" i="13" s="1"/>
  <c r="AS234" i="13"/>
  <c r="AS235" i="13" s="1"/>
  <c r="AS226" i="13"/>
  <c r="AS227" i="13" s="1"/>
  <c r="P150" i="1"/>
  <c r="BB120" i="13"/>
  <c r="BB189" i="13"/>
  <c r="BB139" i="13"/>
  <c r="BB138" i="13"/>
  <c r="BB199" i="13" s="1"/>
  <c r="M228" i="13"/>
  <c r="M229" i="13" s="1"/>
  <c r="M230" i="13"/>
  <c r="M231" i="13" s="1"/>
  <c r="M234" i="13"/>
  <c r="M235" i="13" s="1"/>
  <c r="M232" i="13"/>
  <c r="M233" i="13" s="1"/>
  <c r="M226" i="13"/>
  <c r="M227" i="13" s="1"/>
  <c r="L247" i="1"/>
  <c r="L252" i="1"/>
  <c r="S120" i="14"/>
  <c r="S130" i="14" s="1"/>
  <c r="S132" i="14" s="1"/>
  <c r="S189" i="14"/>
  <c r="S139" i="14"/>
  <c r="S138" i="14"/>
  <c r="S199" i="14" s="1"/>
  <c r="D145" i="14"/>
  <c r="D149" i="14"/>
  <c r="D164" i="14"/>
  <c r="D173" i="14"/>
  <c r="D163" i="14"/>
  <c r="BC145" i="13"/>
  <c r="BC149" i="13"/>
  <c r="BC164" i="13"/>
  <c r="BC173" i="13"/>
  <c r="BC163" i="13"/>
  <c r="E119" i="1"/>
  <c r="E129" i="1" s="1"/>
  <c r="E131" i="1" s="1"/>
  <c r="E186" i="1"/>
  <c r="E111" i="1"/>
  <c r="E136" i="1"/>
  <c r="E196" i="1" s="1"/>
  <c r="E137" i="1"/>
  <c r="J182" i="14"/>
  <c r="J150" i="14" s="1"/>
  <c r="J166" i="14"/>
  <c r="P211" i="14"/>
  <c r="F185" i="13"/>
  <c r="F153" i="13" s="1"/>
  <c r="F119" i="13"/>
  <c r="F202" i="13"/>
  <c r="F101" i="13"/>
  <c r="F140" i="13" s="1"/>
  <c r="F172" i="13"/>
  <c r="K221" i="1"/>
  <c r="K222" i="1" s="1"/>
  <c r="K209" i="1"/>
  <c r="AL120" i="13"/>
  <c r="AL130" i="13" s="1"/>
  <c r="AL132" i="13" s="1"/>
  <c r="AL189" i="13"/>
  <c r="AL138" i="13"/>
  <c r="AL199" i="13" s="1"/>
  <c r="AL139" i="13"/>
  <c r="AL111" i="13"/>
  <c r="BF145" i="13"/>
  <c r="BF149" i="13"/>
  <c r="BF164" i="13"/>
  <c r="BF173" i="13"/>
  <c r="AF218" i="13"/>
  <c r="AF219" i="13" s="1"/>
  <c r="AF214" i="13"/>
  <c r="AF215" i="13" s="1"/>
  <c r="AF220" i="13"/>
  <c r="AF221" i="13" s="1"/>
  <c r="AF222" i="13"/>
  <c r="AF223" i="13" s="1"/>
  <c r="AF216" i="13"/>
  <c r="AF217" i="13" s="1"/>
  <c r="AF153" i="13"/>
  <c r="AE165" i="13"/>
  <c r="AE181" i="13"/>
  <c r="AE184" i="13"/>
  <c r="H228" i="13"/>
  <c r="H229" i="13" s="1"/>
  <c r="H232" i="13"/>
  <c r="H233" i="13" s="1"/>
  <c r="H230" i="13"/>
  <c r="H231" i="13" s="1"/>
  <c r="H234" i="13"/>
  <c r="H235" i="13" s="1"/>
  <c r="H226" i="13"/>
  <c r="H227" i="13" s="1"/>
  <c r="BG165" i="13"/>
  <c r="BG181" i="13"/>
  <c r="BG184" i="13"/>
  <c r="BF212" i="13"/>
  <c r="BF224" i="13"/>
  <c r="BF225" i="13" s="1"/>
  <c r="BF228" i="13" s="1"/>
  <c r="BF229" i="13" s="1"/>
  <c r="K248" i="1"/>
  <c r="K249" i="1" s="1"/>
  <c r="K250" i="1"/>
  <c r="K251" i="1" s="1"/>
  <c r="BC272" i="13"/>
  <c r="BC273" i="13" s="1"/>
  <c r="BC270" i="13"/>
  <c r="BC271" i="13" s="1"/>
  <c r="BC274" i="13"/>
  <c r="BC275" i="13" s="1"/>
  <c r="R129" i="1"/>
  <c r="R131" i="1" s="1"/>
  <c r="R228" i="14"/>
  <c r="R229" i="14" s="1"/>
  <c r="R226" i="14"/>
  <c r="R227" i="14" s="1"/>
  <c r="R234" i="14"/>
  <c r="R235" i="14" s="1"/>
  <c r="R232" i="14"/>
  <c r="R233" i="14" s="1"/>
  <c r="R230" i="14"/>
  <c r="R231" i="14" s="1"/>
  <c r="R277" i="14" s="1"/>
  <c r="AU173" i="13"/>
  <c r="AU145" i="13"/>
  <c r="AU149" i="13"/>
  <c r="AU164" i="13"/>
  <c r="AU163" i="13"/>
  <c r="BD212" i="13"/>
  <c r="BD224" i="13"/>
  <c r="BD225" i="13" s="1"/>
  <c r="BD234" i="13" s="1"/>
  <c r="BD235" i="13" s="1"/>
  <c r="BA120" i="13"/>
  <c r="BA189" i="13"/>
  <c r="BA138" i="13"/>
  <c r="BA199" i="13" s="1"/>
  <c r="BA139" i="13"/>
  <c r="S141" i="1"/>
  <c r="S195" i="1" s="1"/>
  <c r="S194" i="1"/>
  <c r="S140" i="1"/>
  <c r="S193" i="1"/>
  <c r="S201" i="1" s="1"/>
  <c r="BJ228" i="13"/>
  <c r="BJ229" i="13" s="1"/>
  <c r="BJ230" i="13"/>
  <c r="BJ231" i="13" s="1"/>
  <c r="BJ234" i="13"/>
  <c r="BJ235" i="13" s="1"/>
  <c r="BJ232" i="13"/>
  <c r="BJ233" i="13" s="1"/>
  <c r="AS214" i="13"/>
  <c r="AS215" i="13" s="1"/>
  <c r="AS222" i="13"/>
  <c r="AS223" i="13" s="1"/>
  <c r="AS216" i="13"/>
  <c r="AS217" i="13" s="1"/>
  <c r="AS218" i="13"/>
  <c r="AS219" i="13" s="1"/>
  <c r="AS220" i="13"/>
  <c r="AS221" i="13" s="1"/>
  <c r="AD163" i="13"/>
  <c r="AD164" i="13"/>
  <c r="AD145" i="13"/>
  <c r="AD149" i="13"/>
  <c r="AD173" i="13"/>
  <c r="G140" i="14"/>
  <c r="AW164" i="13"/>
  <c r="AW173" i="13"/>
  <c r="AW149" i="13"/>
  <c r="AW163" i="13"/>
  <c r="AW145" i="13"/>
  <c r="BB153" i="13"/>
  <c r="F165" i="14"/>
  <c r="F181" i="14"/>
  <c r="F184" i="14"/>
  <c r="L266" i="1"/>
  <c r="L261" i="1"/>
  <c r="U119" i="14"/>
  <c r="U185" i="14"/>
  <c r="U153" i="14" s="1"/>
  <c r="U202" i="14"/>
  <c r="U101" i="14"/>
  <c r="T180" i="1"/>
  <c r="T163" i="1"/>
  <c r="T179" i="1"/>
  <c r="T147" i="1" s="1"/>
  <c r="AG211" i="13"/>
  <c r="AG213" i="13" s="1"/>
  <c r="D224" i="14"/>
  <c r="D225" i="14" s="1"/>
  <c r="D212" i="14"/>
  <c r="L155" i="1"/>
  <c r="L187" i="1" s="1"/>
  <c r="L188" i="1" s="1"/>
  <c r="L168" i="1" s="1"/>
  <c r="L154" i="1"/>
  <c r="L183" i="1"/>
  <c r="L184" i="1" s="1"/>
  <c r="L166" i="1"/>
  <c r="O162" i="1"/>
  <c r="O178" i="1"/>
  <c r="O181" i="1"/>
  <c r="F119" i="1"/>
  <c r="F129" i="1" s="1"/>
  <c r="F131" i="1" s="1"/>
  <c r="F186" i="1"/>
  <c r="F111" i="1"/>
  <c r="F136" i="1"/>
  <c r="F196" i="1" s="1"/>
  <c r="F137" i="1"/>
  <c r="R181" i="13"/>
  <c r="R165" i="13"/>
  <c r="R184" i="13"/>
  <c r="AY230" i="13"/>
  <c r="AY231" i="13" s="1"/>
  <c r="AY232" i="13"/>
  <c r="AY233" i="13" s="1"/>
  <c r="AL272" i="13"/>
  <c r="AL273" i="13" s="1"/>
  <c r="AL270" i="13"/>
  <c r="AL271" i="13" s="1"/>
  <c r="AL274" i="13"/>
  <c r="AL275" i="13" s="1"/>
  <c r="G269" i="14"/>
  <c r="G264" i="14"/>
  <c r="BD163" i="13"/>
  <c r="BD173" i="13"/>
  <c r="BD145" i="13"/>
  <c r="BD149" i="13"/>
  <c r="BD164" i="13"/>
  <c r="AB120" i="13"/>
  <c r="AB130" i="13" s="1"/>
  <c r="AB132" i="13" s="1"/>
  <c r="AB189" i="13"/>
  <c r="AB111" i="13"/>
  <c r="AB138" i="13"/>
  <c r="AB199" i="13" s="1"/>
  <c r="AB139" i="13"/>
  <c r="AM220" i="13"/>
  <c r="AM221" i="13" s="1"/>
  <c r="AM222" i="13"/>
  <c r="AM223" i="13" s="1"/>
  <c r="AM214" i="13"/>
  <c r="AM215" i="13" s="1"/>
  <c r="AM216" i="13"/>
  <c r="AM217" i="13" s="1"/>
  <c r="AM218" i="13"/>
  <c r="AM219" i="13" s="1"/>
  <c r="I199" i="1"/>
  <c r="I118" i="1"/>
  <c r="I182" i="1"/>
  <c r="I101" i="1"/>
  <c r="I111" i="1" s="1"/>
  <c r="I169" i="1"/>
  <c r="O165" i="14"/>
  <c r="O181" i="14"/>
  <c r="O184" i="14"/>
  <c r="P189" i="14"/>
  <c r="P120" i="14"/>
  <c r="P139" i="14"/>
  <c r="P138" i="14"/>
  <c r="P199" i="14" s="1"/>
  <c r="BD214" i="13"/>
  <c r="BD215" i="13" s="1"/>
  <c r="BD216" i="13"/>
  <c r="BD217" i="13" s="1"/>
  <c r="BD218" i="13"/>
  <c r="BD219" i="13" s="1"/>
  <c r="BD222" i="13"/>
  <c r="BD223" i="13" s="1"/>
  <c r="BD220" i="13"/>
  <c r="BD221" i="13" s="1"/>
  <c r="V173" i="13"/>
  <c r="V163" i="13"/>
  <c r="V164" i="13"/>
  <c r="V145" i="13"/>
  <c r="V149" i="13"/>
  <c r="AQ212" i="13"/>
  <c r="AQ224" i="13"/>
  <c r="AQ225" i="13" s="1"/>
  <c r="AQ236" i="13" s="1"/>
  <c r="AQ237" i="13" s="1"/>
  <c r="J172" i="13"/>
  <c r="S272" i="14"/>
  <c r="S273" i="14" s="1"/>
  <c r="S274" i="14"/>
  <c r="S275" i="14" s="1"/>
  <c r="S270" i="14"/>
  <c r="S271" i="14" s="1"/>
  <c r="U249" i="14"/>
  <c r="U263" i="14"/>
  <c r="AL267" i="13"/>
  <c r="AL268" i="13" s="1"/>
  <c r="AL265" i="13"/>
  <c r="AL266" i="13" s="1"/>
  <c r="U253" i="13"/>
  <c r="G250" i="14"/>
  <c r="G255" i="14"/>
  <c r="AN165" i="13"/>
  <c r="AN181" i="13"/>
  <c r="AN184" i="13"/>
  <c r="K158" i="14"/>
  <c r="K190" i="14" s="1"/>
  <c r="K191" i="14" s="1"/>
  <c r="K171" i="14" s="1"/>
  <c r="K157" i="14"/>
  <c r="K169" i="14"/>
  <c r="K186" i="14"/>
  <c r="K187" i="14" s="1"/>
  <c r="AB140" i="13"/>
  <c r="AM224" i="13"/>
  <c r="AM225" i="13" s="1"/>
  <c r="AM226" i="13" s="1"/>
  <c r="AM227" i="13" s="1"/>
  <c r="AM212" i="13"/>
  <c r="M162" i="1"/>
  <c r="M178" i="1"/>
  <c r="M181" i="1"/>
  <c r="P140" i="14"/>
  <c r="BI149" i="13"/>
  <c r="BI164" i="13"/>
  <c r="BI173" i="13"/>
  <c r="BI145" i="13"/>
  <c r="BI163" i="13"/>
  <c r="AQ228" i="13"/>
  <c r="AQ229" i="13" s="1"/>
  <c r="BA130" i="13"/>
  <c r="BA132" i="13" s="1"/>
  <c r="T165" i="1"/>
  <c r="T148" i="1"/>
  <c r="T185" i="1" s="1"/>
  <c r="BJ218" i="13"/>
  <c r="BJ219" i="13" s="1"/>
  <c r="BJ222" i="13"/>
  <c r="BJ223" i="13" s="1"/>
  <c r="BJ216" i="13"/>
  <c r="BJ217" i="13" s="1"/>
  <c r="BJ220" i="13"/>
  <c r="BJ221" i="13" s="1"/>
  <c r="BJ214" i="13"/>
  <c r="BJ215" i="13" s="1"/>
  <c r="D213" i="14"/>
  <c r="D236" i="14" s="1"/>
  <c r="D237" i="14" s="1"/>
  <c r="L165" i="13"/>
  <c r="L181" i="13"/>
  <c r="L184" i="13"/>
  <c r="AW189" i="13"/>
  <c r="AW120" i="13"/>
  <c r="AW130" i="13" s="1"/>
  <c r="AW132" i="13" s="1"/>
  <c r="AW139" i="13"/>
  <c r="AW138" i="13"/>
  <c r="AW199" i="13" s="1"/>
  <c r="AW219" i="13" s="1"/>
  <c r="BB130" i="13"/>
  <c r="BB132" i="13" s="1"/>
  <c r="F138" i="1"/>
  <c r="BB214" i="13"/>
  <c r="BB215" i="13" s="1"/>
  <c r="BB216" i="13"/>
  <c r="BB217" i="13" s="1"/>
  <c r="BB220" i="13"/>
  <c r="BB221" i="13" s="1"/>
  <c r="BB218" i="13"/>
  <c r="BB219" i="13" s="1"/>
  <c r="BB222" i="13"/>
  <c r="BB223" i="13" s="1"/>
  <c r="AJ165" i="13"/>
  <c r="AJ181" i="13"/>
  <c r="AJ184" i="13"/>
  <c r="C158" i="14"/>
  <c r="C190" i="14" s="1"/>
  <c r="C191" i="14" s="1"/>
  <c r="C171" i="14" s="1"/>
  <c r="C157" i="14"/>
  <c r="C186" i="14"/>
  <c r="C187" i="14" s="1"/>
  <c r="C169" i="14"/>
  <c r="D260" i="14"/>
  <c r="D261" i="14" s="1"/>
  <c r="D258" i="14"/>
  <c r="D259" i="14" s="1"/>
  <c r="D256" i="14"/>
  <c r="D257" i="14" s="1"/>
  <c r="AM145" i="13"/>
  <c r="AM149" i="13"/>
  <c r="AM164" i="13"/>
  <c r="AM163" i="13"/>
  <c r="AM173" i="13"/>
  <c r="C183" i="14"/>
  <c r="AK168" i="13"/>
  <c r="AK151" i="13"/>
  <c r="AK188" i="13" s="1"/>
  <c r="S267" i="14"/>
  <c r="S268" i="14" s="1"/>
  <c r="S265" i="14"/>
  <c r="S266" i="14" s="1"/>
  <c r="AY216" i="13"/>
  <c r="AY217" i="13" s="1"/>
  <c r="AY214" i="13"/>
  <c r="AY215" i="13" s="1"/>
  <c r="AY218" i="13"/>
  <c r="AY220" i="13"/>
  <c r="AY221" i="13" s="1"/>
  <c r="AY222" i="13"/>
  <c r="AY223" i="13" s="1"/>
  <c r="U142" i="14"/>
  <c r="U143" i="14" s="1"/>
  <c r="U198" i="14" s="1"/>
  <c r="Q205" i="14"/>
  <c r="Q206" i="14" s="1"/>
  <c r="Q210" i="14"/>
  <c r="Q207" i="14"/>
  <c r="Q208" i="14" s="1"/>
  <c r="U258" i="13"/>
  <c r="U259" i="13" s="1"/>
  <c r="U256" i="13"/>
  <c r="U257" i="13" s="1"/>
  <c r="U260" i="13"/>
  <c r="U261" i="13" s="1"/>
  <c r="R182" i="14"/>
  <c r="R150" i="14" s="1"/>
  <c r="R166" i="14"/>
  <c r="AI163" i="13"/>
  <c r="AI173" i="13"/>
  <c r="AI145" i="13"/>
  <c r="AI149" i="13"/>
  <c r="AI164" i="13"/>
  <c r="AO211" i="13"/>
  <c r="AO213" i="13"/>
  <c r="BD120" i="13"/>
  <c r="BD130" i="13" s="1"/>
  <c r="BD132" i="13" s="1"/>
  <c r="BD189" i="13"/>
  <c r="BD139" i="13"/>
  <c r="BD138" i="13"/>
  <c r="BD199" i="13" s="1"/>
  <c r="T181" i="13"/>
  <c r="T165" i="13"/>
  <c r="T184" i="13"/>
  <c r="K183" i="14"/>
  <c r="BH226" i="13"/>
  <c r="BH227" i="13" s="1"/>
  <c r="BH230" i="13"/>
  <c r="BH231" i="13" s="1"/>
  <c r="BH228" i="13"/>
  <c r="BH229" i="13" s="1"/>
  <c r="BH232" i="13"/>
  <c r="BH233" i="13" s="1"/>
  <c r="AQ130" i="13"/>
  <c r="AQ132" i="13" s="1"/>
  <c r="F224" i="14"/>
  <c r="F225" i="14" s="1"/>
  <c r="F236" i="14"/>
  <c r="F237" i="14" s="1"/>
  <c r="F212" i="14"/>
  <c r="V120" i="13"/>
  <c r="V130" i="13" s="1"/>
  <c r="V132" i="13" s="1"/>
  <c r="V189" i="13"/>
  <c r="V139" i="13"/>
  <c r="V138" i="13"/>
  <c r="V199" i="13" s="1"/>
  <c r="G129" i="1"/>
  <c r="G131" i="1" s="1"/>
  <c r="J178" i="1"/>
  <c r="J181" i="1"/>
  <c r="J162" i="1"/>
  <c r="AS165" i="13"/>
  <c r="AS181" i="13"/>
  <c r="AS184" i="13"/>
  <c r="F211" i="13"/>
  <c r="F213" i="13" s="1"/>
  <c r="L180" i="1"/>
  <c r="BC120" i="13"/>
  <c r="BC130" i="13" s="1"/>
  <c r="BC132" i="13" s="1"/>
  <c r="BC189" i="13"/>
  <c r="BC139" i="13"/>
  <c r="BC138" i="13"/>
  <c r="BC199" i="13" s="1"/>
  <c r="BB140" i="13"/>
  <c r="BB224" i="13"/>
  <c r="BB225" i="13" s="1"/>
  <c r="BB232" i="13" s="1"/>
  <c r="BB233" i="13" s="1"/>
  <c r="BB212" i="13"/>
  <c r="Y164" i="13"/>
  <c r="Y149" i="13"/>
  <c r="Y173" i="13"/>
  <c r="Y163" i="13"/>
  <c r="Y145" i="13"/>
  <c r="S153" i="14"/>
  <c r="M219" i="13"/>
  <c r="M277" i="13" s="1"/>
  <c r="G146" i="1"/>
  <c r="G161" i="1"/>
  <c r="G160" i="1"/>
  <c r="G170" i="1"/>
  <c r="G142" i="1"/>
  <c r="G139" i="1"/>
  <c r="BF120" i="13"/>
  <c r="BF130" i="13" s="1"/>
  <c r="BF132" i="13" s="1"/>
  <c r="BF189" i="13"/>
  <c r="BF138" i="13"/>
  <c r="BF199" i="13" s="1"/>
  <c r="BF139" i="13"/>
  <c r="O151" i="15"/>
  <c r="BF153" i="13"/>
  <c r="AA149" i="13"/>
  <c r="AA173" i="13"/>
  <c r="AA145" i="13"/>
  <c r="AA163" i="13"/>
  <c r="AA164" i="13"/>
  <c r="AK182" i="13"/>
  <c r="AK150" i="13" s="1"/>
  <c r="AK166" i="13"/>
  <c r="AY224" i="13"/>
  <c r="AY225" i="13" s="1"/>
  <c r="AY226" i="13" s="1"/>
  <c r="AY227" i="13" s="1"/>
  <c r="AY212" i="13"/>
  <c r="AN277" i="13"/>
  <c r="AV166" i="13"/>
  <c r="AV182" i="13"/>
  <c r="AV150" i="13" s="1"/>
  <c r="J211" i="13"/>
  <c r="J213" i="13" s="1"/>
  <c r="R168" i="14"/>
  <c r="R151" i="14"/>
  <c r="R188" i="14" s="1"/>
  <c r="K269" i="1"/>
  <c r="K270" i="1" s="1"/>
  <c r="K267" i="1"/>
  <c r="K268" i="1" s="1"/>
  <c r="K271" i="1"/>
  <c r="K272" i="1" s="1"/>
  <c r="M165" i="13"/>
  <c r="M181" i="13"/>
  <c r="M184" i="13"/>
  <c r="BD140" i="13"/>
  <c r="BH111" i="13"/>
  <c r="E165" i="14"/>
  <c r="E184" i="14"/>
  <c r="E181" i="14"/>
  <c r="J168" i="14"/>
  <c r="J151" i="14"/>
  <c r="J188" i="14" s="1"/>
  <c r="BH216" i="13"/>
  <c r="BH217" i="13" s="1"/>
  <c r="BH220" i="13"/>
  <c r="BH221" i="13" s="1"/>
  <c r="BH218" i="13"/>
  <c r="BH219" i="13" s="1"/>
  <c r="BH222" i="13"/>
  <c r="BH223" i="13" s="1"/>
  <c r="BH214" i="13"/>
  <c r="BH215" i="13" s="1"/>
  <c r="P130" i="14"/>
  <c r="P132" i="14" s="1"/>
  <c r="W234" i="13"/>
  <c r="W235" i="13" s="1"/>
  <c r="W228" i="13"/>
  <c r="W229" i="13" s="1"/>
  <c r="W226" i="13"/>
  <c r="W227" i="13" s="1"/>
  <c r="W232" i="13"/>
  <c r="W233" i="13" s="1"/>
  <c r="W230" i="13"/>
  <c r="W231" i="13" s="1"/>
  <c r="AG185" i="13"/>
  <c r="AG153" i="13" s="1"/>
  <c r="AG202" i="13"/>
  <c r="AG119" i="13"/>
  <c r="AG101" i="13"/>
  <c r="AG140" i="13" s="1"/>
  <c r="AG172" i="13"/>
  <c r="AO120" i="13"/>
  <c r="AO130" i="13" s="1"/>
  <c r="AO132" i="13" s="1"/>
  <c r="AO189" i="13"/>
  <c r="AO138" i="13"/>
  <c r="AO199" i="13" s="1"/>
  <c r="AO139" i="13"/>
  <c r="J141" i="1"/>
  <c r="J195" i="1" s="1"/>
  <c r="J194" i="1"/>
  <c r="J193" i="1"/>
  <c r="J201" i="1" s="1"/>
  <c r="J140" i="1"/>
  <c r="U185" i="13"/>
  <c r="U153" i="13" s="1"/>
  <c r="U119" i="13"/>
  <c r="U202" i="13"/>
  <c r="U101" i="13"/>
  <c r="U111" i="13"/>
  <c r="U172" i="13"/>
  <c r="L210" i="1"/>
  <c r="L208" i="1"/>
  <c r="T207" i="1"/>
  <c r="T204" i="1"/>
  <c r="T205" i="1" s="1"/>
  <c r="T202" i="1"/>
  <c r="T203" i="1" s="1"/>
  <c r="BB226" i="13"/>
  <c r="BB227" i="13" s="1"/>
  <c r="D272" i="14"/>
  <c r="D273" i="14" s="1"/>
  <c r="D270" i="14"/>
  <c r="D271" i="14" s="1"/>
  <c r="D274" i="14"/>
  <c r="D275" i="14" s="1"/>
  <c r="V216" i="13"/>
  <c r="V217" i="13" s="1"/>
  <c r="V218" i="13"/>
  <c r="V219" i="13" s="1"/>
  <c r="V220" i="13"/>
  <c r="V221" i="13" s="1"/>
  <c r="V214" i="13"/>
  <c r="V215" i="13" s="1"/>
  <c r="V222" i="13"/>
  <c r="V223" i="13" s="1"/>
  <c r="D253" i="14"/>
  <c r="D254" i="14" s="1"/>
  <c r="D251" i="14"/>
  <c r="D252" i="14" s="1"/>
  <c r="Q186" i="1"/>
  <c r="Q119" i="1"/>
  <c r="Q129" i="1" s="1"/>
  <c r="Q131" i="1" s="1"/>
  <c r="Q111" i="1"/>
  <c r="Q137" i="1"/>
  <c r="Q136" i="1"/>
  <c r="Q196" i="1" s="1"/>
  <c r="Q202" i="14"/>
  <c r="Q185" i="14"/>
  <c r="Q119" i="14"/>
  <c r="Q101" i="14"/>
  <c r="Q172" i="14"/>
  <c r="Q111" i="14"/>
  <c r="B158" i="14"/>
  <c r="B190" i="14" s="1"/>
  <c r="B191" i="14" s="1"/>
  <c r="B171" i="14" s="1"/>
  <c r="B157" i="14"/>
  <c r="B186" i="14"/>
  <c r="B187" i="14" s="1"/>
  <c r="B169" i="14"/>
  <c r="AH220" i="13"/>
  <c r="AH221" i="13" s="1"/>
  <c r="AH214" i="13"/>
  <c r="AH215" i="13" s="1"/>
  <c r="AH222" i="13"/>
  <c r="AH223" i="13" s="1"/>
  <c r="AH216" i="13"/>
  <c r="AH217" i="13" s="1"/>
  <c r="AH218" i="13"/>
  <c r="AH219" i="13" s="1"/>
  <c r="AF111" i="13"/>
  <c r="E169" i="1"/>
  <c r="AV168" i="13"/>
  <c r="AV151" i="13"/>
  <c r="AV188" i="13" s="1"/>
  <c r="AC232" i="13"/>
  <c r="AC233" i="13" s="1"/>
  <c r="AC234" i="13"/>
  <c r="AC235" i="13" s="1"/>
  <c r="AC228" i="13"/>
  <c r="AC229" i="13" s="1"/>
  <c r="AC230" i="13"/>
  <c r="AC231" i="13" s="1"/>
  <c r="AC226" i="13"/>
  <c r="AC227" i="13" s="1"/>
  <c r="P228" i="13"/>
  <c r="P229" i="13" s="1"/>
  <c r="P226" i="13"/>
  <c r="P227" i="13" s="1"/>
  <c r="P232" i="13"/>
  <c r="P233" i="13" s="1"/>
  <c r="P230" i="13"/>
  <c r="P231" i="13" s="1"/>
  <c r="P234" i="13"/>
  <c r="P235" i="13" s="1"/>
  <c r="Q169" i="1"/>
  <c r="K264" i="1"/>
  <c r="K265" i="1" s="1"/>
  <c r="K262" i="1"/>
  <c r="K263" i="1" s="1"/>
  <c r="AC111" i="13"/>
  <c r="AY189" i="13"/>
  <c r="AY120" i="13"/>
  <c r="AY130" i="13" s="1"/>
  <c r="AY132" i="13" s="1"/>
  <c r="AY138" i="13"/>
  <c r="AY199" i="13" s="1"/>
  <c r="AY139" i="13"/>
  <c r="T165" i="14"/>
  <c r="T181" i="14"/>
  <c r="T184" i="14"/>
  <c r="S166" i="13"/>
  <c r="S182" i="13"/>
  <c r="S150" i="13" s="1"/>
  <c r="S183" i="13" s="1"/>
  <c r="H165" i="13"/>
  <c r="H181" i="13"/>
  <c r="H184" i="13"/>
  <c r="F218" i="14"/>
  <c r="F219" i="14" s="1"/>
  <c r="F214" i="14"/>
  <c r="F215" i="14" s="1"/>
  <c r="F222" i="14"/>
  <c r="F223" i="14" s="1"/>
  <c r="F216" i="14"/>
  <c r="F217" i="14" s="1"/>
  <c r="F220" i="14"/>
  <c r="F221" i="14" s="1"/>
  <c r="M141" i="1"/>
  <c r="M195" i="1" s="1"/>
  <c r="M194" i="1"/>
  <c r="M193" i="1"/>
  <c r="M201" i="1" s="1"/>
  <c r="M140" i="1"/>
  <c r="AR168" i="13"/>
  <c r="AR151" i="13"/>
  <c r="AR188" i="13" s="1"/>
  <c r="W222" i="13"/>
  <c r="W223" i="13" s="1"/>
  <c r="W218" i="13"/>
  <c r="W219" i="13" s="1"/>
  <c r="W216" i="13"/>
  <c r="W217" i="13" s="1"/>
  <c r="W220" i="13"/>
  <c r="W221" i="13" s="1"/>
  <c r="W214" i="13"/>
  <c r="W215" i="13" s="1"/>
  <c r="T223" i="14"/>
  <c r="T277" i="14" s="1"/>
  <c r="Z165" i="13"/>
  <c r="Z181" i="13"/>
  <c r="Z184" i="13"/>
  <c r="P272" i="14"/>
  <c r="P273" i="14" s="1"/>
  <c r="P274" i="14"/>
  <c r="P275" i="14" s="1"/>
  <c r="P270" i="14"/>
  <c r="P271" i="14" s="1"/>
  <c r="S213" i="14"/>
  <c r="T246" i="1"/>
  <c r="T260" i="1"/>
  <c r="D267" i="14"/>
  <c r="D268" i="14" s="1"/>
  <c r="D265" i="14"/>
  <c r="D266" i="14" s="1"/>
  <c r="U196" i="14"/>
  <c r="U204" i="14" s="1"/>
  <c r="AD277" i="13"/>
  <c r="Y120" i="13"/>
  <c r="Y130" i="13" s="1"/>
  <c r="Y132" i="13" s="1"/>
  <c r="Y189" i="13"/>
  <c r="Y138" i="13"/>
  <c r="Y199" i="13" s="1"/>
  <c r="Y223" i="13" s="1"/>
  <c r="Y277" i="13" s="1"/>
  <c r="Y139" i="13"/>
  <c r="AP141" i="15"/>
  <c r="AP173" i="15" s="1"/>
  <c r="AP174" i="15" s="1"/>
  <c r="AP154" i="15" s="1"/>
  <c r="AP140" i="15"/>
  <c r="AP169" i="15"/>
  <c r="AP170" i="15" s="1"/>
  <c r="AP152" i="15"/>
  <c r="U141" i="15"/>
  <c r="U173" i="15" s="1"/>
  <c r="U174" i="15" s="1"/>
  <c r="U154" i="15" s="1"/>
  <c r="U140" i="15"/>
  <c r="U152" i="15"/>
  <c r="U169" i="15"/>
  <c r="U170" i="15" s="1"/>
  <c r="AI233" i="15"/>
  <c r="AI238" i="15"/>
  <c r="AY233" i="15"/>
  <c r="AY238" i="15"/>
  <c r="BI247" i="15"/>
  <c r="BI252" i="15"/>
  <c r="AW247" i="15"/>
  <c r="AW252" i="15"/>
  <c r="BB194" i="15"/>
  <c r="BB196" i="15" s="1"/>
  <c r="AM252" i="15"/>
  <c r="AM247" i="15"/>
  <c r="U194" i="15"/>
  <c r="U196" i="15"/>
  <c r="AH252" i="15"/>
  <c r="AH247" i="15"/>
  <c r="AX141" i="15"/>
  <c r="AX173" i="15" s="1"/>
  <c r="AX174" i="15" s="1"/>
  <c r="AX154" i="15" s="1"/>
  <c r="AX140" i="15"/>
  <c r="AX152" i="15"/>
  <c r="AX169" i="15"/>
  <c r="AX170" i="15" s="1"/>
  <c r="BE194" i="15"/>
  <c r="BE196" i="15" s="1"/>
  <c r="AP166" i="15"/>
  <c r="AV233" i="15"/>
  <c r="AV238" i="15"/>
  <c r="Z238" i="15"/>
  <c r="Z233" i="15"/>
  <c r="AT252" i="15"/>
  <c r="AT247" i="15"/>
  <c r="AR233" i="15"/>
  <c r="AR238" i="15"/>
  <c r="Y141" i="15"/>
  <c r="Y173" i="15" s="1"/>
  <c r="Y174" i="15" s="1"/>
  <c r="Y154" i="15" s="1"/>
  <c r="Y140" i="15"/>
  <c r="Y152" i="15"/>
  <c r="Y169" i="15"/>
  <c r="Y170" i="15" s="1"/>
  <c r="AB247" i="15"/>
  <c r="AB252" i="15"/>
  <c r="BD247" i="15"/>
  <c r="BD252" i="15"/>
  <c r="AD194" i="15"/>
  <c r="AD196" i="15"/>
  <c r="AP194" i="15"/>
  <c r="AP196" i="15"/>
  <c r="AN141" i="15"/>
  <c r="AN173" i="15" s="1"/>
  <c r="AN174" i="15" s="1"/>
  <c r="AN154" i="15" s="1"/>
  <c r="AN140" i="15"/>
  <c r="AN152" i="15"/>
  <c r="AN169" i="15"/>
  <c r="AN170" i="15" s="1"/>
  <c r="BF252" i="15"/>
  <c r="BF247" i="15"/>
  <c r="X233" i="15"/>
  <c r="X238" i="15"/>
  <c r="BG252" i="15"/>
  <c r="BG247" i="15"/>
  <c r="AQ252" i="15"/>
  <c r="AQ247" i="15"/>
  <c r="AM194" i="15"/>
  <c r="BB141" i="15"/>
  <c r="BB173" i="15" s="1"/>
  <c r="BB174" i="15" s="1"/>
  <c r="BB154" i="15" s="1"/>
  <c r="BB140" i="15"/>
  <c r="BB169" i="15"/>
  <c r="BB170" i="15" s="1"/>
  <c r="BB152" i="15"/>
  <c r="V252" i="15"/>
  <c r="V247" i="15"/>
  <c r="AT194" i="15"/>
  <c r="AI141" i="15"/>
  <c r="AI173" i="15" s="1"/>
  <c r="AI174" i="15" s="1"/>
  <c r="AI154" i="15" s="1"/>
  <c r="AI140" i="15"/>
  <c r="AI169" i="15"/>
  <c r="AI170" i="15" s="1"/>
  <c r="AI152" i="15"/>
  <c r="AI194" i="15"/>
  <c r="AI196" i="15" s="1"/>
  <c r="AA141" i="15"/>
  <c r="AA173" i="15" s="1"/>
  <c r="AA174" i="15" s="1"/>
  <c r="AA154" i="15" s="1"/>
  <c r="AA140" i="15"/>
  <c r="AA169" i="15"/>
  <c r="AA170" i="15" s="1"/>
  <c r="AA152" i="15"/>
  <c r="AQ141" i="15"/>
  <c r="AQ173" i="15" s="1"/>
  <c r="AQ174" i="15" s="1"/>
  <c r="AQ154" i="15" s="1"/>
  <c r="AQ140" i="15"/>
  <c r="AQ152" i="15"/>
  <c r="AQ169" i="15"/>
  <c r="AQ170" i="15" s="1"/>
  <c r="BG194" i="15"/>
  <c r="BG196" i="15" s="1"/>
  <c r="AA194" i="15"/>
  <c r="AA196" i="15" s="1"/>
  <c r="AG238" i="15"/>
  <c r="AG233" i="15"/>
  <c r="AR141" i="15"/>
  <c r="AR173" i="15" s="1"/>
  <c r="AR174" i="15" s="1"/>
  <c r="AR154" i="15" s="1"/>
  <c r="AR140" i="15"/>
  <c r="AR152" i="15"/>
  <c r="AR169" i="15"/>
  <c r="AR170" i="15" s="1"/>
  <c r="Y194" i="15"/>
  <c r="Y196" i="15" s="1"/>
  <c r="AJ141" i="15"/>
  <c r="AJ173" i="15" s="1"/>
  <c r="AJ174" i="15" s="1"/>
  <c r="AJ154" i="15" s="1"/>
  <c r="AJ140" i="15"/>
  <c r="AJ152" i="15"/>
  <c r="AJ169" i="15"/>
  <c r="AJ170" i="15" s="1"/>
  <c r="AM233" i="15"/>
  <c r="AM238" i="15"/>
  <c r="BA141" i="15"/>
  <c r="BA173" i="15" s="1"/>
  <c r="BA174" i="15" s="1"/>
  <c r="BA154" i="15" s="1"/>
  <c r="BA140" i="15"/>
  <c r="BA152" i="15"/>
  <c r="BA169" i="15"/>
  <c r="BA170" i="15" s="1"/>
  <c r="BC238" i="15"/>
  <c r="BC233" i="15"/>
  <c r="AN247" i="15"/>
  <c r="AN252" i="15"/>
  <c r="AO188" i="15"/>
  <c r="AO189" i="15" s="1"/>
  <c r="AO193" i="15"/>
  <c r="AO190" i="15"/>
  <c r="AO191" i="15" s="1"/>
  <c r="AO165" i="15"/>
  <c r="AO133" i="15" s="1"/>
  <c r="AO166" i="15" s="1"/>
  <c r="AO149" i="15"/>
  <c r="AW194" i="15"/>
  <c r="AW196" i="15" s="1"/>
  <c r="AH238" i="15"/>
  <c r="AH233" i="15"/>
  <c r="BH252" i="15"/>
  <c r="BH247" i="15"/>
  <c r="AC247" i="15"/>
  <c r="AC252" i="15"/>
  <c r="AU141" i="15"/>
  <c r="AU173" i="15" s="1"/>
  <c r="AU174" i="15" s="1"/>
  <c r="AU154" i="15" s="1"/>
  <c r="AU140" i="15"/>
  <c r="AU169" i="15"/>
  <c r="AU170" i="15" s="1"/>
  <c r="AU152" i="15"/>
  <c r="AP238" i="15"/>
  <c r="AP233" i="15"/>
  <c r="V141" i="15"/>
  <c r="V173" i="15" s="1"/>
  <c r="V174" i="15" s="1"/>
  <c r="V154" i="15" s="1"/>
  <c r="V140" i="15"/>
  <c r="V152" i="15"/>
  <c r="V169" i="15"/>
  <c r="V170" i="15" s="1"/>
  <c r="BE247" i="15"/>
  <c r="BE252" i="15"/>
  <c r="AY194" i="15"/>
  <c r="AT238" i="15"/>
  <c r="AT233" i="15"/>
  <c r="AF196" i="15"/>
  <c r="AF194" i="15"/>
  <c r="AB233" i="15"/>
  <c r="AB238" i="15"/>
  <c r="Z141" i="15"/>
  <c r="Z173" i="15" s="1"/>
  <c r="Z174" i="15" s="1"/>
  <c r="Z154" i="15" s="1"/>
  <c r="Z140" i="15"/>
  <c r="Z152" i="15"/>
  <c r="Z169" i="15"/>
  <c r="Z170" i="15" s="1"/>
  <c r="V194" i="15"/>
  <c r="V196" i="15" s="1"/>
  <c r="AE141" i="15"/>
  <c r="AE173" i="15" s="1"/>
  <c r="AE174" i="15" s="1"/>
  <c r="AE154" i="15" s="1"/>
  <c r="AE140" i="15"/>
  <c r="AE169" i="15"/>
  <c r="AE170" i="15" s="1"/>
  <c r="AE152" i="15"/>
  <c r="BD141" i="15"/>
  <c r="BD173" i="15" s="1"/>
  <c r="BD174" i="15" s="1"/>
  <c r="BD154" i="15" s="1"/>
  <c r="BD140" i="15"/>
  <c r="BD169" i="15"/>
  <c r="BD170" i="15" s="1"/>
  <c r="BD152" i="15"/>
  <c r="AS247" i="15"/>
  <c r="AS252" i="15"/>
  <c r="AF141" i="15"/>
  <c r="AF173" i="15" s="1"/>
  <c r="AF174" i="15" s="1"/>
  <c r="AF154" i="15" s="1"/>
  <c r="AF140" i="15"/>
  <c r="AF169" i="15"/>
  <c r="AF170" i="15" s="1"/>
  <c r="AF152" i="15"/>
  <c r="BA247" i="15"/>
  <c r="BA252" i="15"/>
  <c r="W194" i="15"/>
  <c r="BH233" i="15"/>
  <c r="BH238" i="15"/>
  <c r="AP252" i="15"/>
  <c r="AP247" i="15"/>
  <c r="BE238" i="15"/>
  <c r="BE233" i="15"/>
  <c r="BA194" i="15"/>
  <c r="BA196" i="15" s="1"/>
  <c r="AV252" i="15"/>
  <c r="AV247" i="15"/>
  <c r="AD141" i="15"/>
  <c r="AD173" i="15" s="1"/>
  <c r="AD174" i="15" s="1"/>
  <c r="AD154" i="15" s="1"/>
  <c r="AD140" i="15"/>
  <c r="AD169" i="15"/>
  <c r="AD170" i="15" s="1"/>
  <c r="AD152" i="15"/>
  <c r="W141" i="15"/>
  <c r="W173" i="15" s="1"/>
  <c r="W174" i="15" s="1"/>
  <c r="W154" i="15" s="1"/>
  <c r="W140" i="15"/>
  <c r="W152" i="15"/>
  <c r="W169" i="15"/>
  <c r="W170" i="15" s="1"/>
  <c r="Z252" i="15"/>
  <c r="Z247" i="15"/>
  <c r="U238" i="15"/>
  <c r="U233" i="15"/>
  <c r="U166" i="15"/>
  <c r="AR252" i="15"/>
  <c r="AR247" i="15"/>
  <c r="W252" i="15"/>
  <c r="W247" i="15"/>
  <c r="BJ194" i="15"/>
  <c r="AU252" i="15"/>
  <c r="AU247" i="15"/>
  <c r="AC194" i="15"/>
  <c r="AC196" i="15"/>
  <c r="AN166" i="15"/>
  <c r="BF238" i="15"/>
  <c r="BF233" i="15"/>
  <c r="X247" i="15"/>
  <c r="X252" i="15"/>
  <c r="BH194" i="15"/>
  <c r="AE166" i="15"/>
  <c r="BG233" i="15"/>
  <c r="BG238" i="15"/>
  <c r="AQ238" i="15"/>
  <c r="AQ233" i="15"/>
  <c r="BE141" i="15"/>
  <c r="BE173" i="15" s="1"/>
  <c r="BE174" i="15" s="1"/>
  <c r="BE154" i="15" s="1"/>
  <c r="BE140" i="15"/>
  <c r="BE169" i="15"/>
  <c r="BE170" i="15" s="1"/>
  <c r="BE152" i="15"/>
  <c r="BB166" i="15"/>
  <c r="V238" i="15"/>
  <c r="V233" i="15"/>
  <c r="AV194" i="15"/>
  <c r="AV196" i="15" s="1"/>
  <c r="BD166" i="15"/>
  <c r="BI141" i="15"/>
  <c r="BI173" i="15" s="1"/>
  <c r="BI174" i="15" s="1"/>
  <c r="BI154" i="15" s="1"/>
  <c r="BI140" i="15"/>
  <c r="BI169" i="15"/>
  <c r="BI170" i="15" s="1"/>
  <c r="BI152" i="15"/>
  <c r="AU194" i="15"/>
  <c r="AQ166" i="15"/>
  <c r="AE252" i="15"/>
  <c r="AE247" i="15"/>
  <c r="AG247" i="15"/>
  <c r="AG252" i="15"/>
  <c r="AZ194" i="15"/>
  <c r="AZ196" i="15" s="1"/>
  <c r="BB252" i="15"/>
  <c r="BB247" i="15"/>
  <c r="AJ166" i="15"/>
  <c r="AZ233" i="15"/>
  <c r="AZ238" i="15"/>
  <c r="AL252" i="15"/>
  <c r="AL247" i="15"/>
  <c r="AK141" i="15"/>
  <c r="AK173" i="15" s="1"/>
  <c r="AK174" i="15" s="1"/>
  <c r="AK154" i="15" s="1"/>
  <c r="AK140" i="15"/>
  <c r="AK152" i="15"/>
  <c r="AK169" i="15"/>
  <c r="AK170" i="15" s="1"/>
  <c r="AY141" i="15"/>
  <c r="AY173" i="15" s="1"/>
  <c r="AY174" i="15" s="1"/>
  <c r="AY154" i="15" s="1"/>
  <c r="AY140" i="15"/>
  <c r="AY169" i="15"/>
  <c r="AY170" i="15" s="1"/>
  <c r="AY152" i="15"/>
  <c r="AJ233" i="15"/>
  <c r="AJ238" i="15"/>
  <c r="AF233" i="15"/>
  <c r="AF238" i="15"/>
  <c r="Y238" i="15"/>
  <c r="Y233" i="15"/>
  <c r="AB194" i="15"/>
  <c r="BJ238" i="15"/>
  <c r="BJ233" i="15"/>
  <c r="AD252" i="15"/>
  <c r="AD247" i="15"/>
  <c r="AX252" i="15"/>
  <c r="AX247" i="15"/>
  <c r="AT141" i="15"/>
  <c r="AT173" i="15" s="1"/>
  <c r="AT174" i="15" s="1"/>
  <c r="AT154" i="15" s="1"/>
  <c r="AT140" i="15"/>
  <c r="AT169" i="15"/>
  <c r="AT170" i="15" s="1"/>
  <c r="AT152" i="15"/>
  <c r="AC141" i="15"/>
  <c r="AC173" i="15" s="1"/>
  <c r="AC174" i="15" s="1"/>
  <c r="AC154" i="15" s="1"/>
  <c r="AC140" i="15"/>
  <c r="AC169" i="15"/>
  <c r="AC170" i="15" s="1"/>
  <c r="AC152" i="15"/>
  <c r="AX166" i="15"/>
  <c r="AK238" i="15"/>
  <c r="AK233" i="15"/>
  <c r="AH194" i="15"/>
  <c r="AA252" i="15"/>
  <c r="AA247" i="15"/>
  <c r="X141" i="15"/>
  <c r="X173" i="15" s="1"/>
  <c r="X174" i="15" s="1"/>
  <c r="X154" i="15" s="1"/>
  <c r="X140" i="15"/>
  <c r="X152" i="15"/>
  <c r="X169" i="15"/>
  <c r="X170" i="15" s="1"/>
  <c r="BC194" i="15"/>
  <c r="AN194" i="15"/>
  <c r="BD233" i="15"/>
  <c r="BD238" i="15"/>
  <c r="AH141" i="15"/>
  <c r="AH173" i="15" s="1"/>
  <c r="AH174" i="15" s="1"/>
  <c r="AH154" i="15" s="1"/>
  <c r="AH140" i="15"/>
  <c r="AH152" i="15"/>
  <c r="AH169" i="15"/>
  <c r="AH170" i="15" s="1"/>
  <c r="BD194" i="15"/>
  <c r="BD196" i="15"/>
  <c r="AQ194" i="15"/>
  <c r="AQ196" i="15" s="1"/>
  <c r="BK233" i="15"/>
  <c r="BK238" i="15"/>
  <c r="AM141" i="15"/>
  <c r="AM173" i="15" s="1"/>
  <c r="AM174" i="15" s="1"/>
  <c r="AM154" i="15" s="1"/>
  <c r="AM140" i="15"/>
  <c r="AM169" i="15"/>
  <c r="AM170" i="15" s="1"/>
  <c r="AM152" i="15"/>
  <c r="BC252" i="15"/>
  <c r="BC247" i="15"/>
  <c r="AN233" i="15"/>
  <c r="AN238" i="15"/>
  <c r="AR194" i="15"/>
  <c r="AR196" i="15"/>
  <c r="AC238" i="15"/>
  <c r="AC233" i="15"/>
  <c r="BK141" i="15"/>
  <c r="BK173" i="15" s="1"/>
  <c r="BK174" i="15" s="1"/>
  <c r="BK154" i="15" s="1"/>
  <c r="BK140" i="15"/>
  <c r="BK169" i="15"/>
  <c r="BK170" i="15" s="1"/>
  <c r="BK152" i="15"/>
  <c r="BF194" i="15"/>
  <c r="BF196" i="15" s="1"/>
  <c r="AK194" i="15"/>
  <c r="AK196" i="15" s="1"/>
  <c r="AL194" i="15"/>
  <c r="BJ141" i="15"/>
  <c r="BJ173" i="15" s="1"/>
  <c r="BJ174" i="15" s="1"/>
  <c r="BJ154" i="15" s="1"/>
  <c r="BJ140" i="15"/>
  <c r="BJ152" i="15"/>
  <c r="BJ169" i="15"/>
  <c r="BJ170" i="15" s="1"/>
  <c r="U247" i="15"/>
  <c r="U252" i="15"/>
  <c r="X194" i="15"/>
  <c r="X196" i="15" s="1"/>
  <c r="AI252" i="15"/>
  <c r="AI247" i="15"/>
  <c r="Y166" i="15"/>
  <c r="W233" i="15"/>
  <c r="W238" i="15"/>
  <c r="BG141" i="15"/>
  <c r="BG173" i="15" s="1"/>
  <c r="BG174" i="15" s="1"/>
  <c r="BG154" i="15" s="1"/>
  <c r="BG140" i="15"/>
  <c r="BG169" i="15"/>
  <c r="BG170" i="15" s="1"/>
  <c r="BG152" i="15"/>
  <c r="AU233" i="15"/>
  <c r="AU238" i="15"/>
  <c r="BI194" i="15"/>
  <c r="BI196" i="15" s="1"/>
  <c r="AS141" i="15"/>
  <c r="AS173" i="15" s="1"/>
  <c r="AS174" i="15" s="1"/>
  <c r="AS154" i="15" s="1"/>
  <c r="AS140" i="15"/>
  <c r="AS152" i="15"/>
  <c r="AS169" i="15"/>
  <c r="AS170" i="15" s="1"/>
  <c r="AL141" i="15"/>
  <c r="AL173" i="15" s="1"/>
  <c r="AL174" i="15" s="1"/>
  <c r="AL154" i="15" s="1"/>
  <c r="AL140" i="15"/>
  <c r="AL152" i="15"/>
  <c r="AL169" i="15"/>
  <c r="AL170" i="15" s="1"/>
  <c r="AZ141" i="15"/>
  <c r="AZ173" i="15" s="1"/>
  <c r="AZ174" i="15" s="1"/>
  <c r="AZ154" i="15" s="1"/>
  <c r="AZ140" i="15"/>
  <c r="AZ152" i="15"/>
  <c r="AZ169" i="15"/>
  <c r="AZ170" i="15" s="1"/>
  <c r="AG141" i="15"/>
  <c r="AG173" i="15" s="1"/>
  <c r="AG174" i="15" s="1"/>
  <c r="AG154" i="15" s="1"/>
  <c r="AG140" i="15"/>
  <c r="AG169" i="15"/>
  <c r="AG170" i="15" s="1"/>
  <c r="AG152" i="15"/>
  <c r="AY252" i="15"/>
  <c r="AY247" i="15"/>
  <c r="BI238" i="15"/>
  <c r="BI233" i="15"/>
  <c r="BI166" i="15"/>
  <c r="AW238" i="15"/>
  <c r="AW233" i="15"/>
  <c r="AI166" i="15"/>
  <c r="BF141" i="15"/>
  <c r="BF173" i="15" s="1"/>
  <c r="BF174" i="15" s="1"/>
  <c r="BF154" i="15" s="1"/>
  <c r="BF140" i="15"/>
  <c r="BF169" i="15"/>
  <c r="BF170" i="15" s="1"/>
  <c r="BF152" i="15"/>
  <c r="AA166" i="15"/>
  <c r="AS238" i="15"/>
  <c r="AS233" i="15"/>
  <c r="AE233" i="15"/>
  <c r="AE238" i="15"/>
  <c r="BK252" i="15"/>
  <c r="BK247" i="15"/>
  <c r="AJ194" i="15"/>
  <c r="AJ196" i="15" s="1"/>
  <c r="AR166" i="15"/>
  <c r="AX194" i="15"/>
  <c r="AX196" i="15" s="1"/>
  <c r="BB238" i="15"/>
  <c r="BB233" i="15"/>
  <c r="AZ247" i="15"/>
  <c r="AZ252" i="15"/>
  <c r="AL238" i="15"/>
  <c r="AL233" i="15"/>
  <c r="BA238" i="15"/>
  <c r="BA233" i="15"/>
  <c r="BA166" i="15"/>
  <c r="AY166" i="15"/>
  <c r="AB141" i="15"/>
  <c r="AB173" i="15" s="1"/>
  <c r="AB174" i="15" s="1"/>
  <c r="AB154" i="15" s="1"/>
  <c r="AB140" i="15"/>
  <c r="AB152" i="15"/>
  <c r="AB169" i="15"/>
  <c r="AB170" i="15" s="1"/>
  <c r="AO246" i="15"/>
  <c r="AO232" i="15"/>
  <c r="Z194" i="15"/>
  <c r="Z196" i="15" s="1"/>
  <c r="AJ247" i="15"/>
  <c r="AJ252" i="15"/>
  <c r="AF252" i="15"/>
  <c r="AF247" i="15"/>
  <c r="Y247" i="15"/>
  <c r="Y252" i="15"/>
  <c r="BH141" i="15"/>
  <c r="BH173" i="15" s="1"/>
  <c r="BH174" i="15" s="1"/>
  <c r="BH154" i="15" s="1"/>
  <c r="BH140" i="15"/>
  <c r="BH152" i="15"/>
  <c r="BH169" i="15"/>
  <c r="BH170" i="15" s="1"/>
  <c r="BJ252" i="15"/>
  <c r="BJ247" i="15"/>
  <c r="AD238" i="15"/>
  <c r="AD233" i="15"/>
  <c r="AX238" i="15"/>
  <c r="AX233" i="15"/>
  <c r="AS194" i="15"/>
  <c r="AS196" i="15" s="1"/>
  <c r="AT166" i="15"/>
  <c r="AV141" i="15"/>
  <c r="AV173" i="15" s="1"/>
  <c r="AV174" i="15" s="1"/>
  <c r="AV154" i="15" s="1"/>
  <c r="AV140" i="15"/>
  <c r="AV152" i="15"/>
  <c r="AV169" i="15"/>
  <c r="AV170" i="15" s="1"/>
  <c r="BK196" i="15"/>
  <c r="BK208" i="15"/>
  <c r="BK220" i="15"/>
  <c r="BK194" i="15"/>
  <c r="AK247" i="15"/>
  <c r="AK252" i="15"/>
  <c r="AW141" i="15"/>
  <c r="AW173" i="15" s="1"/>
  <c r="AW174" i="15" s="1"/>
  <c r="AW154" i="15" s="1"/>
  <c r="AW140" i="15"/>
  <c r="AW152" i="15"/>
  <c r="AW169" i="15"/>
  <c r="AW170" i="15" s="1"/>
  <c r="BC141" i="15"/>
  <c r="BC173" i="15" s="1"/>
  <c r="BC174" i="15" s="1"/>
  <c r="BC154" i="15" s="1"/>
  <c r="BC140" i="15"/>
  <c r="BC152" i="15"/>
  <c r="BC169" i="15"/>
  <c r="BC170" i="15" s="1"/>
  <c r="AE194" i="15"/>
  <c r="AE196" i="15" s="1"/>
  <c r="AA238" i="15"/>
  <c r="AA233" i="15"/>
  <c r="AG194" i="15"/>
  <c r="X166" i="15"/>
  <c r="I193" i="15"/>
  <c r="I188" i="15"/>
  <c r="I189" i="15" s="1"/>
  <c r="J149" i="15"/>
  <c r="K151" i="15"/>
  <c r="J193" i="15"/>
  <c r="J194" i="15" s="1"/>
  <c r="J196" i="15" s="1"/>
  <c r="J188" i="15"/>
  <c r="J189" i="15" s="1"/>
  <c r="O149" i="15"/>
  <c r="O115" i="15"/>
  <c r="K193" i="15"/>
  <c r="K194" i="15" s="1"/>
  <c r="K196" i="15" s="1"/>
  <c r="K190" i="15"/>
  <c r="K191" i="15" s="1"/>
  <c r="F115" i="15"/>
  <c r="J115" i="15"/>
  <c r="Q115" i="15"/>
  <c r="E115" i="15"/>
  <c r="I165" i="15"/>
  <c r="I133" i="15" s="1"/>
  <c r="I166" i="15" s="1"/>
  <c r="F232" i="15"/>
  <c r="F238" i="15" s="1"/>
  <c r="H140" i="15"/>
  <c r="L193" i="15"/>
  <c r="L194" i="15" s="1"/>
  <c r="L196" i="15" s="1"/>
  <c r="L188" i="15"/>
  <c r="L189" i="15" s="1"/>
  <c r="F193" i="15"/>
  <c r="F194" i="15" s="1"/>
  <c r="F196" i="15" s="1"/>
  <c r="H152" i="15"/>
  <c r="H141" i="15"/>
  <c r="H173" i="15" s="1"/>
  <c r="H174" i="15" s="1"/>
  <c r="H154" i="15" s="1"/>
  <c r="H166" i="15"/>
  <c r="N232" i="15"/>
  <c r="N233" i="15" s="1"/>
  <c r="N115" i="15"/>
  <c r="L165" i="15"/>
  <c r="L133" i="15" s="1"/>
  <c r="L140" i="15" s="1"/>
  <c r="B115" i="15"/>
  <c r="N193" i="15"/>
  <c r="N194" i="15" s="1"/>
  <c r="N196" i="15" s="1"/>
  <c r="F149" i="15"/>
  <c r="B149" i="15"/>
  <c r="I115" i="15"/>
  <c r="BM114" i="15"/>
  <c r="R115" i="15"/>
  <c r="D246" i="15"/>
  <c r="D232" i="15"/>
  <c r="D134" i="15"/>
  <c r="D171" i="15" s="1"/>
  <c r="D151" i="15"/>
  <c r="D193" i="15"/>
  <c r="D194" i="15" s="1"/>
  <c r="D196" i="15" s="1"/>
  <c r="D201" i="15" s="1"/>
  <c r="D202" i="15" s="1"/>
  <c r="D188" i="15"/>
  <c r="D189" i="15" s="1"/>
  <c r="D190" i="15"/>
  <c r="D191" i="15" s="1"/>
  <c r="D115" i="15"/>
  <c r="D149" i="15"/>
  <c r="D165" i="15"/>
  <c r="D133" i="15" s="1"/>
  <c r="R190" i="15"/>
  <c r="R191" i="15" s="1"/>
  <c r="R188" i="15"/>
  <c r="R189" i="15" s="1"/>
  <c r="R193" i="15"/>
  <c r="R194" i="15" s="1"/>
  <c r="R196" i="15" s="1"/>
  <c r="R205" i="15" s="1"/>
  <c r="R206" i="15" s="1"/>
  <c r="R165" i="15"/>
  <c r="R133" i="15" s="1"/>
  <c r="R149" i="15"/>
  <c r="R232" i="15"/>
  <c r="R246" i="15"/>
  <c r="R134" i="15"/>
  <c r="R171" i="15" s="1"/>
  <c r="R151" i="15"/>
  <c r="C113" i="15"/>
  <c r="C115" i="15" s="1"/>
  <c r="K247" i="15"/>
  <c r="K252" i="15"/>
  <c r="G194" i="15"/>
  <c r="N141" i="15"/>
  <c r="N173" i="15" s="1"/>
  <c r="N174" i="15" s="1"/>
  <c r="N154" i="15" s="1"/>
  <c r="N140" i="15"/>
  <c r="N152" i="15"/>
  <c r="N169" i="15"/>
  <c r="N170" i="15" s="1"/>
  <c r="K233" i="15"/>
  <c r="K238" i="15"/>
  <c r="G233" i="15"/>
  <c r="G238" i="15"/>
  <c r="N166" i="15"/>
  <c r="K166" i="15"/>
  <c r="K140" i="15"/>
  <c r="K152" i="15"/>
  <c r="K169" i="15"/>
  <c r="K170" i="15" s="1"/>
  <c r="K141" i="15"/>
  <c r="K173" i="15" s="1"/>
  <c r="K174" i="15" s="1"/>
  <c r="K154" i="15" s="1"/>
  <c r="G247" i="15"/>
  <c r="G252" i="15"/>
  <c r="N252" i="15"/>
  <c r="N247" i="15"/>
  <c r="G141" i="15"/>
  <c r="G173" i="15" s="1"/>
  <c r="G174" i="15" s="1"/>
  <c r="G154" i="15" s="1"/>
  <c r="G140" i="15"/>
  <c r="G152" i="15"/>
  <c r="G169" i="15"/>
  <c r="G170" i="15" s="1"/>
  <c r="E232" i="15"/>
  <c r="E246" i="15"/>
  <c r="S194" i="15"/>
  <c r="H241" i="15"/>
  <c r="H242" i="15" s="1"/>
  <c r="H243" i="15"/>
  <c r="H244" i="15" s="1"/>
  <c r="H239" i="15"/>
  <c r="H240" i="15" s="1"/>
  <c r="O252" i="15"/>
  <c r="O247" i="15"/>
  <c r="BM151" i="15"/>
  <c r="S252" i="15"/>
  <c r="S247" i="15"/>
  <c r="L247" i="15"/>
  <c r="L252" i="15"/>
  <c r="M199" i="15"/>
  <c r="M200" i="15" s="1"/>
  <c r="M201" i="15"/>
  <c r="M202" i="15" s="1"/>
  <c r="M203" i="15"/>
  <c r="M204" i="15" s="1"/>
  <c r="M197" i="15"/>
  <c r="M198" i="15" s="1"/>
  <c r="M205" i="15"/>
  <c r="M206" i="15" s="1"/>
  <c r="H195" i="15"/>
  <c r="M241" i="15"/>
  <c r="M242" i="15" s="1"/>
  <c r="M239" i="15"/>
  <c r="M240" i="15" s="1"/>
  <c r="M243" i="15"/>
  <c r="M244" i="15" s="1"/>
  <c r="M248" i="15"/>
  <c r="M249" i="15" s="1"/>
  <c r="M250" i="15"/>
  <c r="M251" i="15" s="1"/>
  <c r="O141" i="15"/>
  <c r="O173" i="15" s="1"/>
  <c r="O174" i="15" s="1"/>
  <c r="O154" i="15" s="1"/>
  <c r="O140" i="15"/>
  <c r="O152" i="15"/>
  <c r="O169" i="15"/>
  <c r="O170" i="15" s="1"/>
  <c r="B247" i="15"/>
  <c r="B252" i="15"/>
  <c r="H250" i="15"/>
  <c r="H251" i="15" s="1"/>
  <c r="H248" i="15"/>
  <c r="H249" i="15" s="1"/>
  <c r="E188" i="15"/>
  <c r="E189" i="15" s="1"/>
  <c r="E193" i="15"/>
  <c r="E190" i="15"/>
  <c r="E191" i="15" s="1"/>
  <c r="I252" i="15"/>
  <c r="I247" i="15"/>
  <c r="C148" i="15"/>
  <c r="C164" i="15"/>
  <c r="H234" i="15"/>
  <c r="H235" i="15" s="1"/>
  <c r="H236" i="15"/>
  <c r="H237" i="15" s="1"/>
  <c r="T141" i="15"/>
  <c r="T173" i="15" s="1"/>
  <c r="T174" i="15" s="1"/>
  <c r="T154" i="15" s="1"/>
  <c r="T140" i="15"/>
  <c r="T169" i="15"/>
  <c r="T170" i="15" s="1"/>
  <c r="T152" i="15"/>
  <c r="BM134" i="15"/>
  <c r="BM171" i="15" s="1"/>
  <c r="O238" i="15"/>
  <c r="O233" i="15"/>
  <c r="H196" i="15"/>
  <c r="BM113" i="15"/>
  <c r="Q165" i="15"/>
  <c r="Q133" i="15" s="1"/>
  <c r="Q149" i="15"/>
  <c r="F141" i="15"/>
  <c r="F173" i="15" s="1"/>
  <c r="F174" i="15" s="1"/>
  <c r="F154" i="15" s="1"/>
  <c r="F140" i="15"/>
  <c r="F169" i="15"/>
  <c r="F170" i="15" s="1"/>
  <c r="F152" i="15"/>
  <c r="M139" i="15"/>
  <c r="M138" i="15"/>
  <c r="S238" i="15"/>
  <c r="S233" i="15"/>
  <c r="BM180" i="15"/>
  <c r="BM126" i="15"/>
  <c r="BM181" i="15" s="1"/>
  <c r="BM125" i="15"/>
  <c r="BM179" i="15"/>
  <c r="BM187" i="15" s="1"/>
  <c r="L233" i="15"/>
  <c r="L238" i="15"/>
  <c r="I194" i="15"/>
  <c r="I196" i="15" s="1"/>
  <c r="O166" i="15"/>
  <c r="B238" i="15"/>
  <c r="B233" i="15"/>
  <c r="Q232" i="15"/>
  <c r="Q246" i="15"/>
  <c r="H253" i="15"/>
  <c r="H254" i="15" s="1"/>
  <c r="H255" i="15"/>
  <c r="H256" i="15" s="1"/>
  <c r="H257" i="15"/>
  <c r="H258" i="15" s="1"/>
  <c r="T194" i="15"/>
  <c r="S141" i="15"/>
  <c r="S173" i="15" s="1"/>
  <c r="S174" i="15" s="1"/>
  <c r="S154" i="15" s="1"/>
  <c r="S140" i="15"/>
  <c r="S169" i="15"/>
  <c r="S170" i="15" s="1"/>
  <c r="S152" i="15"/>
  <c r="J141" i="15"/>
  <c r="J173" i="15" s="1"/>
  <c r="J174" i="15" s="1"/>
  <c r="J154" i="15" s="1"/>
  <c r="J140" i="15"/>
  <c r="J152" i="15"/>
  <c r="J169" i="15"/>
  <c r="J170" i="15" s="1"/>
  <c r="C167" i="15"/>
  <c r="T238" i="15"/>
  <c r="T233" i="15"/>
  <c r="P233" i="15"/>
  <c r="P238" i="15"/>
  <c r="P141" i="15"/>
  <c r="P173" i="15" s="1"/>
  <c r="P174" i="15" s="1"/>
  <c r="P154" i="15" s="1"/>
  <c r="P140" i="15"/>
  <c r="P152" i="15"/>
  <c r="P169" i="15"/>
  <c r="P170" i="15" s="1"/>
  <c r="H139" i="15"/>
  <c r="H138" i="15"/>
  <c r="B141" i="15"/>
  <c r="B173" i="15" s="1"/>
  <c r="B174" i="15" s="1"/>
  <c r="B154" i="15" s="1"/>
  <c r="B140" i="15"/>
  <c r="B169" i="15"/>
  <c r="B170" i="15" s="1"/>
  <c r="B152" i="15"/>
  <c r="I238" i="15"/>
  <c r="I233" i="15"/>
  <c r="J252" i="15"/>
  <c r="J247" i="15"/>
  <c r="F252" i="15"/>
  <c r="F247" i="15"/>
  <c r="E149" i="15"/>
  <c r="E165" i="15"/>
  <c r="E133" i="15" s="1"/>
  <c r="E166" i="15" s="1"/>
  <c r="Q151" i="15"/>
  <c r="Q134" i="15"/>
  <c r="Q171" i="15" s="1"/>
  <c r="C180" i="15"/>
  <c r="C126" i="15"/>
  <c r="C181" i="15" s="1"/>
  <c r="C125" i="15"/>
  <c r="C179" i="15"/>
  <c r="C187" i="15" s="1"/>
  <c r="J238" i="15"/>
  <c r="J233" i="15"/>
  <c r="O194" i="15"/>
  <c r="O196" i="15" s="1"/>
  <c r="B194" i="15"/>
  <c r="M234" i="15"/>
  <c r="M235" i="15" s="1"/>
  <c r="M236" i="15"/>
  <c r="M237" i="15" s="1"/>
  <c r="P194" i="15"/>
  <c r="BM148" i="15"/>
  <c r="BM164" i="15"/>
  <c r="M257" i="15"/>
  <c r="M258" i="15" s="1"/>
  <c r="M255" i="15"/>
  <c r="M256" i="15" s="1"/>
  <c r="M253" i="15"/>
  <c r="M254" i="15" s="1"/>
  <c r="T247" i="15"/>
  <c r="T252" i="15"/>
  <c r="P247" i="15"/>
  <c r="P252" i="15"/>
  <c r="Q188" i="15"/>
  <c r="Q189" i="15" s="1"/>
  <c r="Q190" i="15"/>
  <c r="Q191" i="15" s="1"/>
  <c r="Q193" i="15"/>
  <c r="B166" i="15"/>
  <c r="M195" i="15"/>
  <c r="M207" i="15"/>
  <c r="M208" i="15" s="1"/>
  <c r="AZ279" i="13"/>
  <c r="B279" i="13"/>
  <c r="AX279" i="13"/>
  <c r="G279" i="13"/>
  <c r="AJ279" i="13"/>
  <c r="AR279" i="13"/>
  <c r="AN279" i="13"/>
  <c r="AD279" i="13"/>
  <c r="Y279" i="13"/>
  <c r="AE279" i="13"/>
  <c r="Z279" i="13"/>
  <c r="M279" i="13"/>
  <c r="S279" i="13"/>
  <c r="T279" i="14"/>
  <c r="R279" i="14"/>
  <c r="AX280" i="13"/>
  <c r="AJ280" i="13"/>
  <c r="AD280" i="13"/>
  <c r="AZ280" i="13"/>
  <c r="G280" i="13"/>
  <c r="B280" i="13"/>
  <c r="K280" i="14"/>
  <c r="M280" i="14"/>
  <c r="AE280" i="13"/>
  <c r="AR280" i="13"/>
  <c r="Z280" i="13"/>
  <c r="AN280" i="13"/>
  <c r="Y280" i="13"/>
  <c r="AR177" i="13" l="1"/>
  <c r="AJ177" i="13"/>
  <c r="G177" i="13"/>
  <c r="AX177" i="13"/>
  <c r="AZ177" i="13"/>
  <c r="D218" i="13"/>
  <c r="D219" i="13" s="1"/>
  <c r="D216" i="13"/>
  <c r="D217" i="13" s="1"/>
  <c r="D220" i="13"/>
  <c r="D221" i="13" s="1"/>
  <c r="D214" i="13"/>
  <c r="D215" i="13" s="1"/>
  <c r="D222" i="13"/>
  <c r="D223" i="13" s="1"/>
  <c r="W242" i="13"/>
  <c r="W243" i="13" s="1"/>
  <c r="W244" i="13"/>
  <c r="W245" i="13" s="1"/>
  <c r="I218" i="13"/>
  <c r="I219" i="13" s="1"/>
  <c r="I216" i="13"/>
  <c r="I217" i="13" s="1"/>
  <c r="I220" i="13"/>
  <c r="I221" i="13" s="1"/>
  <c r="I222" i="13"/>
  <c r="I223" i="13" s="1"/>
  <c r="I214" i="13"/>
  <c r="I215" i="13" s="1"/>
  <c r="AV246" i="13"/>
  <c r="AV247" i="13" s="1"/>
  <c r="AV238" i="13"/>
  <c r="AV239" i="13" s="1"/>
  <c r="AV240" i="13"/>
  <c r="AV241" i="13" s="1"/>
  <c r="AV242" i="13"/>
  <c r="AV243" i="13" s="1"/>
  <c r="AV277" i="13" s="1"/>
  <c r="AV244" i="13"/>
  <c r="AV245" i="13" s="1"/>
  <c r="AQ226" i="13"/>
  <c r="AQ227" i="13" s="1"/>
  <c r="AQ277" i="13" s="1"/>
  <c r="AK277" i="13"/>
  <c r="BE242" i="13"/>
  <c r="BE243" i="13" s="1"/>
  <c r="AA244" i="13"/>
  <c r="AA245" i="13" s="1"/>
  <c r="AA242" i="13"/>
  <c r="AA243" i="13" s="1"/>
  <c r="R214" i="13"/>
  <c r="R215" i="13" s="1"/>
  <c r="R222" i="13"/>
  <c r="R223" i="13" s="1"/>
  <c r="R220" i="13"/>
  <c r="R221" i="13" s="1"/>
  <c r="R216" i="13"/>
  <c r="R217" i="13" s="1"/>
  <c r="R218" i="13"/>
  <c r="R219" i="13" s="1"/>
  <c r="R236" i="13"/>
  <c r="R237" i="13" s="1"/>
  <c r="L232" i="13"/>
  <c r="L233" i="13" s="1"/>
  <c r="L234" i="13"/>
  <c r="L235" i="13" s="1"/>
  <c r="L226" i="13"/>
  <c r="L227" i="13" s="1"/>
  <c r="L228" i="13"/>
  <c r="L229" i="13" s="1"/>
  <c r="L230" i="13"/>
  <c r="L231" i="13" s="1"/>
  <c r="AX183" i="13"/>
  <c r="AX182" i="13"/>
  <c r="AX150" i="13" s="1"/>
  <c r="AX166" i="13"/>
  <c r="AP181" i="13"/>
  <c r="AP184" i="13"/>
  <c r="AP165" i="13"/>
  <c r="BN173" i="13"/>
  <c r="BN163" i="13"/>
  <c r="BN145" i="13"/>
  <c r="BN149" i="13"/>
  <c r="BN164" i="13"/>
  <c r="BA236" i="13"/>
  <c r="BA237" i="13" s="1"/>
  <c r="BA230" i="13"/>
  <c r="BA231" i="13" s="1"/>
  <c r="I224" i="13"/>
  <c r="I225" i="13" s="1"/>
  <c r="I236" i="13" s="1"/>
  <c r="I237" i="13" s="1"/>
  <c r="I212" i="13"/>
  <c r="AX168" i="13"/>
  <c r="AX151" i="13"/>
  <c r="AX188" i="13" s="1"/>
  <c r="AM228" i="13"/>
  <c r="AM229" i="13" s="1"/>
  <c r="BA226" i="13"/>
  <c r="BA227" i="13" s="1"/>
  <c r="O165" i="13"/>
  <c r="O181" i="13"/>
  <c r="O184" i="13"/>
  <c r="BG244" i="13"/>
  <c r="BG245" i="13" s="1"/>
  <c r="BG246" i="13"/>
  <c r="BG247" i="13" s="1"/>
  <c r="BG242" i="13"/>
  <c r="BG243" i="13" s="1"/>
  <c r="BG240" i="13"/>
  <c r="BG241" i="13" s="1"/>
  <c r="I120" i="13"/>
  <c r="I130" i="13" s="1"/>
  <c r="I132" i="13" s="1"/>
  <c r="I189" i="13"/>
  <c r="I139" i="13"/>
  <c r="I138" i="13"/>
  <c r="I199" i="13" s="1"/>
  <c r="AW238" i="13"/>
  <c r="AW239" i="13" s="1"/>
  <c r="AW246" i="13"/>
  <c r="AW247" i="13" s="1"/>
  <c r="AW242" i="13"/>
  <c r="AW243" i="13" s="1"/>
  <c r="AW240" i="13"/>
  <c r="AW241" i="13" s="1"/>
  <c r="AW277" i="13" s="1"/>
  <c r="AW244" i="13"/>
  <c r="AW245" i="13" s="1"/>
  <c r="E240" i="13"/>
  <c r="E241" i="13" s="1"/>
  <c r="E238" i="13"/>
  <c r="E239" i="13" s="1"/>
  <c r="E246" i="13"/>
  <c r="E247" i="13" s="1"/>
  <c r="E244" i="13"/>
  <c r="E245" i="13" s="1"/>
  <c r="E242" i="13"/>
  <c r="E243" i="13" s="1"/>
  <c r="H277" i="13"/>
  <c r="BD233" i="13"/>
  <c r="V234" i="13"/>
  <c r="V235" i="13" s="1"/>
  <c r="E234" i="13"/>
  <c r="E235" i="13" s="1"/>
  <c r="E228" i="13"/>
  <c r="E229" i="13" s="1"/>
  <c r="E277" i="13" s="1"/>
  <c r="E226" i="13"/>
  <c r="E227" i="13" s="1"/>
  <c r="E230" i="13"/>
  <c r="E231" i="13" s="1"/>
  <c r="E232" i="13"/>
  <c r="E233" i="13" s="1"/>
  <c r="R232" i="13"/>
  <c r="R233" i="13" s="1"/>
  <c r="R228" i="13"/>
  <c r="R229" i="13" s="1"/>
  <c r="R234" i="13"/>
  <c r="R235" i="13" s="1"/>
  <c r="R226" i="13"/>
  <c r="R227" i="13" s="1"/>
  <c r="R230" i="13"/>
  <c r="R231" i="13" s="1"/>
  <c r="I111" i="13"/>
  <c r="AU240" i="13"/>
  <c r="AU241" i="13" s="1"/>
  <c r="AU244" i="13"/>
  <c r="AU245" i="13" s="1"/>
  <c r="AU246" i="13"/>
  <c r="AU247" i="13" s="1"/>
  <c r="AU238" i="13"/>
  <c r="AU239" i="13" s="1"/>
  <c r="AU242" i="13"/>
  <c r="AU243" i="13" s="1"/>
  <c r="Q224" i="13"/>
  <c r="Q225" i="13" s="1"/>
  <c r="Q218" i="13"/>
  <c r="Q219" i="13" s="1"/>
  <c r="Q220" i="13"/>
  <c r="Q221" i="13" s="1"/>
  <c r="Q216" i="13"/>
  <c r="Q217" i="13" s="1"/>
  <c r="Q214" i="13"/>
  <c r="Q215" i="13" s="1"/>
  <c r="Q222" i="13"/>
  <c r="Q223" i="13" s="1"/>
  <c r="V228" i="13"/>
  <c r="V229" i="13" s="1"/>
  <c r="C277" i="13"/>
  <c r="BA232" i="13"/>
  <c r="BA233" i="13" s="1"/>
  <c r="AP277" i="13"/>
  <c r="Q212" i="13"/>
  <c r="Q236" i="13"/>
  <c r="Q237" i="13" s="1"/>
  <c r="V230" i="13"/>
  <c r="V231" i="13" s="1"/>
  <c r="BF233" i="13"/>
  <c r="D224" i="13"/>
  <c r="D225" i="13" s="1"/>
  <c r="D212" i="13"/>
  <c r="BI240" i="13"/>
  <c r="BI241" i="13" s="1"/>
  <c r="BI238" i="13"/>
  <c r="BI239" i="13" s="1"/>
  <c r="BI277" i="13" s="1"/>
  <c r="BI242" i="13"/>
  <c r="BI243" i="13" s="1"/>
  <c r="AT168" i="13"/>
  <c r="AT151" i="13"/>
  <c r="AT188" i="13" s="1"/>
  <c r="BN224" i="13"/>
  <c r="BN225" i="13" s="1"/>
  <c r="BN220" i="13"/>
  <c r="BN221" i="13" s="1"/>
  <c r="BN214" i="13"/>
  <c r="BN215" i="13" s="1"/>
  <c r="BN218" i="13"/>
  <c r="BN219" i="13" s="1"/>
  <c r="BN222" i="13"/>
  <c r="BN223" i="13" s="1"/>
  <c r="BN216" i="13"/>
  <c r="BN217" i="13" s="1"/>
  <c r="AQ219" i="13"/>
  <c r="V232" i="13"/>
  <c r="V233" i="13" s="1"/>
  <c r="N163" i="13"/>
  <c r="N149" i="13"/>
  <c r="N145" i="13"/>
  <c r="N164" i="13"/>
  <c r="N173" i="13"/>
  <c r="E181" i="13"/>
  <c r="E165" i="13"/>
  <c r="E184" i="13"/>
  <c r="O238" i="13"/>
  <c r="O239" i="13" s="1"/>
  <c r="O277" i="13" s="1"/>
  <c r="O246" i="13"/>
  <c r="O247" i="13" s="1"/>
  <c r="O244" i="13"/>
  <c r="O245" i="13" s="1"/>
  <c r="O240" i="13"/>
  <c r="O241" i="13" s="1"/>
  <c r="O242" i="13"/>
  <c r="O243" i="13" s="1"/>
  <c r="P277" i="13"/>
  <c r="AQ234" i="13"/>
  <c r="AQ235" i="13" s="1"/>
  <c r="V226" i="13"/>
  <c r="V227" i="13" s="1"/>
  <c r="K277" i="13"/>
  <c r="BE238" i="13"/>
  <c r="BE239" i="13" s="1"/>
  <c r="BE277" i="13" s="1"/>
  <c r="N216" i="13"/>
  <c r="N217" i="13" s="1"/>
  <c r="N220" i="13"/>
  <c r="N221" i="13" s="1"/>
  <c r="N214" i="13"/>
  <c r="N215" i="13" s="1"/>
  <c r="N218" i="13"/>
  <c r="N219" i="13" s="1"/>
  <c r="N222" i="13"/>
  <c r="N223" i="13" s="1"/>
  <c r="T224" i="13"/>
  <c r="T225" i="13" s="1"/>
  <c r="T222" i="13"/>
  <c r="T223" i="13" s="1"/>
  <c r="T216" i="13"/>
  <c r="T217" i="13" s="1"/>
  <c r="T218" i="13"/>
  <c r="T219" i="13" s="1"/>
  <c r="T214" i="13"/>
  <c r="T215" i="13" s="1"/>
  <c r="T220" i="13"/>
  <c r="T221" i="13" s="1"/>
  <c r="AT182" i="13"/>
  <c r="AT150" i="13" s="1"/>
  <c r="AT166" i="13"/>
  <c r="AT183" i="13"/>
  <c r="AT277" i="13"/>
  <c r="AY236" i="13"/>
  <c r="AY237" i="13" s="1"/>
  <c r="AY246" i="13" s="1"/>
  <c r="AY247" i="13" s="1"/>
  <c r="BH234" i="13"/>
  <c r="BH235" i="13" s="1"/>
  <c r="AY219" i="13"/>
  <c r="AQ230" i="13"/>
  <c r="AQ231" i="13" s="1"/>
  <c r="BF236" i="13"/>
  <c r="BF237" i="13" s="1"/>
  <c r="AA240" i="13"/>
  <c r="AA241" i="13" s="1"/>
  <c r="AA277" i="13" s="1"/>
  <c r="BA228" i="13"/>
  <c r="BA229" i="13" s="1"/>
  <c r="BG238" i="13"/>
  <c r="BG239" i="13" s="1"/>
  <c r="BN212" i="13"/>
  <c r="BN236" i="13"/>
  <c r="BN237" i="13" s="1"/>
  <c r="L236" i="13"/>
  <c r="L237" i="13" s="1"/>
  <c r="N212" i="13"/>
  <c r="N224" i="13"/>
  <c r="N225" i="13" s="1"/>
  <c r="N236" i="13"/>
  <c r="N237" i="13" s="1"/>
  <c r="D165" i="13"/>
  <c r="D181" i="13"/>
  <c r="D184" i="13"/>
  <c r="BH240" i="13"/>
  <c r="BH241" i="13" s="1"/>
  <c r="BH242" i="13"/>
  <c r="BH243" i="13" s="1"/>
  <c r="BH277" i="13" s="1"/>
  <c r="BH244" i="13"/>
  <c r="BH245" i="13" s="1"/>
  <c r="BH246" i="13"/>
  <c r="BH247" i="13" s="1"/>
  <c r="BH238" i="13"/>
  <c r="BH239" i="13" s="1"/>
  <c r="BJ244" i="13"/>
  <c r="BJ245" i="13" s="1"/>
  <c r="BJ246" i="13"/>
  <c r="BJ247" i="13" s="1"/>
  <c r="BJ242" i="13"/>
  <c r="BJ243" i="13" s="1"/>
  <c r="BJ238" i="13"/>
  <c r="BJ239" i="13" s="1"/>
  <c r="BJ240" i="13"/>
  <c r="BJ241" i="13" s="1"/>
  <c r="AY228" i="13"/>
  <c r="AY229" i="13" s="1"/>
  <c r="AY234" i="13"/>
  <c r="AY235" i="13" s="1"/>
  <c r="BD230" i="13"/>
  <c r="BD231" i="13" s="1"/>
  <c r="BJ226" i="13"/>
  <c r="BJ227" i="13" s="1"/>
  <c r="BD236" i="13"/>
  <c r="BD237" i="13" s="1"/>
  <c r="BD226" i="13"/>
  <c r="BD227" i="13" s="1"/>
  <c r="BB234" i="13"/>
  <c r="BB235" i="13" s="1"/>
  <c r="BF238" i="13"/>
  <c r="BF239" i="13" s="1"/>
  <c r="BB230" i="13"/>
  <c r="BB231" i="13" s="1"/>
  <c r="BF244" i="13"/>
  <c r="BF245" i="13" s="1"/>
  <c r="BB236" i="13"/>
  <c r="BB237" i="13" s="1"/>
  <c r="BB228" i="13"/>
  <c r="BB229" i="13" s="1"/>
  <c r="AS242" i="13"/>
  <c r="AS243" i="13" s="1"/>
  <c r="AS246" i="13"/>
  <c r="AS247" i="13" s="1"/>
  <c r="AS240" i="13"/>
  <c r="AS241" i="13" s="1"/>
  <c r="AS244" i="13"/>
  <c r="AS245" i="13" s="1"/>
  <c r="AS238" i="13"/>
  <c r="AS239" i="13" s="1"/>
  <c r="AQ246" i="13"/>
  <c r="AQ247" i="13" s="1"/>
  <c r="AQ242" i="13"/>
  <c r="AQ243" i="13" s="1"/>
  <c r="AQ240" i="13"/>
  <c r="AQ241" i="13" s="1"/>
  <c r="AQ238" i="13"/>
  <c r="AQ239" i="13" s="1"/>
  <c r="AQ244" i="13"/>
  <c r="AQ245" i="13" s="1"/>
  <c r="AM232" i="13"/>
  <c r="AM233" i="13" s="1"/>
  <c r="AM230" i="13"/>
  <c r="AM231" i="13" s="1"/>
  <c r="AM236" i="13"/>
  <c r="AM237" i="13" s="1"/>
  <c r="AH230" i="13"/>
  <c r="AH231" i="13" s="1"/>
  <c r="AM234" i="13"/>
  <c r="AM235" i="13" s="1"/>
  <c r="AH232" i="13"/>
  <c r="AH233" i="13" s="1"/>
  <c r="AH234" i="13"/>
  <c r="AH235" i="13" s="1"/>
  <c r="AI246" i="13"/>
  <c r="AI247" i="13" s="1"/>
  <c r="AI242" i="13"/>
  <c r="AI243" i="13" s="1"/>
  <c r="AI244" i="13"/>
  <c r="AI245" i="13" s="1"/>
  <c r="AI238" i="13"/>
  <c r="AI239" i="13" s="1"/>
  <c r="AI240" i="13"/>
  <c r="AI241" i="13" s="1"/>
  <c r="AH236" i="13"/>
  <c r="AH237" i="13" s="1"/>
  <c r="AQ232" i="13"/>
  <c r="AQ233" i="13" s="1"/>
  <c r="AF238" i="13"/>
  <c r="AF239" i="13" s="1"/>
  <c r="AF240" i="13"/>
  <c r="AF241" i="13" s="1"/>
  <c r="AF277" i="13" s="1"/>
  <c r="AF242" i="13"/>
  <c r="AF243" i="13" s="1"/>
  <c r="AF246" i="13"/>
  <c r="AF247" i="13" s="1"/>
  <c r="AF244" i="13"/>
  <c r="AF245" i="13" s="1"/>
  <c r="V238" i="13"/>
  <c r="V239" i="13" s="1"/>
  <c r="V242" i="13"/>
  <c r="V243" i="13" s="1"/>
  <c r="V244" i="13"/>
  <c r="V245" i="13" s="1"/>
  <c r="V240" i="13"/>
  <c r="V241" i="13" s="1"/>
  <c r="V246" i="13"/>
  <c r="V247" i="13" s="1"/>
  <c r="AC238" i="13"/>
  <c r="AC239" i="13" s="1"/>
  <c r="AC244" i="13"/>
  <c r="AC245" i="13" s="1"/>
  <c r="AC277" i="13" s="1"/>
  <c r="AC242" i="13"/>
  <c r="AC243" i="13" s="1"/>
  <c r="AC246" i="13"/>
  <c r="AC247" i="13" s="1"/>
  <c r="AC240" i="13"/>
  <c r="AC241" i="13" s="1"/>
  <c r="W240" i="13"/>
  <c r="W241" i="13" s="1"/>
  <c r="AF230" i="13"/>
  <c r="AF231" i="13" s="1"/>
  <c r="W238" i="13"/>
  <c r="W239" i="13" s="1"/>
  <c r="AF232" i="13"/>
  <c r="AF233" i="13" s="1"/>
  <c r="X246" i="13"/>
  <c r="X247" i="13" s="1"/>
  <c r="X244" i="13"/>
  <c r="X245" i="13" s="1"/>
  <c r="X238" i="13"/>
  <c r="X239" i="13" s="1"/>
  <c r="X242" i="13"/>
  <c r="X243" i="13" s="1"/>
  <c r="X240" i="13"/>
  <c r="X241" i="13" s="1"/>
  <c r="W246" i="13"/>
  <c r="W247" i="13" s="1"/>
  <c r="AF226" i="13"/>
  <c r="AF227" i="13" s="1"/>
  <c r="AF228" i="13"/>
  <c r="AF229" i="13" s="1"/>
  <c r="AF234" i="13"/>
  <c r="AF235" i="13" s="1"/>
  <c r="AN177" i="13"/>
  <c r="AD177" i="13"/>
  <c r="Y177" i="13"/>
  <c r="Z177" i="13"/>
  <c r="B177" i="13"/>
  <c r="AE177" i="13"/>
  <c r="M177" i="14"/>
  <c r="K177" i="14"/>
  <c r="J222" i="13"/>
  <c r="J223" i="13" s="1"/>
  <c r="J216" i="13"/>
  <c r="J217" i="13" s="1"/>
  <c r="J220" i="13"/>
  <c r="J221" i="13" s="1"/>
  <c r="J214" i="13"/>
  <c r="J215" i="13" s="1"/>
  <c r="J218" i="13"/>
  <c r="J219" i="13" s="1"/>
  <c r="D246" i="14"/>
  <c r="D247" i="14" s="1"/>
  <c r="D242" i="14"/>
  <c r="D243" i="14" s="1"/>
  <c r="D238" i="14"/>
  <c r="D239" i="14" s="1"/>
  <c r="D240" i="14"/>
  <c r="D241" i="14" s="1"/>
  <c r="D244" i="14"/>
  <c r="D245" i="14" s="1"/>
  <c r="I160" i="1"/>
  <c r="I139" i="1"/>
  <c r="I161" i="1"/>
  <c r="I146" i="1"/>
  <c r="I142" i="1"/>
  <c r="I170" i="1"/>
  <c r="F218" i="13"/>
  <c r="F222" i="13"/>
  <c r="F223" i="13" s="1"/>
  <c r="F214" i="13"/>
  <c r="F215" i="13" s="1"/>
  <c r="F216" i="13"/>
  <c r="F217" i="13" s="1"/>
  <c r="F220" i="13"/>
  <c r="F221" i="13" s="1"/>
  <c r="BC212" i="13"/>
  <c r="BC224" i="13"/>
  <c r="BC225" i="13" s="1"/>
  <c r="BC236" i="13" s="1"/>
  <c r="BC237" i="13" s="1"/>
  <c r="AL218" i="13"/>
  <c r="AL219" i="13" s="1"/>
  <c r="AL216" i="13"/>
  <c r="AL217" i="13" s="1"/>
  <c r="AL220" i="13"/>
  <c r="AL221" i="13" s="1"/>
  <c r="AL222" i="13"/>
  <c r="AL223" i="13" s="1"/>
  <c r="AL214" i="13"/>
  <c r="AL215" i="13" s="1"/>
  <c r="G158" i="13"/>
  <c r="G190" i="13" s="1"/>
  <c r="G191" i="13" s="1"/>
  <c r="G171" i="13" s="1"/>
  <c r="G157" i="13"/>
  <c r="G169" i="13"/>
  <c r="G186" i="13"/>
  <c r="G187" i="13" s="1"/>
  <c r="H204" i="1"/>
  <c r="H205" i="1" s="1"/>
  <c r="H202" i="1"/>
  <c r="H203" i="1" s="1"/>
  <c r="H207" i="1"/>
  <c r="L213" i="1"/>
  <c r="L214" i="1" s="1"/>
  <c r="L217" i="1"/>
  <c r="L218" i="1" s="1"/>
  <c r="L211" i="1"/>
  <c r="L212" i="1" s="1"/>
  <c r="L219" i="1"/>
  <c r="L220" i="1" s="1"/>
  <c r="L215" i="1"/>
  <c r="L216" i="1" s="1"/>
  <c r="BI165" i="13"/>
  <c r="BI181" i="13"/>
  <c r="BI184" i="13"/>
  <c r="S246" i="1"/>
  <c r="S260" i="1"/>
  <c r="BG182" i="13"/>
  <c r="BG150" i="13" s="1"/>
  <c r="BG166" i="13"/>
  <c r="AE168" i="13"/>
  <c r="AE151" i="13"/>
  <c r="AE188" i="13" s="1"/>
  <c r="O244" i="14"/>
  <c r="O245" i="14" s="1"/>
  <c r="O242" i="14"/>
  <c r="O243" i="14" s="1"/>
  <c r="O238" i="14"/>
  <c r="O239" i="14" s="1"/>
  <c r="O240" i="14"/>
  <c r="O241" i="14" s="1"/>
  <c r="O246" i="14"/>
  <c r="O247" i="14" s="1"/>
  <c r="B168" i="13"/>
  <c r="B151" i="13"/>
  <c r="B188" i="13" s="1"/>
  <c r="Z168" i="13"/>
  <c r="Z151" i="13"/>
  <c r="Z188" i="13" s="1"/>
  <c r="B156" i="14"/>
  <c r="B155" i="14"/>
  <c r="J204" i="1"/>
  <c r="J205" i="1" s="1"/>
  <c r="J202" i="1"/>
  <c r="J203" i="1" s="1"/>
  <c r="J207" i="1"/>
  <c r="AG120" i="13"/>
  <c r="AG130" i="13" s="1"/>
  <c r="AG132" i="13" s="1"/>
  <c r="AG189" i="13"/>
  <c r="AG138" i="13"/>
  <c r="AG199" i="13" s="1"/>
  <c r="AG139" i="13"/>
  <c r="BH145" i="13"/>
  <c r="BH164" i="13"/>
  <c r="BH173" i="13"/>
  <c r="BH149" i="13"/>
  <c r="BH163" i="13"/>
  <c r="J165" i="1"/>
  <c r="J185" i="1"/>
  <c r="J148" i="1"/>
  <c r="AI165" i="13"/>
  <c r="AI181" i="13"/>
  <c r="AI184" i="13"/>
  <c r="AG224" i="13"/>
  <c r="AG225" i="13" s="1"/>
  <c r="AG234" i="13" s="1"/>
  <c r="AG235" i="13" s="1"/>
  <c r="AG212" i="13"/>
  <c r="AE183" i="13"/>
  <c r="AE166" i="13"/>
  <c r="AE182" i="13"/>
  <c r="AE150" i="13" s="1"/>
  <c r="F111" i="13"/>
  <c r="O216" i="14"/>
  <c r="O217" i="14" s="1"/>
  <c r="O222" i="14"/>
  <c r="O223" i="14" s="1"/>
  <c r="O214" i="14"/>
  <c r="O215" i="14" s="1"/>
  <c r="O220" i="14"/>
  <c r="O221" i="14" s="1"/>
  <c r="O277" i="14" s="1"/>
  <c r="O218" i="14"/>
  <c r="O219" i="14" s="1"/>
  <c r="BA165" i="13"/>
  <c r="BA181" i="13"/>
  <c r="BA184" i="13"/>
  <c r="AB212" i="13"/>
  <c r="AB224" i="13"/>
  <c r="AB225" i="13" s="1"/>
  <c r="AB230" i="13" s="1"/>
  <c r="AB231" i="13" s="1"/>
  <c r="B182" i="13"/>
  <c r="B150" i="13" s="1"/>
  <c r="B183" i="13" s="1"/>
  <c r="B166" i="13"/>
  <c r="Z183" i="13"/>
  <c r="Z166" i="13"/>
  <c r="Z182" i="13"/>
  <c r="Z150" i="13" s="1"/>
  <c r="J260" i="1"/>
  <c r="J246" i="1"/>
  <c r="AA165" i="13"/>
  <c r="AA184" i="13"/>
  <c r="AA181" i="13"/>
  <c r="M165" i="1"/>
  <c r="M148" i="1"/>
  <c r="M185" i="1" s="1"/>
  <c r="G267" i="14"/>
  <c r="G268" i="14" s="1"/>
  <c r="G265" i="14"/>
  <c r="G266" i="14" s="1"/>
  <c r="T261" i="1"/>
  <c r="T266" i="1"/>
  <c r="AF163" i="13"/>
  <c r="AF164" i="13"/>
  <c r="AF145" i="13"/>
  <c r="AF149" i="13"/>
  <c r="AF173" i="13"/>
  <c r="Q139" i="1"/>
  <c r="Q160" i="1"/>
  <c r="Q142" i="1"/>
  <c r="Q161" i="1"/>
  <c r="Q170" i="1"/>
  <c r="Q146" i="1"/>
  <c r="U173" i="13"/>
  <c r="U163" i="13"/>
  <c r="U164" i="13"/>
  <c r="U145" i="13"/>
  <c r="U149" i="13"/>
  <c r="M168" i="13"/>
  <c r="M151" i="13"/>
  <c r="M188" i="13" s="1"/>
  <c r="G141" i="1"/>
  <c r="G195" i="1" s="1"/>
  <c r="G194" i="1"/>
  <c r="G193" i="1"/>
  <c r="G201" i="1" s="1"/>
  <c r="G140" i="1"/>
  <c r="AJ168" i="13"/>
  <c r="AJ188" i="13"/>
  <c r="AJ151" i="13"/>
  <c r="M163" i="1"/>
  <c r="M179" i="1"/>
  <c r="M147" i="1" s="1"/>
  <c r="V165" i="13"/>
  <c r="V181" i="13"/>
  <c r="V184" i="13"/>
  <c r="I119" i="1"/>
  <c r="I129" i="1" s="1"/>
  <c r="I131" i="1" s="1"/>
  <c r="I186" i="1"/>
  <c r="I136" i="1"/>
  <c r="I196" i="1" s="1"/>
  <c r="I137" i="1"/>
  <c r="G274" i="14"/>
  <c r="G275" i="14" s="1"/>
  <c r="G272" i="14"/>
  <c r="G273" i="14" s="1"/>
  <c r="G270" i="14"/>
  <c r="G271" i="14" s="1"/>
  <c r="R168" i="13"/>
  <c r="R188" i="13"/>
  <c r="R151" i="13"/>
  <c r="O165" i="1"/>
  <c r="O148" i="1"/>
  <c r="O185" i="1" s="1"/>
  <c r="D232" i="14"/>
  <c r="D233" i="14" s="1"/>
  <c r="D230" i="14"/>
  <c r="D231" i="14" s="1"/>
  <c r="D234" i="14"/>
  <c r="D235" i="14" s="1"/>
  <c r="D226" i="14"/>
  <c r="D227" i="14" s="1"/>
  <c r="D228" i="14"/>
  <c r="D229" i="14" s="1"/>
  <c r="T155" i="1"/>
  <c r="T187" i="1" s="1"/>
  <c r="T188" i="1" s="1"/>
  <c r="T168" i="1" s="1"/>
  <c r="T154" i="1"/>
  <c r="T166" i="1"/>
  <c r="T183" i="1"/>
  <c r="T184" i="1" s="1"/>
  <c r="AZ156" i="13"/>
  <c r="AZ155" i="13"/>
  <c r="M168" i="14"/>
  <c r="M151" i="14"/>
  <c r="M188" i="14" s="1"/>
  <c r="H165" i="1"/>
  <c r="H185" i="1"/>
  <c r="H148" i="1"/>
  <c r="AB218" i="13"/>
  <c r="AB219" i="13" s="1"/>
  <c r="AB222" i="13"/>
  <c r="AB223" i="13" s="1"/>
  <c r="AB214" i="13"/>
  <c r="AB215" i="13" s="1"/>
  <c r="AB216" i="13"/>
  <c r="AB217" i="13" s="1"/>
  <c r="AB220" i="13"/>
  <c r="AB221" i="13" s="1"/>
  <c r="B162" i="1"/>
  <c r="B178" i="1"/>
  <c r="B181" i="1"/>
  <c r="O202" i="1"/>
  <c r="O203" i="1" s="1"/>
  <c r="O204" i="1"/>
  <c r="O205" i="1" s="1"/>
  <c r="O207" i="1"/>
  <c r="P162" i="1"/>
  <c r="P178" i="1"/>
  <c r="P181" i="1"/>
  <c r="R162" i="1"/>
  <c r="R178" i="1"/>
  <c r="R181" i="1"/>
  <c r="BB165" i="13"/>
  <c r="BB181" i="13"/>
  <c r="BB184" i="13"/>
  <c r="AG216" i="13"/>
  <c r="AG217" i="13" s="1"/>
  <c r="AG220" i="13"/>
  <c r="AG221" i="13" s="1"/>
  <c r="AG222" i="13"/>
  <c r="AG223" i="13" s="1"/>
  <c r="AG214" i="13"/>
  <c r="AG215" i="13" s="1"/>
  <c r="AG218" i="13"/>
  <c r="AG219" i="13" s="1"/>
  <c r="U210" i="14"/>
  <c r="U205" i="14"/>
  <c r="U206" i="14" s="1"/>
  <c r="U207" i="14"/>
  <c r="U208" i="14" s="1"/>
  <c r="T247" i="1"/>
  <c r="T252" i="1"/>
  <c r="T168" i="14"/>
  <c r="T151" i="14"/>
  <c r="T188" i="14" s="1"/>
  <c r="Q149" i="14"/>
  <c r="Q164" i="14"/>
  <c r="Q173" i="14"/>
  <c r="Q163" i="14"/>
  <c r="Q145" i="14"/>
  <c r="U120" i="13"/>
  <c r="U130" i="13" s="1"/>
  <c r="U132" i="13" s="1"/>
  <c r="U189" i="13"/>
  <c r="U138" i="13"/>
  <c r="U199" i="13" s="1"/>
  <c r="U251" i="13" s="1"/>
  <c r="U252" i="13" s="1"/>
  <c r="U139" i="13"/>
  <c r="M166" i="13"/>
  <c r="M182" i="13"/>
  <c r="M150" i="13" s="1"/>
  <c r="M183" i="13" s="1"/>
  <c r="AM165" i="13"/>
  <c r="AM181" i="13"/>
  <c r="AM184" i="13"/>
  <c r="AJ182" i="13"/>
  <c r="AJ150" i="13" s="1"/>
  <c r="AJ166" i="13"/>
  <c r="L168" i="13"/>
  <c r="L151" i="13"/>
  <c r="L188" i="13" s="1"/>
  <c r="AN168" i="13"/>
  <c r="AN151" i="13"/>
  <c r="AN188" i="13" s="1"/>
  <c r="I150" i="1"/>
  <c r="BD165" i="13"/>
  <c r="BD181" i="13"/>
  <c r="BD184" i="13"/>
  <c r="O180" i="1"/>
  <c r="O163" i="1"/>
  <c r="O179" i="1"/>
  <c r="O147" i="1" s="1"/>
  <c r="J158" i="14"/>
  <c r="J190" i="14" s="1"/>
  <c r="J191" i="14" s="1"/>
  <c r="J171" i="14" s="1"/>
  <c r="J157" i="14"/>
  <c r="J169" i="14"/>
  <c r="J186" i="14"/>
  <c r="J187" i="14" s="1"/>
  <c r="M166" i="14"/>
  <c r="M182" i="14"/>
  <c r="M150" i="14" s="1"/>
  <c r="X165" i="13"/>
  <c r="X181" i="13"/>
  <c r="X184" i="13"/>
  <c r="H180" i="1"/>
  <c r="H163" i="1"/>
  <c r="H179" i="1"/>
  <c r="H147" i="1" s="1"/>
  <c r="Q168" i="13"/>
  <c r="Q151" i="13"/>
  <c r="Q188" i="13" s="1"/>
  <c r="AQ165" i="13"/>
  <c r="AQ181" i="13"/>
  <c r="AQ184" i="13"/>
  <c r="B194" i="1"/>
  <c r="B141" i="1"/>
  <c r="B195" i="1" s="1"/>
  <c r="B193" i="1"/>
  <c r="B201" i="1" s="1"/>
  <c r="B140" i="1"/>
  <c r="P141" i="1"/>
  <c r="P195" i="1" s="1"/>
  <c r="P194" i="1"/>
  <c r="P140" i="1"/>
  <c r="P193" i="1"/>
  <c r="P201" i="1" s="1"/>
  <c r="R194" i="1"/>
  <c r="R141" i="1"/>
  <c r="R195" i="1" s="1"/>
  <c r="R140" i="1"/>
  <c r="R193" i="1"/>
  <c r="R201" i="1" s="1"/>
  <c r="S165" i="14"/>
  <c r="S181" i="14"/>
  <c r="S184" i="14"/>
  <c r="J145" i="13"/>
  <c r="J149" i="13"/>
  <c r="J163" i="13"/>
  <c r="J164" i="13"/>
  <c r="J173" i="13"/>
  <c r="V277" i="13"/>
  <c r="AR158" i="13"/>
  <c r="AR190" i="13" s="1"/>
  <c r="AR191" i="13" s="1"/>
  <c r="AR171" i="13" s="1"/>
  <c r="AR157" i="13"/>
  <c r="AR186" i="13"/>
  <c r="AR187" i="13" s="1"/>
  <c r="AR169" i="13"/>
  <c r="H168" i="14"/>
  <c r="H188" i="14"/>
  <c r="H151" i="14"/>
  <c r="AD165" i="13"/>
  <c r="AD181" i="13"/>
  <c r="AD184" i="13"/>
  <c r="M202" i="1"/>
  <c r="M203" i="1" s="1"/>
  <c r="M207" i="1"/>
  <c r="M204" i="1"/>
  <c r="M205" i="1" s="1"/>
  <c r="T166" i="14"/>
  <c r="T182" i="14"/>
  <c r="T150" i="14" s="1"/>
  <c r="T168" i="13"/>
  <c r="T151" i="13"/>
  <c r="T188" i="13" s="1"/>
  <c r="L166" i="13"/>
  <c r="L182" i="13"/>
  <c r="L150" i="13" s="1"/>
  <c r="AN182" i="13"/>
  <c r="AN150" i="13" s="1"/>
  <c r="AN183" i="13" s="1"/>
  <c r="AN166" i="13"/>
  <c r="U269" i="14"/>
  <c r="U264" i="14"/>
  <c r="AB163" i="13"/>
  <c r="AB149" i="13"/>
  <c r="AB173" i="13"/>
  <c r="AB145" i="13"/>
  <c r="AB164" i="13"/>
  <c r="R166" i="13"/>
  <c r="R182" i="13"/>
  <c r="R150" i="13" s="1"/>
  <c r="R183" i="13" s="1"/>
  <c r="L264" i="1"/>
  <c r="L265" i="1" s="1"/>
  <c r="L262" i="1"/>
  <c r="L263" i="1" s="1"/>
  <c r="K227" i="1"/>
  <c r="K228" i="1" s="1"/>
  <c r="K225" i="1"/>
  <c r="K226" i="1" s="1"/>
  <c r="K231" i="1"/>
  <c r="K232" i="1" s="1"/>
  <c r="K229" i="1"/>
  <c r="K230" i="1" s="1"/>
  <c r="K223" i="1"/>
  <c r="K224" i="1" s="1"/>
  <c r="J183" i="14"/>
  <c r="G149" i="14"/>
  <c r="G163" i="14"/>
  <c r="G145" i="14"/>
  <c r="G173" i="14"/>
  <c r="G164" i="14"/>
  <c r="Q166" i="13"/>
  <c r="Q182" i="13"/>
  <c r="Q150" i="13" s="1"/>
  <c r="Q183" i="13" s="1"/>
  <c r="AH165" i="13"/>
  <c r="AH181" i="13"/>
  <c r="AH184" i="13"/>
  <c r="AS277" i="13"/>
  <c r="K182" i="13"/>
  <c r="K150" i="13" s="1"/>
  <c r="K166" i="13"/>
  <c r="BJ182" i="13"/>
  <c r="BJ150" i="13" s="1"/>
  <c r="BJ166" i="13"/>
  <c r="H183" i="14"/>
  <c r="H182" i="14"/>
  <c r="H150" i="14" s="1"/>
  <c r="H166" i="14"/>
  <c r="AY165" i="13"/>
  <c r="AY181" i="13"/>
  <c r="AY184" i="13"/>
  <c r="S158" i="13"/>
  <c r="S190" i="13" s="1"/>
  <c r="S191" i="13" s="1"/>
  <c r="S171" i="13" s="1"/>
  <c r="S157" i="13"/>
  <c r="S186" i="13"/>
  <c r="S187" i="13" s="1"/>
  <c r="S169" i="13"/>
  <c r="D146" i="1"/>
  <c r="D170" i="1"/>
  <c r="D142" i="1"/>
  <c r="D161" i="1"/>
  <c r="D160" i="1"/>
  <c r="D139" i="1"/>
  <c r="C260" i="1"/>
  <c r="C246" i="1"/>
  <c r="H246" i="1"/>
  <c r="H260" i="1"/>
  <c r="Q120" i="14"/>
  <c r="Q189" i="14"/>
  <c r="Q139" i="14"/>
  <c r="Q138" i="14"/>
  <c r="Q199" i="14" s="1"/>
  <c r="J212" i="13"/>
  <c r="J224" i="13"/>
  <c r="J225" i="13" s="1"/>
  <c r="J236" i="13" s="1"/>
  <c r="J237" i="13" s="1"/>
  <c r="AK158" i="13"/>
  <c r="AK190" i="13" s="1"/>
  <c r="AK191" i="13" s="1"/>
  <c r="AK171" i="13" s="1"/>
  <c r="AK157" i="13"/>
  <c r="AK186" i="13"/>
  <c r="AK187" i="13" s="1"/>
  <c r="AK169" i="13"/>
  <c r="F212" i="13"/>
  <c r="F224" i="13"/>
  <c r="F225" i="13" s="1"/>
  <c r="R158" i="14"/>
  <c r="R190" i="14" s="1"/>
  <c r="R191" i="14" s="1"/>
  <c r="R171" i="14" s="1"/>
  <c r="R157" i="14"/>
  <c r="R169" i="14"/>
  <c r="R186" i="14"/>
  <c r="R187" i="14" s="1"/>
  <c r="U250" i="14"/>
  <c r="U255" i="14"/>
  <c r="U189" i="14"/>
  <c r="U120" i="14"/>
  <c r="U130" i="14" s="1"/>
  <c r="U132" i="14" s="1"/>
  <c r="U111" i="14"/>
  <c r="U138" i="14"/>
  <c r="U199" i="14" s="1"/>
  <c r="U139" i="14"/>
  <c r="L267" i="1"/>
  <c r="L268" i="1" s="1"/>
  <c r="L271" i="1"/>
  <c r="L272" i="1" s="1"/>
  <c r="L269" i="1"/>
  <c r="L270" i="1" s="1"/>
  <c r="BF165" i="13"/>
  <c r="BF181" i="13"/>
  <c r="BF184" i="13"/>
  <c r="K233" i="1"/>
  <c r="K234" i="1" s="1"/>
  <c r="BC165" i="13"/>
  <c r="BC181" i="13"/>
  <c r="BC184" i="13"/>
  <c r="D165" i="14"/>
  <c r="D181" i="14"/>
  <c r="D184" i="14"/>
  <c r="L253" i="1"/>
  <c r="L254" i="1" s="1"/>
  <c r="L255" i="1"/>
  <c r="L256" i="1" s="1"/>
  <c r="L257" i="1"/>
  <c r="L258" i="1" s="1"/>
  <c r="S185" i="1"/>
  <c r="S165" i="1"/>
  <c r="S148" i="1"/>
  <c r="O246" i="1"/>
  <c r="O260" i="1"/>
  <c r="P165" i="13"/>
  <c r="P181" i="13"/>
  <c r="P184" i="13"/>
  <c r="K168" i="13"/>
  <c r="K151" i="13"/>
  <c r="K188" i="13" s="1"/>
  <c r="BJ168" i="13"/>
  <c r="BJ151" i="13"/>
  <c r="BJ188" i="13" s="1"/>
  <c r="AR183" i="13"/>
  <c r="P165" i="14"/>
  <c r="P181" i="14"/>
  <c r="P184" i="14"/>
  <c r="C156" i="14"/>
  <c r="C155" i="14"/>
  <c r="O234" i="14"/>
  <c r="O235" i="14" s="1"/>
  <c r="O226" i="14"/>
  <c r="O227" i="14" s="1"/>
  <c r="O232" i="14"/>
  <c r="O233" i="14" s="1"/>
  <c r="O230" i="14"/>
  <c r="O231" i="14" s="1"/>
  <c r="O228" i="14"/>
  <c r="O229" i="14" s="1"/>
  <c r="N150" i="1"/>
  <c r="M246" i="1"/>
  <c r="M260" i="1"/>
  <c r="S218" i="14"/>
  <c r="S219" i="14" s="1"/>
  <c r="S220" i="14"/>
  <c r="S221" i="14" s="1"/>
  <c r="S214" i="14"/>
  <c r="S215" i="14" s="1"/>
  <c r="S216" i="14"/>
  <c r="S217" i="14" s="1"/>
  <c r="S222" i="14"/>
  <c r="S223" i="14" s="1"/>
  <c r="Q140" i="14"/>
  <c r="T208" i="1"/>
  <c r="AK183" i="13"/>
  <c r="Y165" i="13"/>
  <c r="Y181" i="13"/>
  <c r="Y184" i="13"/>
  <c r="AS168" i="13"/>
  <c r="AS151" i="13"/>
  <c r="AS188" i="13" s="1"/>
  <c r="T166" i="13"/>
  <c r="T182" i="13"/>
  <c r="T150" i="13" s="1"/>
  <c r="R183" i="14"/>
  <c r="Q211" i="14"/>
  <c r="Q213" i="14" s="1"/>
  <c r="D220" i="14"/>
  <c r="D221" i="14" s="1"/>
  <c r="D214" i="14"/>
  <c r="D215" i="14" s="1"/>
  <c r="D277" i="14" s="1"/>
  <c r="D218" i="14"/>
  <c r="D219" i="14" s="1"/>
  <c r="D222" i="14"/>
  <c r="D223" i="14" s="1"/>
  <c r="D216" i="14"/>
  <c r="D217" i="14" s="1"/>
  <c r="I138" i="1"/>
  <c r="L153" i="1"/>
  <c r="L152" i="1"/>
  <c r="U140" i="14"/>
  <c r="F168" i="14"/>
  <c r="F151" i="14"/>
  <c r="F188" i="14" s="1"/>
  <c r="AW165" i="13"/>
  <c r="AW181" i="13"/>
  <c r="AW184" i="13"/>
  <c r="L250" i="1"/>
  <c r="L251" i="1" s="1"/>
  <c r="L248" i="1"/>
  <c r="L249" i="1" s="1"/>
  <c r="H234" i="14"/>
  <c r="H235" i="14" s="1"/>
  <c r="H228" i="14"/>
  <c r="H229" i="14" s="1"/>
  <c r="H232" i="14"/>
  <c r="H233" i="14" s="1"/>
  <c r="H226" i="14"/>
  <c r="H227" i="14" s="1"/>
  <c r="H230" i="14"/>
  <c r="H231" i="14" s="1"/>
  <c r="S179" i="1"/>
  <c r="S147" i="1" s="1"/>
  <c r="S163" i="1"/>
  <c r="U212" i="13"/>
  <c r="U224" i="13"/>
  <c r="U225" i="13" s="1"/>
  <c r="U226" i="13" s="1"/>
  <c r="U227" i="13" s="1"/>
  <c r="BE168" i="13"/>
  <c r="BE188" i="13"/>
  <c r="BE151" i="13"/>
  <c r="Q256" i="14"/>
  <c r="Q257" i="14" s="1"/>
  <c r="Q260" i="14"/>
  <c r="Q261" i="14" s="1"/>
  <c r="Q258" i="14"/>
  <c r="Q259" i="14" s="1"/>
  <c r="C168" i="13"/>
  <c r="C151" i="13"/>
  <c r="C188" i="13" s="1"/>
  <c r="Q270" i="14"/>
  <c r="Q271" i="14" s="1"/>
  <c r="Q272" i="14"/>
  <c r="Q273" i="14" s="1"/>
  <c r="Q274" i="14"/>
  <c r="Q275" i="14" s="1"/>
  <c r="AO165" i="13"/>
  <c r="AO181" i="13"/>
  <c r="AO184" i="13"/>
  <c r="J163" i="1"/>
  <c r="J179" i="1"/>
  <c r="J147" i="1" s="1"/>
  <c r="J180" i="1" s="1"/>
  <c r="W277" i="13"/>
  <c r="H168" i="13"/>
  <c r="H151" i="13"/>
  <c r="H188" i="13" s="1"/>
  <c r="AC149" i="13"/>
  <c r="AC145" i="13"/>
  <c r="AC173" i="13"/>
  <c r="AC164" i="13"/>
  <c r="AC163" i="13"/>
  <c r="Q130" i="14"/>
  <c r="Q132" i="14" s="1"/>
  <c r="U140" i="13"/>
  <c r="E182" i="14"/>
  <c r="E150" i="14" s="1"/>
  <c r="E166" i="14"/>
  <c r="E183" i="14"/>
  <c r="AV158" i="13"/>
  <c r="AV190" i="13" s="1"/>
  <c r="AV191" i="13" s="1"/>
  <c r="AV171" i="13" s="1"/>
  <c r="AV157" i="13"/>
  <c r="AV169" i="13"/>
  <c r="AV186" i="13"/>
  <c r="AV187" i="13" s="1"/>
  <c r="G162" i="1"/>
  <c r="G178" i="1"/>
  <c r="G181" i="1"/>
  <c r="AS166" i="13"/>
  <c r="AS182" i="13"/>
  <c r="AS150" i="13" s="1"/>
  <c r="F238" i="14"/>
  <c r="F239" i="14" s="1"/>
  <c r="F242" i="14"/>
  <c r="F243" i="14" s="1"/>
  <c r="F246" i="14"/>
  <c r="F247" i="14" s="1"/>
  <c r="F240" i="14"/>
  <c r="F241" i="14" s="1"/>
  <c r="F244" i="14"/>
  <c r="F245" i="14" s="1"/>
  <c r="AO216" i="13"/>
  <c r="AO217" i="13" s="1"/>
  <c r="AO218" i="13"/>
  <c r="AO219" i="13" s="1"/>
  <c r="AO220" i="13"/>
  <c r="AO221" i="13" s="1"/>
  <c r="AO214" i="13"/>
  <c r="AO215" i="13" s="1"/>
  <c r="AO222" i="13"/>
  <c r="AO223" i="13" s="1"/>
  <c r="G258" i="14"/>
  <c r="G259" i="14" s="1"/>
  <c r="G260" i="14"/>
  <c r="G261" i="14" s="1"/>
  <c r="G256" i="14"/>
  <c r="G257" i="14" s="1"/>
  <c r="O168" i="14"/>
  <c r="O151" i="14"/>
  <c r="O188" i="14" s="1"/>
  <c r="F142" i="1"/>
  <c r="F170" i="1"/>
  <c r="F161" i="1"/>
  <c r="F146" i="1"/>
  <c r="F139" i="1"/>
  <c r="F160" i="1"/>
  <c r="F183" i="14"/>
  <c r="F166" i="14"/>
  <c r="F182" i="14"/>
  <c r="F150" i="14" s="1"/>
  <c r="S207" i="1"/>
  <c r="S202" i="1"/>
  <c r="S203" i="1" s="1"/>
  <c r="S204" i="1"/>
  <c r="S205" i="1" s="1"/>
  <c r="AU165" i="13"/>
  <c r="AU181" i="13"/>
  <c r="AU184" i="13"/>
  <c r="AL163" i="13"/>
  <c r="AL145" i="13"/>
  <c r="AL149" i="13"/>
  <c r="AL173" i="13"/>
  <c r="AL164" i="13"/>
  <c r="P212" i="14"/>
  <c r="C165" i="1"/>
  <c r="C148" i="1"/>
  <c r="C185" i="1" s="1"/>
  <c r="G213" i="14"/>
  <c r="G211" i="14"/>
  <c r="U222" i="13"/>
  <c r="U223" i="13" s="1"/>
  <c r="U220" i="13"/>
  <c r="U221" i="13" s="1"/>
  <c r="U214" i="13"/>
  <c r="U215" i="13" s="1"/>
  <c r="U216" i="13"/>
  <c r="U217" i="13" s="1"/>
  <c r="U218" i="13"/>
  <c r="U219" i="13" s="1"/>
  <c r="BE182" i="13"/>
  <c r="BE150" i="13" s="1"/>
  <c r="BE183" i="13" s="1"/>
  <c r="BE166" i="13"/>
  <c r="Q253" i="14"/>
  <c r="Q254" i="14" s="1"/>
  <c r="Q251" i="14"/>
  <c r="Q252" i="14" s="1"/>
  <c r="C166" i="13"/>
  <c r="C182" i="13"/>
  <c r="C150" i="13" s="1"/>
  <c r="Q265" i="14"/>
  <c r="Q266" i="14" s="1"/>
  <c r="Q267" i="14"/>
  <c r="Q268" i="14" s="1"/>
  <c r="BC226" i="13"/>
  <c r="BC227" i="13" s="1"/>
  <c r="BC228" i="13"/>
  <c r="BC229" i="13" s="1"/>
  <c r="BC230" i="13"/>
  <c r="BC231" i="13" s="1"/>
  <c r="BC232" i="13"/>
  <c r="BC233" i="13" s="1"/>
  <c r="BC234" i="13"/>
  <c r="BC235" i="13" s="1"/>
  <c r="AL212" i="13"/>
  <c r="AL236" i="13"/>
  <c r="AL237" i="13" s="1"/>
  <c r="AL242" i="13" s="1"/>
  <c r="AL243" i="13" s="1"/>
  <c r="AL224" i="13"/>
  <c r="AL225" i="13" s="1"/>
  <c r="AL232" i="13" s="1"/>
  <c r="AL233" i="13" s="1"/>
  <c r="G183" i="13"/>
  <c r="N139" i="1"/>
  <c r="N146" i="1"/>
  <c r="N160" i="1"/>
  <c r="N142" i="1"/>
  <c r="N170" i="1"/>
  <c r="N161" i="1"/>
  <c r="F189" i="13"/>
  <c r="F120" i="13"/>
  <c r="F130" i="13" s="1"/>
  <c r="F132" i="13" s="1"/>
  <c r="F138" i="13"/>
  <c r="F199" i="13" s="1"/>
  <c r="F139" i="13"/>
  <c r="H182" i="13"/>
  <c r="H150" i="13" s="1"/>
  <c r="H183" i="13" s="1"/>
  <c r="H166" i="13"/>
  <c r="Q153" i="14"/>
  <c r="L209" i="1"/>
  <c r="L221" i="1"/>
  <c r="L222" i="1" s="1"/>
  <c r="L233" i="1" s="1"/>
  <c r="L234" i="1" s="1"/>
  <c r="AG111" i="13"/>
  <c r="E168" i="14"/>
  <c r="E188" i="14"/>
  <c r="E151" i="14"/>
  <c r="AV183" i="13"/>
  <c r="F232" i="14"/>
  <c r="F233" i="14" s="1"/>
  <c r="F234" i="14"/>
  <c r="F235" i="14" s="1"/>
  <c r="F228" i="14"/>
  <c r="F229" i="14" s="1"/>
  <c r="F226" i="14"/>
  <c r="F227" i="14" s="1"/>
  <c r="F277" i="14" s="1"/>
  <c r="F230" i="14"/>
  <c r="F231" i="14" s="1"/>
  <c r="AO224" i="13"/>
  <c r="AO225" i="13" s="1"/>
  <c r="AO230" i="13" s="1"/>
  <c r="AO231" i="13" s="1"/>
  <c r="AO212" i="13"/>
  <c r="K156" i="14"/>
  <c r="K155" i="14"/>
  <c r="G251" i="14"/>
  <c r="G252" i="14" s="1"/>
  <c r="G253" i="14"/>
  <c r="G254" i="14" s="1"/>
  <c r="O182" i="14"/>
  <c r="O150" i="14" s="1"/>
  <c r="O166" i="14"/>
  <c r="BG168" i="13"/>
  <c r="BG151" i="13"/>
  <c r="BG188" i="13" s="1"/>
  <c r="P213" i="14"/>
  <c r="E161" i="1"/>
  <c r="E146" i="1"/>
  <c r="E160" i="1"/>
  <c r="E170" i="1"/>
  <c r="E139" i="1"/>
  <c r="E142" i="1"/>
  <c r="C163" i="1"/>
  <c r="C179" i="1"/>
  <c r="C147" i="1" s="1"/>
  <c r="C180" i="1" s="1"/>
  <c r="S224" i="14"/>
  <c r="S225" i="14" s="1"/>
  <c r="H236" i="14"/>
  <c r="H237" i="14" s="1"/>
  <c r="W165" i="13"/>
  <c r="W181" i="13"/>
  <c r="W184" i="13"/>
  <c r="BC216" i="13"/>
  <c r="BC217" i="13" s="1"/>
  <c r="BC214" i="13"/>
  <c r="BC215" i="13" s="1"/>
  <c r="BC218" i="13"/>
  <c r="BC219" i="13" s="1"/>
  <c r="BC222" i="13"/>
  <c r="BC223" i="13" s="1"/>
  <c r="BC220" i="13"/>
  <c r="BC221" i="13" s="1"/>
  <c r="C202" i="1"/>
  <c r="C203" i="1" s="1"/>
  <c r="C207" i="1"/>
  <c r="C204" i="1"/>
  <c r="C205" i="1" s="1"/>
  <c r="N186" i="1"/>
  <c r="N119" i="1"/>
  <c r="N129" i="1" s="1"/>
  <c r="N131" i="1" s="1"/>
  <c r="N136" i="1"/>
  <c r="N196" i="1" s="1"/>
  <c r="N137" i="1"/>
  <c r="X199" i="15"/>
  <c r="X200" i="15" s="1"/>
  <c r="X203" i="15"/>
  <c r="X204" i="15" s="1"/>
  <c r="X197" i="15"/>
  <c r="X198" i="15" s="1"/>
  <c r="X201" i="15"/>
  <c r="X202" i="15" s="1"/>
  <c r="X205" i="15"/>
  <c r="X206" i="15" s="1"/>
  <c r="AQ197" i="15"/>
  <c r="AQ198" i="15" s="1"/>
  <c r="AQ201" i="15"/>
  <c r="AQ202" i="15" s="1"/>
  <c r="AQ205" i="15"/>
  <c r="AQ206" i="15" s="1"/>
  <c r="AQ199" i="15"/>
  <c r="AQ200" i="15" s="1"/>
  <c r="AQ203" i="15"/>
  <c r="AQ204" i="15" s="1"/>
  <c r="BG197" i="15"/>
  <c r="BG198" i="15" s="1"/>
  <c r="BG201" i="15"/>
  <c r="BG202" i="15" s="1"/>
  <c r="BG205" i="15"/>
  <c r="BG206" i="15" s="1"/>
  <c r="BG199" i="15"/>
  <c r="BG200" i="15" s="1"/>
  <c r="BG203" i="15"/>
  <c r="BG204" i="15" s="1"/>
  <c r="AX197" i="15"/>
  <c r="AX198" i="15" s="1"/>
  <c r="AX201" i="15"/>
  <c r="AX202" i="15" s="1"/>
  <c r="AX205" i="15"/>
  <c r="AX206" i="15" s="1"/>
  <c r="AX199" i="15"/>
  <c r="AX200" i="15" s="1"/>
  <c r="AX203" i="15"/>
  <c r="AX204" i="15" s="1"/>
  <c r="BF197" i="15"/>
  <c r="BF198" i="15" s="1"/>
  <c r="BF201" i="15"/>
  <c r="BF202" i="15" s="1"/>
  <c r="BF205" i="15"/>
  <c r="BF206" i="15" s="1"/>
  <c r="BF199" i="15"/>
  <c r="BF200" i="15" s="1"/>
  <c r="BF203" i="15"/>
  <c r="BF204" i="15" s="1"/>
  <c r="AZ199" i="15"/>
  <c r="AZ200" i="15" s="1"/>
  <c r="AZ203" i="15"/>
  <c r="AZ204" i="15" s="1"/>
  <c r="AZ197" i="15"/>
  <c r="AZ198" i="15" s="1"/>
  <c r="AZ201" i="15"/>
  <c r="AZ202" i="15" s="1"/>
  <c r="AZ205" i="15"/>
  <c r="AZ206" i="15" s="1"/>
  <c r="AV199" i="15"/>
  <c r="AV200" i="15" s="1"/>
  <c r="AV203" i="15"/>
  <c r="AV204" i="15" s="1"/>
  <c r="AV197" i="15"/>
  <c r="AV198" i="15" s="1"/>
  <c r="AV201" i="15"/>
  <c r="AV202" i="15" s="1"/>
  <c r="AV205" i="15"/>
  <c r="AV206" i="15" s="1"/>
  <c r="Y199" i="15"/>
  <c r="Y200" i="15" s="1"/>
  <c r="Y203" i="15"/>
  <c r="Y204" i="15" s="1"/>
  <c r="Y205" i="15"/>
  <c r="Y206" i="15" s="1"/>
  <c r="Y201" i="15"/>
  <c r="Y202" i="15" s="1"/>
  <c r="Y197" i="15"/>
  <c r="Y198" i="15" s="1"/>
  <c r="AE197" i="15"/>
  <c r="AE198" i="15" s="1"/>
  <c r="AE201" i="15"/>
  <c r="AE202" i="15" s="1"/>
  <c r="AE205" i="15"/>
  <c r="AE206" i="15" s="1"/>
  <c r="AE203" i="15"/>
  <c r="AE204" i="15" s="1"/>
  <c r="AE199" i="15"/>
  <c r="AE200" i="15" s="1"/>
  <c r="Z197" i="15"/>
  <c r="Z198" i="15" s="1"/>
  <c r="Z201" i="15"/>
  <c r="Z202" i="15" s="1"/>
  <c r="Z205" i="15"/>
  <c r="Z206" i="15" s="1"/>
  <c r="Z199" i="15"/>
  <c r="Z200" i="15" s="1"/>
  <c r="Z203" i="15"/>
  <c r="Z204" i="15" s="1"/>
  <c r="BI199" i="15"/>
  <c r="BI200" i="15" s="1"/>
  <c r="BI203" i="15"/>
  <c r="BI204" i="15" s="1"/>
  <c r="BI197" i="15"/>
  <c r="BI198" i="15" s="1"/>
  <c r="BI205" i="15"/>
  <c r="BI206" i="15" s="1"/>
  <c r="BI201" i="15"/>
  <c r="BI202" i="15" s="1"/>
  <c r="AK199" i="15"/>
  <c r="AK200" i="15" s="1"/>
  <c r="AK203" i="15"/>
  <c r="AK204" i="15" s="1"/>
  <c r="AK201" i="15"/>
  <c r="AK202" i="15" s="1"/>
  <c r="AK205" i="15"/>
  <c r="AK206" i="15" s="1"/>
  <c r="AK197" i="15"/>
  <c r="AK198" i="15" s="1"/>
  <c r="BA199" i="15"/>
  <c r="BA200" i="15" s="1"/>
  <c r="BA203" i="15"/>
  <c r="BA204" i="15" s="1"/>
  <c r="BA201" i="15"/>
  <c r="BA202" i="15" s="1"/>
  <c r="BA197" i="15"/>
  <c r="BA198" i="15" s="1"/>
  <c r="BA205" i="15"/>
  <c r="BA206" i="15" s="1"/>
  <c r="BE199" i="15"/>
  <c r="BE200" i="15" s="1"/>
  <c r="BE203" i="15"/>
  <c r="BE204" i="15" s="1"/>
  <c r="BE205" i="15"/>
  <c r="BE206" i="15" s="1"/>
  <c r="BE201" i="15"/>
  <c r="BE202" i="15" s="1"/>
  <c r="BE197" i="15"/>
  <c r="BE198" i="15" s="1"/>
  <c r="AW199" i="15"/>
  <c r="AW200" i="15" s="1"/>
  <c r="AW203" i="15"/>
  <c r="AW204" i="15" s="1"/>
  <c r="AW197" i="15"/>
  <c r="AW198" i="15" s="1"/>
  <c r="AW205" i="15"/>
  <c r="AW206" i="15" s="1"/>
  <c r="AW201" i="15"/>
  <c r="AW202" i="15" s="1"/>
  <c r="AA197" i="15"/>
  <c r="AA198" i="15" s="1"/>
  <c r="AA201" i="15"/>
  <c r="AA202" i="15" s="1"/>
  <c r="AA205" i="15"/>
  <c r="AA206" i="15" s="1"/>
  <c r="AA199" i="15"/>
  <c r="AA200" i="15" s="1"/>
  <c r="AA203" i="15"/>
  <c r="AA204" i="15" s="1"/>
  <c r="BB197" i="15"/>
  <c r="BB198" i="15" s="1"/>
  <c r="BB201" i="15"/>
  <c r="BB202" i="15" s="1"/>
  <c r="BB205" i="15"/>
  <c r="BB206" i="15" s="1"/>
  <c r="BB199" i="15"/>
  <c r="BB200" i="15" s="1"/>
  <c r="BB203" i="15"/>
  <c r="BB204" i="15" s="1"/>
  <c r="AW139" i="15"/>
  <c r="AW138" i="15"/>
  <c r="BJ255" i="15"/>
  <c r="BJ256" i="15" s="1"/>
  <c r="BJ257" i="15"/>
  <c r="BJ258" i="15" s="1"/>
  <c r="BJ253" i="15"/>
  <c r="BJ254" i="15" s="1"/>
  <c r="AF250" i="15"/>
  <c r="AF251" i="15" s="1"/>
  <c r="AF248" i="15"/>
  <c r="AF249" i="15" s="1"/>
  <c r="AO238" i="15"/>
  <c r="AO233" i="15"/>
  <c r="BA234" i="15"/>
  <c r="BA235" i="15" s="1"/>
  <c r="BA236" i="15"/>
  <c r="BA237" i="15" s="1"/>
  <c r="AZ253" i="15"/>
  <c r="AZ254" i="15" s="1"/>
  <c r="AZ257" i="15"/>
  <c r="AZ258" i="15" s="1"/>
  <c r="AZ255" i="15"/>
  <c r="AZ256" i="15" s="1"/>
  <c r="AJ199" i="15"/>
  <c r="AJ200" i="15" s="1"/>
  <c r="AJ203" i="15"/>
  <c r="AJ204" i="15" s="1"/>
  <c r="AJ197" i="15"/>
  <c r="AJ198" i="15" s="1"/>
  <c r="AJ201" i="15"/>
  <c r="AJ202" i="15" s="1"/>
  <c r="AJ205" i="15"/>
  <c r="AJ206" i="15" s="1"/>
  <c r="AS234" i="15"/>
  <c r="AS235" i="15" s="1"/>
  <c r="AS236" i="15"/>
  <c r="AS237" i="15" s="1"/>
  <c r="BI234" i="15"/>
  <c r="BI235" i="15" s="1"/>
  <c r="BI236" i="15"/>
  <c r="BI237" i="15" s="1"/>
  <c r="AY253" i="15"/>
  <c r="AY254" i="15" s="1"/>
  <c r="AY257" i="15"/>
  <c r="AY258" i="15" s="1"/>
  <c r="AY255" i="15"/>
  <c r="AY256" i="15" s="1"/>
  <c r="AU241" i="15"/>
  <c r="AU242" i="15" s="1"/>
  <c r="AU239" i="15"/>
  <c r="AU240" i="15" s="1"/>
  <c r="AU243" i="15"/>
  <c r="AU244" i="15" s="1"/>
  <c r="U250" i="15"/>
  <c r="U251" i="15" s="1"/>
  <c r="U248" i="15"/>
  <c r="U249" i="15" s="1"/>
  <c r="BK139" i="15"/>
  <c r="BK138" i="15"/>
  <c r="AN234" i="15"/>
  <c r="AN235" i="15" s="1"/>
  <c r="AN236" i="15"/>
  <c r="AN237" i="15" s="1"/>
  <c r="AM139" i="15"/>
  <c r="AM138" i="15"/>
  <c r="BK239" i="15"/>
  <c r="BK240" i="15" s="1"/>
  <c r="BK243" i="15"/>
  <c r="BK244" i="15" s="1"/>
  <c r="BK241" i="15"/>
  <c r="BK242" i="15" s="1"/>
  <c r="BD199" i="15"/>
  <c r="BD200" i="15" s="1"/>
  <c r="BD203" i="15"/>
  <c r="BD204" i="15" s="1"/>
  <c r="BD197" i="15"/>
  <c r="BD198" i="15" s="1"/>
  <c r="BD201" i="15"/>
  <c r="BD202" i="15" s="1"/>
  <c r="BD205" i="15"/>
  <c r="BD206" i="15" s="1"/>
  <c r="AH139" i="15"/>
  <c r="AH138" i="15"/>
  <c r="BD241" i="15"/>
  <c r="BD242" i="15" s="1"/>
  <c r="BD239" i="15"/>
  <c r="BD240" i="15" s="1"/>
  <c r="BD243" i="15"/>
  <c r="BD244" i="15" s="1"/>
  <c r="BC195" i="15"/>
  <c r="X139" i="15"/>
  <c r="X138" i="15"/>
  <c r="AA248" i="15"/>
  <c r="AA249" i="15" s="1"/>
  <c r="AA250" i="15"/>
  <c r="AA251" i="15" s="1"/>
  <c r="AD255" i="15"/>
  <c r="AD256" i="15" s="1"/>
  <c r="AD257" i="15"/>
  <c r="AD258" i="15" s="1"/>
  <c r="AD253" i="15"/>
  <c r="AD254" i="15" s="1"/>
  <c r="Y239" i="15"/>
  <c r="Y240" i="15" s="1"/>
  <c r="Y241" i="15"/>
  <c r="Y242" i="15" s="1"/>
  <c r="Y243" i="15"/>
  <c r="Y244" i="15" s="1"/>
  <c r="AJ241" i="15"/>
  <c r="AJ242" i="15" s="1"/>
  <c r="AJ239" i="15"/>
  <c r="AJ240" i="15" s="1"/>
  <c r="AJ243" i="15"/>
  <c r="AJ244" i="15" s="1"/>
  <c r="AZ241" i="15"/>
  <c r="AZ242" i="15" s="1"/>
  <c r="AZ239" i="15"/>
  <c r="AZ240" i="15" s="1"/>
  <c r="AZ243" i="15"/>
  <c r="AZ244" i="15" s="1"/>
  <c r="BB255" i="15"/>
  <c r="BB256" i="15" s="1"/>
  <c r="BB253" i="15"/>
  <c r="BB254" i="15" s="1"/>
  <c r="BB257" i="15"/>
  <c r="BB258" i="15" s="1"/>
  <c r="AE248" i="15"/>
  <c r="AE249" i="15" s="1"/>
  <c r="AE250" i="15"/>
  <c r="AE251" i="15" s="1"/>
  <c r="AU195" i="15"/>
  <c r="BI139" i="15"/>
  <c r="BI138" i="15"/>
  <c r="V236" i="15"/>
  <c r="V237" i="15" s="1"/>
  <c r="V234" i="15"/>
  <c r="V235" i="15" s="1"/>
  <c r="AQ236" i="15"/>
  <c r="AQ237" i="15" s="1"/>
  <c r="AQ234" i="15"/>
  <c r="AQ235" i="15" s="1"/>
  <c r="BH195" i="15"/>
  <c r="BF239" i="15"/>
  <c r="BF240" i="15" s="1"/>
  <c r="BF243" i="15"/>
  <c r="BF244" i="15" s="1"/>
  <c r="BF241" i="15"/>
  <c r="BF242" i="15" s="1"/>
  <c r="AU253" i="15"/>
  <c r="AU254" i="15" s="1"/>
  <c r="AU257" i="15"/>
  <c r="AU258" i="15" s="1"/>
  <c r="AU255" i="15"/>
  <c r="AU256" i="15" s="1"/>
  <c r="BJ195" i="15"/>
  <c r="AR253" i="15"/>
  <c r="AR254" i="15" s="1"/>
  <c r="AR257" i="15"/>
  <c r="AR258" i="15" s="1"/>
  <c r="AR255" i="15"/>
  <c r="AR256" i="15" s="1"/>
  <c r="Z248" i="15"/>
  <c r="Z249" i="15" s="1"/>
  <c r="Z250" i="15"/>
  <c r="Z251" i="15" s="1"/>
  <c r="AP248" i="15"/>
  <c r="AP249" i="15" s="1"/>
  <c r="AP250" i="15"/>
  <c r="AP251" i="15" s="1"/>
  <c r="AF138" i="15"/>
  <c r="AF139" i="15"/>
  <c r="AS255" i="15"/>
  <c r="AS256" i="15" s="1"/>
  <c r="AS253" i="15"/>
  <c r="AS254" i="15" s="1"/>
  <c r="AS257" i="15"/>
  <c r="AS258" i="15" s="1"/>
  <c r="BD139" i="15"/>
  <c r="BD138" i="15"/>
  <c r="AE139" i="15"/>
  <c r="AE138" i="15"/>
  <c r="AB241" i="15"/>
  <c r="AB242" i="15" s="1"/>
  <c r="AB239" i="15"/>
  <c r="AB240" i="15" s="1"/>
  <c r="AB243" i="15"/>
  <c r="AB244" i="15" s="1"/>
  <c r="AF207" i="15"/>
  <c r="AF208" i="15" s="1"/>
  <c r="AF195" i="15"/>
  <c r="AY195" i="15"/>
  <c r="AP239" i="15"/>
  <c r="AP240" i="15" s="1"/>
  <c r="AP243" i="15"/>
  <c r="AP244" i="15" s="1"/>
  <c r="AP241" i="15"/>
  <c r="AP242" i="15" s="1"/>
  <c r="BH253" i="15"/>
  <c r="BH254" i="15" s="1"/>
  <c r="BH257" i="15"/>
  <c r="BH258" i="15" s="1"/>
  <c r="BH255" i="15"/>
  <c r="BH256" i="15" s="1"/>
  <c r="AN253" i="15"/>
  <c r="AN254" i="15" s="1"/>
  <c r="AN257" i="15"/>
  <c r="AN258" i="15" s="1"/>
  <c r="AN255" i="15"/>
  <c r="AN256" i="15" s="1"/>
  <c r="BA138" i="15"/>
  <c r="BA139" i="15"/>
  <c r="AM239" i="15"/>
  <c r="AM240" i="15" s="1"/>
  <c r="AM243" i="15"/>
  <c r="AM244" i="15" s="1"/>
  <c r="AM241" i="15"/>
  <c r="AM242" i="15" s="1"/>
  <c r="AQ138" i="15"/>
  <c r="AQ139" i="15"/>
  <c r="AI197" i="15"/>
  <c r="AI198" i="15" s="1"/>
  <c r="AI201" i="15"/>
  <c r="AI202" i="15" s="1"/>
  <c r="AI205" i="15"/>
  <c r="AI206" i="15" s="1"/>
  <c r="AI203" i="15"/>
  <c r="AI204" i="15" s="1"/>
  <c r="AI199" i="15"/>
  <c r="AI200" i="15" s="1"/>
  <c r="AT195" i="15"/>
  <c r="BB139" i="15"/>
  <c r="BB138" i="15"/>
  <c r="AQ253" i="15"/>
  <c r="AQ254" i="15" s="1"/>
  <c r="AQ257" i="15"/>
  <c r="AQ258" i="15" s="1"/>
  <c r="AQ255" i="15"/>
  <c r="AQ256" i="15" s="1"/>
  <c r="X236" i="15"/>
  <c r="X237" i="15" s="1"/>
  <c r="X234" i="15"/>
  <c r="X235" i="15" s="1"/>
  <c r="BD253" i="15"/>
  <c r="BD254" i="15" s="1"/>
  <c r="BD257" i="15"/>
  <c r="BD258" i="15" s="1"/>
  <c r="BD255" i="15"/>
  <c r="BD256" i="15" s="1"/>
  <c r="Y139" i="15"/>
  <c r="Y138" i="15"/>
  <c r="AR241" i="15"/>
  <c r="AR242" i="15" s="1"/>
  <c r="AR239" i="15"/>
  <c r="AR240" i="15" s="1"/>
  <c r="AR243" i="15"/>
  <c r="AR244" i="15" s="1"/>
  <c r="AT255" i="15"/>
  <c r="AT256" i="15" s="1"/>
  <c r="AT257" i="15"/>
  <c r="AT258" i="15" s="1"/>
  <c r="AT253" i="15"/>
  <c r="AT254" i="15" s="1"/>
  <c r="AV241" i="15"/>
  <c r="AV242" i="15" s="1"/>
  <c r="AV239" i="15"/>
  <c r="AV240" i="15" s="1"/>
  <c r="AV243" i="15"/>
  <c r="AV244" i="15" s="1"/>
  <c r="U199" i="15"/>
  <c r="U200" i="15" s="1"/>
  <c r="U203" i="15"/>
  <c r="U204" i="15" s="1"/>
  <c r="U201" i="15"/>
  <c r="U202" i="15" s="1"/>
  <c r="U197" i="15"/>
  <c r="U198" i="15" s="1"/>
  <c r="U205" i="15"/>
  <c r="U206" i="15" s="1"/>
  <c r="AM248" i="15"/>
  <c r="AM249" i="15" s="1"/>
  <c r="AM250" i="15"/>
  <c r="AM251" i="15" s="1"/>
  <c r="AW248" i="15"/>
  <c r="AW249" i="15" s="1"/>
  <c r="AW250" i="15"/>
  <c r="AW251" i="15" s="1"/>
  <c r="AY236" i="15"/>
  <c r="AY237" i="15" s="1"/>
  <c r="AY234" i="15"/>
  <c r="AY235" i="15" s="1"/>
  <c r="U139" i="15"/>
  <c r="U138" i="15"/>
  <c r="AI250" i="15"/>
  <c r="AI251" i="15" s="1"/>
  <c r="AI248" i="15"/>
  <c r="AI249" i="15" s="1"/>
  <c r="BK236" i="15"/>
  <c r="BK237" i="15" s="1"/>
  <c r="BK234" i="15"/>
  <c r="BK235" i="15" s="1"/>
  <c r="AA253" i="15"/>
  <c r="AA254" i="15" s="1"/>
  <c r="AA257" i="15"/>
  <c r="AA258" i="15" s="1"/>
  <c r="AA255" i="15"/>
  <c r="AA256" i="15" s="1"/>
  <c r="AH195" i="15"/>
  <c r="AX248" i="15"/>
  <c r="AX249" i="15" s="1"/>
  <c r="AX250" i="15"/>
  <c r="AX251" i="15" s="1"/>
  <c r="BJ236" i="15"/>
  <c r="BJ237" i="15" s="1"/>
  <c r="BJ234" i="15"/>
  <c r="BJ235" i="15" s="1"/>
  <c r="AB195" i="15"/>
  <c r="AF241" i="15"/>
  <c r="AF242" i="15" s="1"/>
  <c r="AF239" i="15"/>
  <c r="AF240" i="15" s="1"/>
  <c r="AF243" i="15"/>
  <c r="AF244" i="15" s="1"/>
  <c r="AJ236" i="15"/>
  <c r="AJ237" i="15" s="1"/>
  <c r="AJ234" i="15"/>
  <c r="AJ235" i="15" s="1"/>
  <c r="V239" i="15"/>
  <c r="V240" i="15" s="1"/>
  <c r="V243" i="15"/>
  <c r="V244" i="15" s="1"/>
  <c r="V241" i="15"/>
  <c r="V242" i="15" s="1"/>
  <c r="W195" i="15"/>
  <c r="AC255" i="15"/>
  <c r="AC256" i="15" s="1"/>
  <c r="AC253" i="15"/>
  <c r="AC254" i="15" s="1"/>
  <c r="AC257" i="15"/>
  <c r="AC258" i="15" s="1"/>
  <c r="AW207" i="15"/>
  <c r="AW208" i="15" s="1"/>
  <c r="AW219" i="15" s="1"/>
  <c r="AW220" i="15" s="1"/>
  <c r="AW195" i="15"/>
  <c r="AN250" i="15"/>
  <c r="AN251" i="15" s="1"/>
  <c r="AN248" i="15"/>
  <c r="AN249" i="15" s="1"/>
  <c r="Y207" i="15"/>
  <c r="Y208" i="15" s="1"/>
  <c r="Y195" i="15"/>
  <c r="AA138" i="15"/>
  <c r="AA139" i="15"/>
  <c r="V248" i="15"/>
  <c r="V249" i="15" s="1"/>
  <c r="V250" i="15"/>
  <c r="V251" i="15" s="1"/>
  <c r="AM195" i="15"/>
  <c r="BG250" i="15"/>
  <c r="BG251" i="15" s="1"/>
  <c r="BG248" i="15"/>
  <c r="BG249" i="15" s="1"/>
  <c r="BF248" i="15"/>
  <c r="BF249" i="15" s="1"/>
  <c r="BF250" i="15"/>
  <c r="BF251" i="15" s="1"/>
  <c r="AP197" i="15"/>
  <c r="AP198" i="15" s="1"/>
  <c r="AP201" i="15"/>
  <c r="AP202" i="15" s="1"/>
  <c r="AP205" i="15"/>
  <c r="AP206" i="15" s="1"/>
  <c r="AP199" i="15"/>
  <c r="AP200" i="15" s="1"/>
  <c r="AP203" i="15"/>
  <c r="AP204" i="15" s="1"/>
  <c r="AD197" i="15"/>
  <c r="AD198" i="15" s="1"/>
  <c r="AD201" i="15"/>
  <c r="AD202" i="15" s="1"/>
  <c r="AD205" i="15"/>
  <c r="AD206" i="15" s="1"/>
  <c r="AD199" i="15"/>
  <c r="AD200" i="15" s="1"/>
  <c r="AD203" i="15"/>
  <c r="AD204" i="15" s="1"/>
  <c r="BD250" i="15"/>
  <c r="BD251" i="15" s="1"/>
  <c r="BD248" i="15"/>
  <c r="BD249" i="15" s="1"/>
  <c r="AR236" i="15"/>
  <c r="AR237" i="15" s="1"/>
  <c r="AR234" i="15"/>
  <c r="AR235" i="15" s="1"/>
  <c r="Z234" i="15"/>
  <c r="Z235" i="15" s="1"/>
  <c r="Z236" i="15"/>
  <c r="Z237" i="15" s="1"/>
  <c r="AV236" i="15"/>
  <c r="AV237" i="15" s="1"/>
  <c r="AV234" i="15"/>
  <c r="AV235" i="15" s="1"/>
  <c r="AX138" i="15"/>
  <c r="AX139" i="15"/>
  <c r="AM253" i="15"/>
  <c r="AM254" i="15" s="1"/>
  <c r="AM257" i="15"/>
  <c r="AM258" i="15" s="1"/>
  <c r="AM255" i="15"/>
  <c r="AM256" i="15" s="1"/>
  <c r="BI255" i="15"/>
  <c r="BI256" i="15" s="1"/>
  <c r="BI253" i="15"/>
  <c r="BI254" i="15" s="1"/>
  <c r="BI257" i="15"/>
  <c r="BI258" i="15" s="1"/>
  <c r="AP138" i="15"/>
  <c r="AP139" i="15"/>
  <c r="AG195" i="15"/>
  <c r="BK209" i="15"/>
  <c r="BK210" i="15" s="1"/>
  <c r="BK213" i="15"/>
  <c r="BK214" i="15" s="1"/>
  <c r="BK217" i="15"/>
  <c r="BK218" i="15" s="1"/>
  <c r="BK215" i="15"/>
  <c r="BK216" i="15" s="1"/>
  <c r="BK211" i="15"/>
  <c r="BK212" i="15" s="1"/>
  <c r="F233" i="15"/>
  <c r="AA236" i="15"/>
  <c r="AA237" i="15" s="1"/>
  <c r="AA234" i="15"/>
  <c r="AA235" i="15" s="1"/>
  <c r="AK248" i="15"/>
  <c r="AK249" i="15" s="1"/>
  <c r="AK250" i="15"/>
  <c r="AK251" i="15" s="1"/>
  <c r="BK197" i="15"/>
  <c r="BK198" i="15" s="1"/>
  <c r="BK201" i="15"/>
  <c r="BK202" i="15" s="1"/>
  <c r="BK205" i="15"/>
  <c r="BK206" i="15" s="1"/>
  <c r="BK203" i="15"/>
  <c r="BK204" i="15" s="1"/>
  <c r="BK199" i="15"/>
  <c r="BK200" i="15" s="1"/>
  <c r="AF253" i="15"/>
  <c r="AF254" i="15" s="1"/>
  <c r="AF257" i="15"/>
  <c r="AF258" i="15" s="1"/>
  <c r="AF255" i="15"/>
  <c r="AF256" i="15" s="1"/>
  <c r="AO247" i="15"/>
  <c r="AO252" i="15"/>
  <c r="BA243" i="15"/>
  <c r="BA244" i="15" s="1"/>
  <c r="BA241" i="15"/>
  <c r="BA242" i="15" s="1"/>
  <c r="BA239" i="15"/>
  <c r="BA240" i="15" s="1"/>
  <c r="BF139" i="15"/>
  <c r="BF138" i="15"/>
  <c r="AW234" i="15"/>
  <c r="AW235" i="15" s="1"/>
  <c r="AW236" i="15"/>
  <c r="AW237" i="15" s="1"/>
  <c r="BI241" i="15"/>
  <c r="BI242" i="15" s="1"/>
  <c r="BI239" i="15"/>
  <c r="BI240" i="15" s="1"/>
  <c r="BI243" i="15"/>
  <c r="BI244" i="15" s="1"/>
  <c r="AZ139" i="15"/>
  <c r="AZ138" i="15"/>
  <c r="BI195" i="15"/>
  <c r="BI207" i="15"/>
  <c r="BI208" i="15" s="1"/>
  <c r="BI219" i="15" s="1"/>
  <c r="BI220" i="15" s="1"/>
  <c r="AU236" i="15"/>
  <c r="AU237" i="15" s="1"/>
  <c r="AU234" i="15"/>
  <c r="AU235" i="15" s="1"/>
  <c r="BJ139" i="15"/>
  <c r="BJ138" i="15"/>
  <c r="AL195" i="15"/>
  <c r="BF195" i="15"/>
  <c r="BF207" i="15"/>
  <c r="BF208" i="15" s="1"/>
  <c r="AC234" i="15"/>
  <c r="AC235" i="15" s="1"/>
  <c r="AC236" i="15"/>
  <c r="AC237" i="15" s="1"/>
  <c r="AN195" i="15"/>
  <c r="AZ234" i="15"/>
  <c r="AZ235" i="15" s="1"/>
  <c r="AZ236" i="15"/>
  <c r="AZ237" i="15" s="1"/>
  <c r="AE253" i="15"/>
  <c r="AE254" i="15" s="1"/>
  <c r="AE257" i="15"/>
  <c r="AE258" i="15" s="1"/>
  <c r="AE255" i="15"/>
  <c r="AE256" i="15" s="1"/>
  <c r="BE138" i="15"/>
  <c r="BE139" i="15"/>
  <c r="W250" i="15"/>
  <c r="W251" i="15" s="1"/>
  <c r="W248" i="15"/>
  <c r="W249" i="15" s="1"/>
  <c r="Z255" i="15"/>
  <c r="Z256" i="15" s="1"/>
  <c r="Z257" i="15"/>
  <c r="Z258" i="15" s="1"/>
  <c r="Z253" i="15"/>
  <c r="Z254" i="15" s="1"/>
  <c r="BA255" i="15"/>
  <c r="BA256" i="15" s="1"/>
  <c r="BA253" i="15"/>
  <c r="BA254" i="15" s="1"/>
  <c r="BA257" i="15"/>
  <c r="BA258" i="15" s="1"/>
  <c r="AS250" i="15"/>
  <c r="AS251" i="15" s="1"/>
  <c r="AS248" i="15"/>
  <c r="AS249" i="15" s="1"/>
  <c r="AB234" i="15"/>
  <c r="AB235" i="15" s="1"/>
  <c r="AB236" i="15"/>
  <c r="AB237" i="15" s="1"/>
  <c r="AM236" i="15"/>
  <c r="AM237" i="15" s="1"/>
  <c r="AM234" i="15"/>
  <c r="AM235" i="15" s="1"/>
  <c r="AA239" i="15"/>
  <c r="AA240" i="15" s="1"/>
  <c r="AA243" i="15"/>
  <c r="AA244" i="15" s="1"/>
  <c r="AA241" i="15"/>
  <c r="AA242" i="15" s="1"/>
  <c r="BK195" i="15"/>
  <c r="BK219" i="15"/>
  <c r="BK207" i="15"/>
  <c r="AV138" i="15"/>
  <c r="AV139" i="15"/>
  <c r="AS195" i="15"/>
  <c r="AS207" i="15"/>
  <c r="AS208" i="15" s="1"/>
  <c r="AS219" i="15" s="1"/>
  <c r="AS220" i="15" s="1"/>
  <c r="AD239" i="15"/>
  <c r="AD240" i="15" s="1"/>
  <c r="AD243" i="15"/>
  <c r="AD244" i="15" s="1"/>
  <c r="AD241" i="15"/>
  <c r="AD242" i="15" s="1"/>
  <c r="BH138" i="15"/>
  <c r="BH139" i="15"/>
  <c r="Y255" i="15"/>
  <c r="Y256" i="15" s="1"/>
  <c r="Y253" i="15"/>
  <c r="Y254" i="15" s="1"/>
  <c r="Y257" i="15"/>
  <c r="Y258" i="15" s="1"/>
  <c r="AJ253" i="15"/>
  <c r="AJ254" i="15" s="1"/>
  <c r="AJ257" i="15"/>
  <c r="AJ258" i="15" s="1"/>
  <c r="AJ255" i="15"/>
  <c r="AJ256" i="15" s="1"/>
  <c r="AB139" i="15"/>
  <c r="AB138" i="15"/>
  <c r="AL234" i="15"/>
  <c r="AL235" i="15" s="1"/>
  <c r="AL236" i="15"/>
  <c r="AL237" i="15" s="1"/>
  <c r="BB234" i="15"/>
  <c r="BB235" i="15" s="1"/>
  <c r="BB236" i="15"/>
  <c r="BB237" i="15" s="1"/>
  <c r="BK248" i="15"/>
  <c r="BK249" i="15" s="1"/>
  <c r="BK250" i="15"/>
  <c r="BK251" i="15" s="1"/>
  <c r="AE236" i="15"/>
  <c r="AE237" i="15" s="1"/>
  <c r="AE234" i="15"/>
  <c r="AE235" i="15" s="1"/>
  <c r="AW241" i="15"/>
  <c r="AW242" i="15" s="1"/>
  <c r="AW239" i="15"/>
  <c r="AW240" i="15" s="1"/>
  <c r="AW243" i="15"/>
  <c r="AW244" i="15" s="1"/>
  <c r="AG139" i="15"/>
  <c r="AG138" i="15"/>
  <c r="AL139" i="15"/>
  <c r="AL138" i="15"/>
  <c r="AS139" i="15"/>
  <c r="AS138" i="15"/>
  <c r="W241" i="15"/>
  <c r="W242" i="15" s="1"/>
  <c r="W239" i="15"/>
  <c r="W240" i="15" s="1"/>
  <c r="W243" i="15"/>
  <c r="W244" i="15" s="1"/>
  <c r="AI253" i="15"/>
  <c r="AI254" i="15" s="1"/>
  <c r="AI257" i="15"/>
  <c r="AI258" i="15" s="1"/>
  <c r="AI255" i="15"/>
  <c r="AI256" i="15" s="1"/>
  <c r="AL196" i="15"/>
  <c r="AC241" i="15"/>
  <c r="AC242" i="15" s="1"/>
  <c r="AC239" i="15"/>
  <c r="AC240" i="15" s="1"/>
  <c r="AC243" i="15"/>
  <c r="AC244" i="15" s="1"/>
  <c r="AR207" i="15"/>
  <c r="AR208" i="15" s="1"/>
  <c r="AR219" i="15"/>
  <c r="AR220" i="15" s="1"/>
  <c r="AR195" i="15"/>
  <c r="BC253" i="15"/>
  <c r="BC254" i="15" s="1"/>
  <c r="BC257" i="15"/>
  <c r="BC258" i="15" s="1"/>
  <c r="BC255" i="15"/>
  <c r="BC256" i="15" s="1"/>
  <c r="BD207" i="15"/>
  <c r="BD208" i="15" s="1"/>
  <c r="BD219" i="15" s="1"/>
  <c r="BD220" i="15" s="1"/>
  <c r="BD195" i="15"/>
  <c r="AN196" i="15"/>
  <c r="BC196" i="15"/>
  <c r="BC207" i="15" s="1"/>
  <c r="BC208" i="15" s="1"/>
  <c r="AH196" i="15"/>
  <c r="AH207" i="15" s="1"/>
  <c r="AH208" i="15" s="1"/>
  <c r="AK234" i="15"/>
  <c r="AK235" i="15" s="1"/>
  <c r="AK236" i="15"/>
  <c r="AK237" i="15" s="1"/>
  <c r="AC139" i="15"/>
  <c r="AC138" i="15"/>
  <c r="AT139" i="15"/>
  <c r="AT138" i="15"/>
  <c r="AX255" i="15"/>
  <c r="AX256" i="15" s="1"/>
  <c r="AX257" i="15"/>
  <c r="AX258" i="15" s="1"/>
  <c r="AX253" i="15"/>
  <c r="AX254" i="15" s="1"/>
  <c r="BJ239" i="15"/>
  <c r="BJ240" i="15" s="1"/>
  <c r="BJ243" i="15"/>
  <c r="BJ244" i="15" s="1"/>
  <c r="BJ241" i="15"/>
  <c r="BJ242" i="15" s="1"/>
  <c r="AB196" i="15"/>
  <c r="AF236" i="15"/>
  <c r="AF237" i="15" s="1"/>
  <c r="AF234" i="15"/>
  <c r="AF235" i="15" s="1"/>
  <c r="AK138" i="15"/>
  <c r="AK139" i="15"/>
  <c r="AL248" i="15"/>
  <c r="AL249" i="15" s="1"/>
  <c r="AL250" i="15"/>
  <c r="AL251" i="15" s="1"/>
  <c r="AG255" i="15"/>
  <c r="AG256" i="15" s="1"/>
  <c r="AG253" i="15"/>
  <c r="AG254" i="15" s="1"/>
  <c r="AG257" i="15"/>
  <c r="AG258" i="15" s="1"/>
  <c r="AU196" i="15"/>
  <c r="AU207" i="15" s="1"/>
  <c r="AU208" i="15" s="1"/>
  <c r="BG241" i="15"/>
  <c r="BG242" i="15" s="1"/>
  <c r="BG239" i="15"/>
  <c r="BG240" i="15" s="1"/>
  <c r="BG243" i="15"/>
  <c r="BG244" i="15" s="1"/>
  <c r="X250" i="15"/>
  <c r="X251" i="15" s="1"/>
  <c r="X248" i="15"/>
  <c r="X249" i="15" s="1"/>
  <c r="AC195" i="15"/>
  <c r="AC207" i="15"/>
  <c r="AC208" i="15" s="1"/>
  <c r="W253" i="15"/>
  <c r="W254" i="15" s="1"/>
  <c r="W257" i="15"/>
  <c r="W258" i="15" s="1"/>
  <c r="W255" i="15"/>
  <c r="W256" i="15" s="1"/>
  <c r="U234" i="15"/>
  <c r="U235" i="15" s="1"/>
  <c r="U236" i="15"/>
  <c r="U237" i="15" s="1"/>
  <c r="W139" i="15"/>
  <c r="W138" i="15"/>
  <c r="AV250" i="15"/>
  <c r="AV251" i="15" s="1"/>
  <c r="AV248" i="15"/>
  <c r="AV249" i="15" s="1"/>
  <c r="BE234" i="15"/>
  <c r="BE235" i="15" s="1"/>
  <c r="BE236" i="15"/>
  <c r="BE237" i="15" s="1"/>
  <c r="BH241" i="15"/>
  <c r="BH242" i="15" s="1"/>
  <c r="BH239" i="15"/>
  <c r="BH240" i="15" s="1"/>
  <c r="BH243" i="15"/>
  <c r="BH244" i="15" s="1"/>
  <c r="W196" i="15"/>
  <c r="BA250" i="15"/>
  <c r="BA251" i="15" s="1"/>
  <c r="BA248" i="15"/>
  <c r="BA249" i="15" s="1"/>
  <c r="V195" i="15"/>
  <c r="V207" i="15"/>
  <c r="V208" i="15" s="1"/>
  <c r="AT236" i="15"/>
  <c r="AT237" i="15" s="1"/>
  <c r="AT234" i="15"/>
  <c r="AT235" i="15" s="1"/>
  <c r="BE250" i="15"/>
  <c r="BE251" i="15" s="1"/>
  <c r="BE248" i="15"/>
  <c r="BE249" i="15" s="1"/>
  <c r="AU139" i="15"/>
  <c r="AU138" i="15"/>
  <c r="AC250" i="15"/>
  <c r="AC251" i="15" s="1"/>
  <c r="AC248" i="15"/>
  <c r="AC249" i="15" s="1"/>
  <c r="AH236" i="15"/>
  <c r="AH237" i="15" s="1"/>
  <c r="AH234" i="15"/>
  <c r="AH235" i="15" s="1"/>
  <c r="AO194" i="15"/>
  <c r="BC236" i="15"/>
  <c r="BC237" i="15" s="1"/>
  <c r="BC234" i="15"/>
  <c r="BC235" i="15" s="1"/>
  <c r="AJ138" i="15"/>
  <c r="AJ139" i="15"/>
  <c r="AR138" i="15"/>
  <c r="AR139" i="15"/>
  <c r="AG234" i="15"/>
  <c r="AG235" i="15" s="1"/>
  <c r="AG236" i="15"/>
  <c r="AG237" i="15" s="1"/>
  <c r="AI138" i="15"/>
  <c r="AI139" i="15"/>
  <c r="V255" i="15"/>
  <c r="V256" i="15" s="1"/>
  <c r="V253" i="15"/>
  <c r="V254" i="15" s="1"/>
  <c r="V257" i="15"/>
  <c r="V258" i="15" s="1"/>
  <c r="BG253" i="15"/>
  <c r="BG254" i="15" s="1"/>
  <c r="BG257" i="15"/>
  <c r="BG258" i="15" s="1"/>
  <c r="BG255" i="15"/>
  <c r="BG256" i="15" s="1"/>
  <c r="BF255" i="15"/>
  <c r="BF256" i="15" s="1"/>
  <c r="BF257" i="15"/>
  <c r="BF258" i="15" s="1"/>
  <c r="BF253" i="15"/>
  <c r="BF254" i="15" s="1"/>
  <c r="AP195" i="15"/>
  <c r="AP207" i="15"/>
  <c r="AP208" i="15" s="1"/>
  <c r="AD195" i="15"/>
  <c r="AD207" i="15"/>
  <c r="AD208" i="15" s="1"/>
  <c r="AD219" i="15" s="1"/>
  <c r="AD220" i="15" s="1"/>
  <c r="AB253" i="15"/>
  <c r="AB254" i="15" s="1"/>
  <c r="AB257" i="15"/>
  <c r="AB258" i="15" s="1"/>
  <c r="AB255" i="15"/>
  <c r="AB256" i="15" s="1"/>
  <c r="Z239" i="15"/>
  <c r="Z240" i="15" s="1"/>
  <c r="Z243" i="15"/>
  <c r="Z244" i="15" s="1"/>
  <c r="Z241" i="15"/>
  <c r="Z242" i="15" s="1"/>
  <c r="AH248" i="15"/>
  <c r="AH249" i="15" s="1"/>
  <c r="AH250" i="15"/>
  <c r="AH251" i="15" s="1"/>
  <c r="BB195" i="15"/>
  <c r="BB207" i="15"/>
  <c r="BB208" i="15" s="1"/>
  <c r="BB219" i="15"/>
  <c r="BB220" i="15" s="1"/>
  <c r="BI248" i="15"/>
  <c r="BI249" i="15" s="1"/>
  <c r="BI250" i="15"/>
  <c r="BI251" i="15" s="1"/>
  <c r="AI241" i="15"/>
  <c r="AI242" i="15" s="1"/>
  <c r="AI239" i="15"/>
  <c r="AI240" i="15" s="1"/>
  <c r="AI243" i="15"/>
  <c r="AI244" i="15" s="1"/>
  <c r="AK255" i="15"/>
  <c r="AK256" i="15" s="1"/>
  <c r="AK253" i="15"/>
  <c r="AK254" i="15" s="1"/>
  <c r="AK257" i="15"/>
  <c r="AK258" i="15" s="1"/>
  <c r="AX239" i="15"/>
  <c r="AX240" i="15" s="1"/>
  <c r="AX243" i="15"/>
  <c r="AX244" i="15" s="1"/>
  <c r="AX241" i="15"/>
  <c r="AX242" i="15" s="1"/>
  <c r="AG196" i="15"/>
  <c r="AS199" i="15"/>
  <c r="AS200" i="15" s="1"/>
  <c r="AS203" i="15"/>
  <c r="AS204" i="15" s="1"/>
  <c r="AS205" i="15"/>
  <c r="AS206" i="15" s="1"/>
  <c r="AS197" i="15"/>
  <c r="AS198" i="15" s="1"/>
  <c r="AS201" i="15"/>
  <c r="AS202" i="15" s="1"/>
  <c r="AD234" i="15"/>
  <c r="AD235" i="15" s="1"/>
  <c r="AD236" i="15"/>
  <c r="AD237" i="15" s="1"/>
  <c r="AZ250" i="15"/>
  <c r="AZ251" i="15" s="1"/>
  <c r="AZ248" i="15"/>
  <c r="AZ249" i="15" s="1"/>
  <c r="AE239" i="15"/>
  <c r="AE240" i="15" s="1"/>
  <c r="AE243" i="15"/>
  <c r="AE244" i="15" s="1"/>
  <c r="AE241" i="15"/>
  <c r="AE242" i="15" s="1"/>
  <c r="AS239" i="15"/>
  <c r="AS240" i="15" s="1"/>
  <c r="AS241" i="15"/>
  <c r="AS242" i="15" s="1"/>
  <c r="AS243" i="15"/>
  <c r="AS244" i="15" s="1"/>
  <c r="X207" i="15"/>
  <c r="X208" i="15" s="1"/>
  <c r="X219" i="15" s="1"/>
  <c r="X220" i="15" s="1"/>
  <c r="X195" i="15"/>
  <c r="AK195" i="15"/>
  <c r="AK207" i="15"/>
  <c r="AK208" i="15" s="1"/>
  <c r="AK219" i="15" s="1"/>
  <c r="AK220" i="15" s="1"/>
  <c r="AR199" i="15"/>
  <c r="AR200" i="15" s="1"/>
  <c r="AR203" i="15"/>
  <c r="AR204" i="15" s="1"/>
  <c r="AR197" i="15"/>
  <c r="AR198" i="15" s="1"/>
  <c r="AR201" i="15"/>
  <c r="AR202" i="15" s="1"/>
  <c r="AR205" i="15"/>
  <c r="AR206" i="15" s="1"/>
  <c r="BC248" i="15"/>
  <c r="BC249" i="15" s="1"/>
  <c r="BC250" i="15"/>
  <c r="BC251" i="15" s="1"/>
  <c r="AQ195" i="15"/>
  <c r="AQ207" i="15"/>
  <c r="AQ208" i="15" s="1"/>
  <c r="AQ219" i="15" s="1"/>
  <c r="AQ220" i="15" s="1"/>
  <c r="BD236" i="15"/>
  <c r="BD237" i="15" s="1"/>
  <c r="BD234" i="15"/>
  <c r="BD235" i="15" s="1"/>
  <c r="AZ207" i="15"/>
  <c r="AZ208" i="15" s="1"/>
  <c r="AZ219" i="15" s="1"/>
  <c r="AZ220" i="15" s="1"/>
  <c r="AZ195" i="15"/>
  <c r="AQ239" i="15"/>
  <c r="AQ240" i="15" s="1"/>
  <c r="AQ243" i="15"/>
  <c r="AQ244" i="15" s="1"/>
  <c r="AQ241" i="15"/>
  <c r="AQ242" i="15" s="1"/>
  <c r="X253" i="15"/>
  <c r="X254" i="15" s="1"/>
  <c r="X257" i="15"/>
  <c r="X258" i="15" s="1"/>
  <c r="X255" i="15"/>
  <c r="X256" i="15" s="1"/>
  <c r="AP255" i="15"/>
  <c r="AP256" i="15" s="1"/>
  <c r="AP257" i="15"/>
  <c r="AP258" i="15" s="1"/>
  <c r="AP253" i="15"/>
  <c r="AP254" i="15" s="1"/>
  <c r="AF199" i="15"/>
  <c r="AF200" i="15" s="1"/>
  <c r="AF203" i="15"/>
  <c r="AF204" i="15" s="1"/>
  <c r="AF197" i="15"/>
  <c r="AF198" i="15" s="1"/>
  <c r="AF201" i="15"/>
  <c r="AF202" i="15" s="1"/>
  <c r="AF205" i="15"/>
  <c r="AF206" i="15" s="1"/>
  <c r="BE255" i="15"/>
  <c r="BE256" i="15" s="1"/>
  <c r="BE253" i="15"/>
  <c r="BE254" i="15" s="1"/>
  <c r="BE257" i="15"/>
  <c r="BE258" i="15" s="1"/>
  <c r="AE195" i="15"/>
  <c r="AE207" i="15"/>
  <c r="AE208" i="15" s="1"/>
  <c r="BC138" i="15"/>
  <c r="BC139" i="15"/>
  <c r="BK221" i="15"/>
  <c r="BK222" i="15" s="1"/>
  <c r="BK223" i="15"/>
  <c r="BK224" i="15" s="1"/>
  <c r="BK227" i="15"/>
  <c r="BK228" i="15" s="1"/>
  <c r="BK225" i="15"/>
  <c r="BK226" i="15" s="1"/>
  <c r="BK229" i="15"/>
  <c r="BK230" i="15" s="1"/>
  <c r="AX234" i="15"/>
  <c r="AX235" i="15" s="1"/>
  <c r="AX236" i="15"/>
  <c r="AX237" i="15" s="1"/>
  <c r="BJ248" i="15"/>
  <c r="BJ249" i="15" s="1"/>
  <c r="BJ250" i="15"/>
  <c r="BJ251" i="15" s="1"/>
  <c r="Y248" i="15"/>
  <c r="Y249" i="15" s="1"/>
  <c r="Y250" i="15"/>
  <c r="Y251" i="15" s="1"/>
  <c r="AJ250" i="15"/>
  <c r="AJ251" i="15" s="1"/>
  <c r="AJ248" i="15"/>
  <c r="AJ249" i="15" s="1"/>
  <c r="Z195" i="15"/>
  <c r="Z207" i="15"/>
  <c r="Z208" i="15" s="1"/>
  <c r="AL239" i="15"/>
  <c r="AL240" i="15" s="1"/>
  <c r="AL243" i="15"/>
  <c r="AL244" i="15" s="1"/>
  <c r="AL241" i="15"/>
  <c r="AL242" i="15" s="1"/>
  <c r="BB239" i="15"/>
  <c r="BB240" i="15" s="1"/>
  <c r="BB243" i="15"/>
  <c r="BB244" i="15" s="1"/>
  <c r="BB241" i="15"/>
  <c r="BB242" i="15" s="1"/>
  <c r="AX195" i="15"/>
  <c r="AX207" i="15"/>
  <c r="AX208" i="15" s="1"/>
  <c r="AX219" i="15" s="1"/>
  <c r="AX220" i="15" s="1"/>
  <c r="AJ207" i="15"/>
  <c r="AJ208" i="15" s="1"/>
  <c r="AJ219" i="15" s="1"/>
  <c r="AJ220" i="15" s="1"/>
  <c r="AJ195" i="15"/>
  <c r="BK253" i="15"/>
  <c r="BK254" i="15" s="1"/>
  <c r="BK257" i="15"/>
  <c r="BK258" i="15" s="1"/>
  <c r="BK255" i="15"/>
  <c r="BK256" i="15" s="1"/>
  <c r="AY248" i="15"/>
  <c r="AY249" i="15" s="1"/>
  <c r="AY250" i="15"/>
  <c r="AY251" i="15" s="1"/>
  <c r="BG139" i="15"/>
  <c r="BG138" i="15"/>
  <c r="W236" i="15"/>
  <c r="W237" i="15" s="1"/>
  <c r="W234" i="15"/>
  <c r="W235" i="15" s="1"/>
  <c r="U255" i="15"/>
  <c r="U256" i="15" s="1"/>
  <c r="U253" i="15"/>
  <c r="U254" i="15" s="1"/>
  <c r="U257" i="15"/>
  <c r="U258" i="15" s="1"/>
  <c r="AN241" i="15"/>
  <c r="AN242" i="15" s="1"/>
  <c r="AN239" i="15"/>
  <c r="AN240" i="15" s="1"/>
  <c r="AN243" i="15"/>
  <c r="AN244" i="15" s="1"/>
  <c r="AK239" i="15"/>
  <c r="AK240" i="15" s="1"/>
  <c r="AK241" i="15"/>
  <c r="AK242" i="15" s="1"/>
  <c r="AK243" i="15"/>
  <c r="AK244" i="15" s="1"/>
  <c r="AD248" i="15"/>
  <c r="AD249" i="15" s="1"/>
  <c r="AD250" i="15"/>
  <c r="AD251" i="15" s="1"/>
  <c r="Y234" i="15"/>
  <c r="Y235" i="15" s="1"/>
  <c r="Y236" i="15"/>
  <c r="Y237" i="15" s="1"/>
  <c r="AY138" i="15"/>
  <c r="AY139" i="15"/>
  <c r="AL255" i="15"/>
  <c r="AL256" i="15" s="1"/>
  <c r="AL253" i="15"/>
  <c r="AL254" i="15" s="1"/>
  <c r="AL257" i="15"/>
  <c r="AL258" i="15" s="1"/>
  <c r="BB248" i="15"/>
  <c r="BB249" i="15" s="1"/>
  <c r="BB250" i="15"/>
  <c r="BB251" i="15" s="1"/>
  <c r="AG250" i="15"/>
  <c r="AG251" i="15" s="1"/>
  <c r="AG248" i="15"/>
  <c r="AG249" i="15" s="1"/>
  <c r="AV207" i="15"/>
  <c r="AV208" i="15" s="1"/>
  <c r="AV219" i="15" s="1"/>
  <c r="AV220" i="15" s="1"/>
  <c r="AV195" i="15"/>
  <c r="BG236" i="15"/>
  <c r="BG237" i="15" s="1"/>
  <c r="BG234" i="15"/>
  <c r="BG235" i="15" s="1"/>
  <c r="BH196" i="15"/>
  <c r="BF234" i="15"/>
  <c r="BF235" i="15" s="1"/>
  <c r="BF236" i="15"/>
  <c r="BF237" i="15" s="1"/>
  <c r="AC199" i="15"/>
  <c r="AC200" i="15" s="1"/>
  <c r="AC203" i="15"/>
  <c r="AC204" i="15" s="1"/>
  <c r="AC205" i="15"/>
  <c r="AC206" i="15" s="1"/>
  <c r="AC201" i="15"/>
  <c r="AC202" i="15" s="1"/>
  <c r="AC197" i="15"/>
  <c r="AC198" i="15" s="1"/>
  <c r="AU250" i="15"/>
  <c r="AU251" i="15" s="1"/>
  <c r="AU248" i="15"/>
  <c r="AU249" i="15" s="1"/>
  <c r="BJ196" i="15"/>
  <c r="AR250" i="15"/>
  <c r="AR251" i="15" s="1"/>
  <c r="AR248" i="15"/>
  <c r="AR249" i="15" s="1"/>
  <c r="U243" i="15"/>
  <c r="U244" i="15" s="1"/>
  <c r="U241" i="15"/>
  <c r="U242" i="15" s="1"/>
  <c r="U239" i="15"/>
  <c r="U240" i="15" s="1"/>
  <c r="AD139" i="15"/>
  <c r="AD138" i="15"/>
  <c r="AV253" i="15"/>
  <c r="AV254" i="15" s="1"/>
  <c r="AV257" i="15"/>
  <c r="AV258" i="15" s="1"/>
  <c r="AV255" i="15"/>
  <c r="AV256" i="15" s="1"/>
  <c r="BA195" i="15"/>
  <c r="BA207" i="15"/>
  <c r="BA208" i="15" s="1"/>
  <c r="BE239" i="15"/>
  <c r="BE240" i="15" s="1"/>
  <c r="BE241" i="15"/>
  <c r="BE242" i="15" s="1"/>
  <c r="BE243" i="15"/>
  <c r="BE244" i="15" s="1"/>
  <c r="BH236" i="15"/>
  <c r="BH237" i="15" s="1"/>
  <c r="BH234" i="15"/>
  <c r="BH235" i="15" s="1"/>
  <c r="V197" i="15"/>
  <c r="V198" i="15" s="1"/>
  <c r="V201" i="15"/>
  <c r="V202" i="15" s="1"/>
  <c r="V205" i="15"/>
  <c r="V206" i="15" s="1"/>
  <c r="V199" i="15"/>
  <c r="V200" i="15" s="1"/>
  <c r="V203" i="15"/>
  <c r="V204" i="15" s="1"/>
  <c r="Z138" i="15"/>
  <c r="Z139" i="15"/>
  <c r="AT239" i="15"/>
  <c r="AT240" i="15" s="1"/>
  <c r="AT243" i="15"/>
  <c r="AT244" i="15" s="1"/>
  <c r="AT241" i="15"/>
  <c r="AT242" i="15" s="1"/>
  <c r="AY196" i="15"/>
  <c r="AY207" i="15" s="1"/>
  <c r="AY208" i="15" s="1"/>
  <c r="V139" i="15"/>
  <c r="V138" i="15"/>
  <c r="AP234" i="15"/>
  <c r="AP235" i="15" s="1"/>
  <c r="AP236" i="15"/>
  <c r="AP237" i="15" s="1"/>
  <c r="BH250" i="15"/>
  <c r="BH251" i="15" s="1"/>
  <c r="BH248" i="15"/>
  <c r="BH249" i="15" s="1"/>
  <c r="AH239" i="15"/>
  <c r="AH240" i="15" s="1"/>
  <c r="AH243" i="15"/>
  <c r="AH244" i="15" s="1"/>
  <c r="AH241" i="15"/>
  <c r="AH242" i="15" s="1"/>
  <c r="AO141" i="15"/>
  <c r="AO173" i="15" s="1"/>
  <c r="AO174" i="15" s="1"/>
  <c r="AO154" i="15" s="1"/>
  <c r="AO140" i="15"/>
  <c r="AO152" i="15"/>
  <c r="AO169" i="15"/>
  <c r="AO170" i="15" s="1"/>
  <c r="BC239" i="15"/>
  <c r="BC240" i="15" s="1"/>
  <c r="BC243" i="15"/>
  <c r="BC244" i="15" s="1"/>
  <c r="BC241" i="15"/>
  <c r="BC242" i="15" s="1"/>
  <c r="AG243" i="15"/>
  <c r="AG244" i="15" s="1"/>
  <c r="AG241" i="15"/>
  <c r="AG242" i="15" s="1"/>
  <c r="AG239" i="15"/>
  <c r="AG240" i="15" s="1"/>
  <c r="AA195" i="15"/>
  <c r="AA207" i="15"/>
  <c r="AA208" i="15" s="1"/>
  <c r="AA219" i="15" s="1"/>
  <c r="AA220" i="15" s="1"/>
  <c r="BG195" i="15"/>
  <c r="BG207" i="15"/>
  <c r="BG208" i="15" s="1"/>
  <c r="BG219" i="15"/>
  <c r="BG220" i="15" s="1"/>
  <c r="AI195" i="15"/>
  <c r="AI207" i="15"/>
  <c r="AI208" i="15" s="1"/>
  <c r="AI219" i="15" s="1"/>
  <c r="AI220" i="15" s="1"/>
  <c r="AT196" i="15"/>
  <c r="AT207" i="15" s="1"/>
  <c r="AT208" i="15" s="1"/>
  <c r="AM196" i="15"/>
  <c r="AQ248" i="15"/>
  <c r="AQ249" i="15" s="1"/>
  <c r="AQ250" i="15"/>
  <c r="AQ251" i="15" s="1"/>
  <c r="X241" i="15"/>
  <c r="X242" i="15" s="1"/>
  <c r="X239" i="15"/>
  <c r="X240" i="15" s="1"/>
  <c r="X243" i="15"/>
  <c r="X244" i="15" s="1"/>
  <c r="AN139" i="15"/>
  <c r="AN138" i="15"/>
  <c r="AB250" i="15"/>
  <c r="AB251" i="15" s="1"/>
  <c r="AB248" i="15"/>
  <c r="AB249" i="15" s="1"/>
  <c r="AT248" i="15"/>
  <c r="AT249" i="15" s="1"/>
  <c r="AT250" i="15"/>
  <c r="AT251" i="15" s="1"/>
  <c r="BE207" i="15"/>
  <c r="BE208" i="15" s="1"/>
  <c r="BE195" i="15"/>
  <c r="AH255" i="15"/>
  <c r="AH256" i="15" s="1"/>
  <c r="AH253" i="15"/>
  <c r="AH254" i="15" s="1"/>
  <c r="AH257" i="15"/>
  <c r="AH258" i="15" s="1"/>
  <c r="U195" i="15"/>
  <c r="U207" i="15"/>
  <c r="U208" i="15" s="1"/>
  <c r="U219" i="15" s="1"/>
  <c r="U220" i="15" s="1"/>
  <c r="AW255" i="15"/>
  <c r="AW256" i="15" s="1"/>
  <c r="AW253" i="15"/>
  <c r="AW254" i="15" s="1"/>
  <c r="AW257" i="15"/>
  <c r="AW258" i="15" s="1"/>
  <c r="AY239" i="15"/>
  <c r="AY240" i="15" s="1"/>
  <c r="AY243" i="15"/>
  <c r="AY244" i="15" s="1"/>
  <c r="AY241" i="15"/>
  <c r="AY242" i="15" s="1"/>
  <c r="AI236" i="15"/>
  <c r="AI237" i="15" s="1"/>
  <c r="AI234" i="15"/>
  <c r="AI235" i="15" s="1"/>
  <c r="I140" i="15"/>
  <c r="I141" i="15"/>
  <c r="I173" i="15" s="1"/>
  <c r="I174" i="15" s="1"/>
  <c r="I154" i="15" s="1"/>
  <c r="I169" i="15"/>
  <c r="I170" i="15" s="1"/>
  <c r="I138" i="15" s="1"/>
  <c r="I152" i="15"/>
  <c r="BM115" i="15"/>
  <c r="D203" i="15"/>
  <c r="D204" i="15" s="1"/>
  <c r="N238" i="15"/>
  <c r="N241" i="15" s="1"/>
  <c r="N242" i="15" s="1"/>
  <c r="L141" i="15"/>
  <c r="L173" i="15" s="1"/>
  <c r="L174" i="15" s="1"/>
  <c r="L154" i="15" s="1"/>
  <c r="L166" i="15"/>
  <c r="L169" i="15"/>
  <c r="L170" i="15" s="1"/>
  <c r="L139" i="15" s="1"/>
  <c r="R201" i="15"/>
  <c r="R202" i="15" s="1"/>
  <c r="R207" i="15"/>
  <c r="R208" i="15" s="1"/>
  <c r="R215" i="15" s="1"/>
  <c r="R216" i="15" s="1"/>
  <c r="L152" i="15"/>
  <c r="D195" i="15"/>
  <c r="D207" i="15"/>
  <c r="D208" i="15" s="1"/>
  <c r="D209" i="15" s="1"/>
  <c r="D210" i="15" s="1"/>
  <c r="R195" i="15"/>
  <c r="R199" i="15"/>
  <c r="R200" i="15" s="1"/>
  <c r="D197" i="15"/>
  <c r="D198" i="15" s="1"/>
  <c r="R197" i="15"/>
  <c r="R198" i="15" s="1"/>
  <c r="D199" i="15"/>
  <c r="D200" i="15" s="1"/>
  <c r="R203" i="15"/>
  <c r="R204" i="15" s="1"/>
  <c r="D205" i="15"/>
  <c r="D206" i="15" s="1"/>
  <c r="D166" i="15"/>
  <c r="D140" i="15"/>
  <c r="D152" i="15"/>
  <c r="D169" i="15"/>
  <c r="D170" i="15" s="1"/>
  <c r="D141" i="15"/>
  <c r="D173" i="15" s="1"/>
  <c r="D174" i="15" s="1"/>
  <c r="D154" i="15" s="1"/>
  <c r="D233" i="15"/>
  <c r="D238" i="15"/>
  <c r="D252" i="15"/>
  <c r="D247" i="15"/>
  <c r="R141" i="15"/>
  <c r="R173" i="15" s="1"/>
  <c r="R174" i="15" s="1"/>
  <c r="R154" i="15" s="1"/>
  <c r="R166" i="15"/>
  <c r="R140" i="15"/>
  <c r="R169" i="15"/>
  <c r="R170" i="15" s="1"/>
  <c r="R152" i="15"/>
  <c r="R252" i="15"/>
  <c r="R247" i="15"/>
  <c r="R233" i="15"/>
  <c r="R238" i="15"/>
  <c r="K197" i="15"/>
  <c r="K198" i="15" s="1"/>
  <c r="K205" i="15"/>
  <c r="K206" i="15" s="1"/>
  <c r="K201" i="15"/>
  <c r="K202" i="15" s="1"/>
  <c r="K203" i="15"/>
  <c r="K204" i="15" s="1"/>
  <c r="K199" i="15"/>
  <c r="K200" i="15" s="1"/>
  <c r="N253" i="15"/>
  <c r="N254" i="15" s="1"/>
  <c r="N255" i="15"/>
  <c r="N256" i="15" s="1"/>
  <c r="N257" i="15"/>
  <c r="N258" i="15" s="1"/>
  <c r="G239" i="15"/>
  <c r="G240" i="15" s="1"/>
  <c r="G243" i="15"/>
  <c r="G244" i="15" s="1"/>
  <c r="G241" i="15"/>
  <c r="G242" i="15" s="1"/>
  <c r="N138" i="15"/>
  <c r="N139" i="15"/>
  <c r="G195" i="15"/>
  <c r="G255" i="15"/>
  <c r="G256" i="15" s="1"/>
  <c r="G253" i="15"/>
  <c r="G254" i="15" s="1"/>
  <c r="G257" i="15"/>
  <c r="G258" i="15" s="1"/>
  <c r="N199" i="15"/>
  <c r="N200" i="15" s="1"/>
  <c r="N197" i="15"/>
  <c r="N198" i="15" s="1"/>
  <c r="N201" i="15"/>
  <c r="N202" i="15" s="1"/>
  <c r="N205" i="15"/>
  <c r="N206" i="15" s="1"/>
  <c r="N203" i="15"/>
  <c r="N204" i="15" s="1"/>
  <c r="G236" i="15"/>
  <c r="G237" i="15" s="1"/>
  <c r="G234" i="15"/>
  <c r="G235" i="15" s="1"/>
  <c r="G196" i="15"/>
  <c r="G248" i="15"/>
  <c r="G249" i="15" s="1"/>
  <c r="G250" i="15"/>
  <c r="G251" i="15" s="1"/>
  <c r="K138" i="15"/>
  <c r="K139" i="15"/>
  <c r="N195" i="15"/>
  <c r="N207" i="15"/>
  <c r="N208" i="15" s="1"/>
  <c r="K243" i="15"/>
  <c r="K244" i="15" s="1"/>
  <c r="K239" i="15"/>
  <c r="K240" i="15" s="1"/>
  <c r="K241" i="15"/>
  <c r="K242" i="15" s="1"/>
  <c r="K253" i="15"/>
  <c r="K254" i="15" s="1"/>
  <c r="K255" i="15"/>
  <c r="K256" i="15" s="1"/>
  <c r="K257" i="15"/>
  <c r="K258" i="15" s="1"/>
  <c r="G139" i="15"/>
  <c r="G138" i="15"/>
  <c r="N248" i="15"/>
  <c r="N249" i="15" s="1"/>
  <c r="N250" i="15"/>
  <c r="N251" i="15" s="1"/>
  <c r="K195" i="15"/>
  <c r="K207" i="15"/>
  <c r="K208" i="15" s="1"/>
  <c r="N236" i="15"/>
  <c r="N237" i="15" s="1"/>
  <c r="N234" i="15"/>
  <c r="N235" i="15" s="1"/>
  <c r="K236" i="15"/>
  <c r="K237" i="15" s="1"/>
  <c r="K234" i="15"/>
  <c r="K235" i="15" s="1"/>
  <c r="K250" i="15"/>
  <c r="K251" i="15" s="1"/>
  <c r="K248" i="15"/>
  <c r="K249" i="15" s="1"/>
  <c r="O205" i="15"/>
  <c r="O206" i="15" s="1"/>
  <c r="O199" i="15"/>
  <c r="O200" i="15" s="1"/>
  <c r="O203" i="15"/>
  <c r="O204" i="15" s="1"/>
  <c r="O201" i="15"/>
  <c r="O202" i="15" s="1"/>
  <c r="O197" i="15"/>
  <c r="O198" i="15" s="1"/>
  <c r="J205" i="15"/>
  <c r="J206" i="15" s="1"/>
  <c r="J197" i="15"/>
  <c r="J198" i="15" s="1"/>
  <c r="J199" i="15"/>
  <c r="J200" i="15" s="1"/>
  <c r="J203" i="15"/>
  <c r="J204" i="15" s="1"/>
  <c r="J201" i="15"/>
  <c r="J202" i="15" s="1"/>
  <c r="M209" i="15"/>
  <c r="M210" i="15" s="1"/>
  <c r="M217" i="15"/>
  <c r="M218" i="15" s="1"/>
  <c r="M211" i="15"/>
  <c r="M212" i="15" s="1"/>
  <c r="M213" i="15"/>
  <c r="M214" i="15" s="1"/>
  <c r="M215" i="15"/>
  <c r="M216" i="15" s="1"/>
  <c r="P195" i="15"/>
  <c r="B195" i="15"/>
  <c r="J248" i="15"/>
  <c r="J249" i="15" s="1"/>
  <c r="J250" i="15"/>
  <c r="J251" i="15" s="1"/>
  <c r="I239" i="15"/>
  <c r="I240" i="15" s="1"/>
  <c r="I243" i="15"/>
  <c r="I244" i="15" s="1"/>
  <c r="I241" i="15"/>
  <c r="I242" i="15" s="1"/>
  <c r="T195" i="15"/>
  <c r="B234" i="15"/>
  <c r="B235" i="15" s="1"/>
  <c r="B236" i="15"/>
  <c r="B237" i="15" s="1"/>
  <c r="I248" i="15"/>
  <c r="I249" i="15" s="1"/>
  <c r="I250" i="15"/>
  <c r="I251" i="15" s="1"/>
  <c r="B253" i="15"/>
  <c r="B254" i="15" s="1"/>
  <c r="B257" i="15"/>
  <c r="B258" i="15" s="1"/>
  <c r="B255" i="15"/>
  <c r="B256" i="15" s="1"/>
  <c r="BM165" i="15"/>
  <c r="BM133" i="15" s="1"/>
  <c r="BM149" i="15"/>
  <c r="J243" i="15"/>
  <c r="J244" i="15" s="1"/>
  <c r="J241" i="15"/>
  <c r="J242" i="15" s="1"/>
  <c r="J239" i="15"/>
  <c r="J240" i="15" s="1"/>
  <c r="C232" i="15"/>
  <c r="C246" i="15"/>
  <c r="T234" i="15"/>
  <c r="T235" i="15" s="1"/>
  <c r="T236" i="15"/>
  <c r="T237" i="15" s="1"/>
  <c r="J139" i="15"/>
  <c r="J138" i="15"/>
  <c r="I199" i="15"/>
  <c r="I200" i="15" s="1"/>
  <c r="I201" i="15"/>
  <c r="I202" i="15" s="1"/>
  <c r="I203" i="15"/>
  <c r="I204" i="15" s="1"/>
  <c r="I205" i="15"/>
  <c r="I206" i="15" s="1"/>
  <c r="I197" i="15"/>
  <c r="I198" i="15" s="1"/>
  <c r="BM188" i="15"/>
  <c r="BM189" i="15" s="1"/>
  <c r="BM193" i="15"/>
  <c r="BM190" i="15"/>
  <c r="BM191" i="15" s="1"/>
  <c r="F138" i="15"/>
  <c r="F139" i="15"/>
  <c r="C165" i="15"/>
  <c r="C133" i="15" s="1"/>
  <c r="C166" i="15" s="1"/>
  <c r="C149" i="15"/>
  <c r="B248" i="15"/>
  <c r="B249" i="15" s="1"/>
  <c r="B250" i="15"/>
  <c r="B251" i="15" s="1"/>
  <c r="E233" i="15"/>
  <c r="E238" i="15"/>
  <c r="M219" i="15"/>
  <c r="M220" i="15" s="1"/>
  <c r="F236" i="15"/>
  <c r="F237" i="15" s="1"/>
  <c r="F234" i="15"/>
  <c r="F235" i="15" s="1"/>
  <c r="P239" i="15"/>
  <c r="P240" i="15" s="1"/>
  <c r="P243" i="15"/>
  <c r="P244" i="15" s="1"/>
  <c r="P241" i="15"/>
  <c r="P242" i="15" s="1"/>
  <c r="T243" i="15"/>
  <c r="T244" i="15" s="1"/>
  <c r="T241" i="15"/>
  <c r="T242" i="15" s="1"/>
  <c r="T239" i="15"/>
  <c r="T240" i="15" s="1"/>
  <c r="S139" i="15"/>
  <c r="S138" i="15"/>
  <c r="F195" i="15"/>
  <c r="F207" i="15"/>
  <c r="F208" i="15" s="1"/>
  <c r="F219" i="15" s="1"/>
  <c r="F220" i="15" s="1"/>
  <c r="Q141" i="15"/>
  <c r="Q173" i="15" s="1"/>
  <c r="Q174" i="15" s="1"/>
  <c r="Q154" i="15" s="1"/>
  <c r="Q140" i="15"/>
  <c r="Q169" i="15"/>
  <c r="Q170" i="15" s="1"/>
  <c r="Q152" i="15"/>
  <c r="Q194" i="15"/>
  <c r="Q196" i="15" s="1"/>
  <c r="P250" i="15"/>
  <c r="P251" i="15" s="1"/>
  <c r="P248" i="15"/>
  <c r="P249" i="15" s="1"/>
  <c r="T255" i="15"/>
  <c r="T256" i="15" s="1"/>
  <c r="T253" i="15"/>
  <c r="T254" i="15" s="1"/>
  <c r="T257" i="15"/>
  <c r="T258" i="15" s="1"/>
  <c r="J236" i="15"/>
  <c r="J237" i="15" s="1"/>
  <c r="J234" i="15"/>
  <c r="J235" i="15" s="1"/>
  <c r="L203" i="15"/>
  <c r="L204" i="15" s="1"/>
  <c r="L199" i="15"/>
  <c r="L200" i="15" s="1"/>
  <c r="L201" i="15"/>
  <c r="L202" i="15" s="1"/>
  <c r="L197" i="15"/>
  <c r="L198" i="15" s="1"/>
  <c r="L205" i="15"/>
  <c r="L206" i="15" s="1"/>
  <c r="L234" i="15"/>
  <c r="L235" i="15" s="1"/>
  <c r="L236" i="15"/>
  <c r="L237" i="15" s="1"/>
  <c r="BM232" i="15"/>
  <c r="BM246" i="15"/>
  <c r="J195" i="15"/>
  <c r="J207" i="15"/>
  <c r="J208" i="15" s="1"/>
  <c r="O241" i="15"/>
  <c r="O242" i="15" s="1"/>
  <c r="O243" i="15"/>
  <c r="O244" i="15" s="1"/>
  <c r="O239" i="15"/>
  <c r="O240" i="15" s="1"/>
  <c r="T138" i="15"/>
  <c r="T139" i="15"/>
  <c r="S257" i="15"/>
  <c r="S258" i="15" s="1"/>
  <c r="S255" i="15"/>
  <c r="S256" i="15" s="1"/>
  <c r="S253" i="15"/>
  <c r="S254" i="15" s="1"/>
  <c r="O253" i="15"/>
  <c r="O254" i="15" s="1"/>
  <c r="O257" i="15"/>
  <c r="O258" i="15" s="1"/>
  <c r="O255" i="15"/>
  <c r="O256" i="15" s="1"/>
  <c r="E252" i="15"/>
  <c r="E247" i="15"/>
  <c r="T250" i="15"/>
  <c r="T251" i="15" s="1"/>
  <c r="T248" i="15"/>
  <c r="T249" i="15" s="1"/>
  <c r="O195" i="15"/>
  <c r="O207" i="15"/>
  <c r="O208" i="15" s="1"/>
  <c r="O219" i="15" s="1"/>
  <c r="O220" i="15" s="1"/>
  <c r="L195" i="15"/>
  <c r="L207" i="15"/>
  <c r="L208" i="15" s="1"/>
  <c r="L219" i="15" s="1"/>
  <c r="L220" i="15" s="1"/>
  <c r="J255" i="15"/>
  <c r="J256" i="15" s="1"/>
  <c r="J257" i="15"/>
  <c r="J258" i="15" s="1"/>
  <c r="J253" i="15"/>
  <c r="J254" i="15" s="1"/>
  <c r="B243" i="15"/>
  <c r="B244" i="15" s="1"/>
  <c r="B239" i="15"/>
  <c r="B240" i="15" s="1"/>
  <c r="B241" i="15"/>
  <c r="B242" i="15" s="1"/>
  <c r="F197" i="15"/>
  <c r="F198" i="15" s="1"/>
  <c r="F201" i="15"/>
  <c r="F202" i="15" s="1"/>
  <c r="F203" i="15"/>
  <c r="F204" i="15" s="1"/>
  <c r="F205" i="15"/>
  <c r="F206" i="15" s="1"/>
  <c r="F199" i="15"/>
  <c r="F200" i="15" s="1"/>
  <c r="S234" i="15"/>
  <c r="S235" i="15" s="1"/>
  <c r="S236" i="15"/>
  <c r="S237" i="15" s="1"/>
  <c r="I253" i="15"/>
  <c r="I254" i="15" s="1"/>
  <c r="I255" i="15"/>
  <c r="I256" i="15" s="1"/>
  <c r="I257" i="15"/>
  <c r="I258" i="15" s="1"/>
  <c r="L253" i="15"/>
  <c r="L254" i="15" s="1"/>
  <c r="L255" i="15"/>
  <c r="L256" i="15" s="1"/>
  <c r="L257" i="15"/>
  <c r="L258" i="15" s="1"/>
  <c r="P196" i="15"/>
  <c r="C190" i="15"/>
  <c r="C191" i="15" s="1"/>
  <c r="C188" i="15"/>
  <c r="C189" i="15" s="1"/>
  <c r="C193" i="15"/>
  <c r="F248" i="15"/>
  <c r="F249" i="15" s="1"/>
  <c r="F250" i="15"/>
  <c r="F251" i="15" s="1"/>
  <c r="B139" i="15"/>
  <c r="B138" i="15"/>
  <c r="P139" i="15"/>
  <c r="P138" i="15"/>
  <c r="T196" i="15"/>
  <c r="Q247" i="15"/>
  <c r="Q252" i="15"/>
  <c r="I207" i="15"/>
  <c r="I208" i="15" s="1"/>
  <c r="I219" i="15" s="1"/>
  <c r="I220" i="15" s="1"/>
  <c r="I195" i="15"/>
  <c r="S243" i="15"/>
  <c r="S244" i="15" s="1"/>
  <c r="S241" i="15"/>
  <c r="S242" i="15" s="1"/>
  <c r="S239" i="15"/>
  <c r="S240" i="15" s="1"/>
  <c r="H203" i="15"/>
  <c r="H204" i="15" s="1"/>
  <c r="H201" i="15"/>
  <c r="H202" i="15" s="1"/>
  <c r="H205" i="15"/>
  <c r="H206" i="15" s="1"/>
  <c r="H197" i="15"/>
  <c r="H198" i="15" s="1"/>
  <c r="H199" i="15"/>
  <c r="H200" i="15" s="1"/>
  <c r="O139" i="15"/>
  <c r="O138" i="15"/>
  <c r="H207" i="15"/>
  <c r="H208" i="15" s="1"/>
  <c r="L248" i="15"/>
  <c r="L249" i="15" s="1"/>
  <c r="L250" i="15"/>
  <c r="L251" i="15" s="1"/>
  <c r="S195" i="15"/>
  <c r="P257" i="15"/>
  <c r="P258" i="15" s="1"/>
  <c r="P253" i="15"/>
  <c r="P254" i="15" s="1"/>
  <c r="P255" i="15"/>
  <c r="P256" i="15" s="1"/>
  <c r="B196" i="15"/>
  <c r="F239" i="15"/>
  <c r="F240" i="15" s="1"/>
  <c r="F243" i="15"/>
  <c r="F244" i="15" s="1"/>
  <c r="F241" i="15"/>
  <c r="F242" i="15" s="1"/>
  <c r="E141" i="15"/>
  <c r="E173" i="15" s="1"/>
  <c r="E174" i="15" s="1"/>
  <c r="E154" i="15" s="1"/>
  <c r="E140" i="15"/>
  <c r="E169" i="15"/>
  <c r="E170" i="15" s="1"/>
  <c r="E152" i="15"/>
  <c r="F257" i="15"/>
  <c r="F258" i="15" s="1"/>
  <c r="F253" i="15"/>
  <c r="F254" i="15" s="1"/>
  <c r="F255" i="15"/>
  <c r="F256" i="15" s="1"/>
  <c r="I234" i="15"/>
  <c r="I235" i="15" s="1"/>
  <c r="I236" i="15"/>
  <c r="I237" i="15" s="1"/>
  <c r="P236" i="15"/>
  <c r="P237" i="15" s="1"/>
  <c r="P234" i="15"/>
  <c r="P235" i="15" s="1"/>
  <c r="C151" i="15"/>
  <c r="C134" i="15"/>
  <c r="C171" i="15" s="1"/>
  <c r="Q233" i="15"/>
  <c r="Q238" i="15"/>
  <c r="L239" i="15"/>
  <c r="L240" i="15" s="1"/>
  <c r="L241" i="15"/>
  <c r="L242" i="15" s="1"/>
  <c r="L243" i="15"/>
  <c r="L244" i="15" s="1"/>
  <c r="Q166" i="15"/>
  <c r="O236" i="15"/>
  <c r="O237" i="15" s="1"/>
  <c r="O234" i="15"/>
  <c r="O235" i="15" s="1"/>
  <c r="E194" i="15"/>
  <c r="E196" i="15" s="1"/>
  <c r="S250" i="15"/>
  <c r="S251" i="15" s="1"/>
  <c r="S248" i="15"/>
  <c r="S249" i="15" s="1"/>
  <c r="O250" i="15"/>
  <c r="O251" i="15" s="1"/>
  <c r="O248" i="15"/>
  <c r="O249" i="15" s="1"/>
  <c r="S196" i="15"/>
  <c r="C279" i="13"/>
  <c r="K279" i="13"/>
  <c r="AP279" i="13"/>
  <c r="H279" i="13"/>
  <c r="AK279" i="13"/>
  <c r="P279" i="13"/>
  <c r="AT279" i="13"/>
  <c r="AV279" i="13"/>
  <c r="AW279" i="13"/>
  <c r="E279" i="13"/>
  <c r="BE279" i="13"/>
  <c r="BI279" i="13"/>
  <c r="O279" i="13"/>
  <c r="AA279" i="13"/>
  <c r="BH279" i="13"/>
  <c r="AQ279" i="13"/>
  <c r="AS279" i="13"/>
  <c r="AF279" i="13"/>
  <c r="AC279" i="13"/>
  <c r="V279" i="13"/>
  <c r="W279" i="13"/>
  <c r="F279" i="14"/>
  <c r="O279" i="14"/>
  <c r="D279" i="14"/>
  <c r="AT280" i="13"/>
  <c r="AQ280" i="13"/>
  <c r="BH280" i="13"/>
  <c r="K280" i="13"/>
  <c r="M280" i="13"/>
  <c r="BE280" i="13"/>
  <c r="C280" i="13"/>
  <c r="AV280" i="13"/>
  <c r="R280" i="14"/>
  <c r="AP280" i="13"/>
  <c r="AW280" i="13"/>
  <c r="E280" i="13"/>
  <c r="BI280" i="13"/>
  <c r="P280" i="13"/>
  <c r="W280" i="13"/>
  <c r="O280" i="13"/>
  <c r="AA280" i="13"/>
  <c r="AF280" i="13"/>
  <c r="AC280" i="13"/>
  <c r="AS280" i="13"/>
  <c r="S280" i="13"/>
  <c r="V280" i="13"/>
  <c r="H280" i="13"/>
  <c r="T280" i="14"/>
  <c r="AK280" i="13"/>
  <c r="AA177" i="13" l="1"/>
  <c r="O177" i="13"/>
  <c r="BI177" i="13"/>
  <c r="BE177" i="13"/>
  <c r="E177" i="13"/>
  <c r="AW177" i="13"/>
  <c r="AV177" i="13"/>
  <c r="AT177" i="13"/>
  <c r="AK177" i="13"/>
  <c r="AP177" i="13"/>
  <c r="I244" i="13"/>
  <c r="I245" i="13" s="1"/>
  <c r="I240" i="13"/>
  <c r="I241" i="13" s="1"/>
  <c r="I246" i="13"/>
  <c r="I247" i="13" s="1"/>
  <c r="I242" i="13"/>
  <c r="I243" i="13" s="1"/>
  <c r="I238" i="13"/>
  <c r="I239" i="13" s="1"/>
  <c r="BC238" i="13"/>
  <c r="BC239" i="13" s="1"/>
  <c r="BC277" i="13" s="1"/>
  <c r="BC244" i="13"/>
  <c r="BC245" i="13" s="1"/>
  <c r="BC246" i="13"/>
  <c r="BC247" i="13" s="1"/>
  <c r="L244" i="13"/>
  <c r="L245" i="13" s="1"/>
  <c r="L246" i="13"/>
  <c r="L247" i="13" s="1"/>
  <c r="L240" i="13"/>
  <c r="L241" i="13" s="1"/>
  <c r="L277" i="13" s="1"/>
  <c r="L238" i="13"/>
  <c r="L239" i="13" s="1"/>
  <c r="L242" i="13"/>
  <c r="L243" i="13" s="1"/>
  <c r="D236" i="13"/>
  <c r="D237" i="13" s="1"/>
  <c r="D234" i="13"/>
  <c r="D235" i="13" s="1"/>
  <c r="D226" i="13"/>
  <c r="D227" i="13" s="1"/>
  <c r="D232" i="13"/>
  <c r="D233" i="13" s="1"/>
  <c r="D228" i="13"/>
  <c r="D229" i="13" s="1"/>
  <c r="D230" i="13"/>
  <c r="D231" i="13" s="1"/>
  <c r="AY244" i="13"/>
  <c r="AY245" i="13" s="1"/>
  <c r="BN246" i="13"/>
  <c r="BN247" i="13" s="1"/>
  <c r="BN242" i="13"/>
  <c r="BN243" i="13" s="1"/>
  <c r="BN240" i="13"/>
  <c r="BN241" i="13" s="1"/>
  <c r="BN244" i="13"/>
  <c r="BN245" i="13" s="1"/>
  <c r="BN238" i="13"/>
  <c r="BN239" i="13" s="1"/>
  <c r="T226" i="13"/>
  <c r="T227" i="13" s="1"/>
  <c r="T228" i="13"/>
  <c r="T229" i="13" s="1"/>
  <c r="T234" i="13"/>
  <c r="T235" i="13" s="1"/>
  <c r="T232" i="13"/>
  <c r="T233" i="13" s="1"/>
  <c r="T230" i="13"/>
  <c r="T231" i="13" s="1"/>
  <c r="I145" i="13"/>
  <c r="I164" i="13"/>
  <c r="I173" i="13"/>
  <c r="I149" i="13"/>
  <c r="I163" i="13"/>
  <c r="R246" i="13"/>
  <c r="R247" i="13" s="1"/>
  <c r="R242" i="13"/>
  <c r="R243" i="13" s="1"/>
  <c r="R240" i="13"/>
  <c r="R241" i="13" s="1"/>
  <c r="R244" i="13"/>
  <c r="R245" i="13" s="1"/>
  <c r="R238" i="13"/>
  <c r="R239" i="13" s="1"/>
  <c r="AP168" i="13"/>
  <c r="AP151" i="13"/>
  <c r="AP188" i="13" s="1"/>
  <c r="U236" i="13"/>
  <c r="U237" i="13" s="1"/>
  <c r="AY238" i="13"/>
  <c r="AY239" i="13" s="1"/>
  <c r="AY277" i="13" s="1"/>
  <c r="BG277" i="13"/>
  <c r="N165" i="13"/>
  <c r="N181" i="13"/>
  <c r="N184" i="13"/>
  <c r="BN226" i="13"/>
  <c r="BN227" i="13" s="1"/>
  <c r="BN234" i="13"/>
  <c r="BN235" i="13" s="1"/>
  <c r="BN228" i="13"/>
  <c r="BN229" i="13" s="1"/>
  <c r="BN232" i="13"/>
  <c r="BN233" i="13" s="1"/>
  <c r="BN230" i="13"/>
  <c r="BN231" i="13" s="1"/>
  <c r="Q238" i="13"/>
  <c r="Q239" i="13" s="1"/>
  <c r="Q240" i="13"/>
  <c r="Q241" i="13" s="1"/>
  <c r="Q244" i="13"/>
  <c r="Q245" i="13" s="1"/>
  <c r="Q242" i="13"/>
  <c r="Q243" i="13" s="1"/>
  <c r="Q246" i="13"/>
  <c r="Q247" i="13" s="1"/>
  <c r="AP183" i="13"/>
  <c r="AP182" i="13"/>
  <c r="AP150" i="13" s="1"/>
  <c r="AP166" i="13"/>
  <c r="I226" i="13"/>
  <c r="I227" i="13" s="1"/>
  <c r="I230" i="13"/>
  <c r="I231" i="13" s="1"/>
  <c r="I232" i="13"/>
  <c r="I233" i="13" s="1"/>
  <c r="I277" i="13" s="1"/>
  <c r="I234" i="13"/>
  <c r="I235" i="13" s="1"/>
  <c r="I228" i="13"/>
  <c r="I229" i="13" s="1"/>
  <c r="AL246" i="13"/>
  <c r="AL247" i="13" s="1"/>
  <c r="BJ277" i="13"/>
  <c r="D168" i="13"/>
  <c r="D151" i="13"/>
  <c r="D188" i="13" s="1"/>
  <c r="AT158" i="13"/>
  <c r="AT190" i="13" s="1"/>
  <c r="AT191" i="13" s="1"/>
  <c r="AT171" i="13" s="1"/>
  <c r="AT157" i="13"/>
  <c r="AT169" i="13"/>
  <c r="AT186" i="13"/>
  <c r="AT187" i="13" s="1"/>
  <c r="O168" i="13"/>
  <c r="O188" i="13"/>
  <c r="O151" i="13"/>
  <c r="AL244" i="13"/>
  <c r="AL245" i="13" s="1"/>
  <c r="D166" i="13"/>
  <c r="D182" i="13"/>
  <c r="D150" i="13" s="1"/>
  <c r="D183" i="13"/>
  <c r="T236" i="13"/>
  <c r="T237" i="13" s="1"/>
  <c r="Q234" i="13"/>
  <c r="Q235" i="13" s="1"/>
  <c r="Q230" i="13"/>
  <c r="Q231" i="13" s="1"/>
  <c r="Q232" i="13"/>
  <c r="Q233" i="13" s="1"/>
  <c r="Q226" i="13"/>
  <c r="Q227" i="13" s="1"/>
  <c r="Q228" i="13"/>
  <c r="Q229" i="13" s="1"/>
  <c r="O166" i="13"/>
  <c r="O182" i="13"/>
  <c r="O150" i="13" s="1"/>
  <c r="BA238" i="13"/>
  <c r="BA239" i="13" s="1"/>
  <c r="BA240" i="13"/>
  <c r="BA241" i="13" s="1"/>
  <c r="BA244" i="13"/>
  <c r="BA245" i="13" s="1"/>
  <c r="BA246" i="13"/>
  <c r="BA247" i="13" s="1"/>
  <c r="BA242" i="13"/>
  <c r="BA243" i="13" s="1"/>
  <c r="BA277" i="13" s="1"/>
  <c r="AX186" i="13"/>
  <c r="AX187" i="13" s="1"/>
  <c r="AX158" i="13"/>
  <c r="AX190" i="13" s="1"/>
  <c r="AX191" i="13" s="1"/>
  <c r="AX171" i="13" s="1"/>
  <c r="AX157" i="13"/>
  <c r="AX169" i="13"/>
  <c r="AL240" i="13"/>
  <c r="AL241" i="13" s="1"/>
  <c r="BF240" i="13"/>
  <c r="BF241" i="13" s="1"/>
  <c r="BF277" i="13" s="1"/>
  <c r="BF242" i="13"/>
  <c r="BF243" i="13" s="1"/>
  <c r="BF246" i="13"/>
  <c r="BF247" i="13" s="1"/>
  <c r="R277" i="13"/>
  <c r="AL238" i="13"/>
  <c r="AL239" i="13" s="1"/>
  <c r="U232" i="13"/>
  <c r="U233" i="13" s="1"/>
  <c r="AL234" i="13"/>
  <c r="AL235" i="13" s="1"/>
  <c r="AY240" i="13"/>
  <c r="AY241" i="13" s="1"/>
  <c r="N238" i="13"/>
  <c r="N239" i="13" s="1"/>
  <c r="N242" i="13"/>
  <c r="N243" i="13" s="1"/>
  <c r="N246" i="13"/>
  <c r="N247" i="13" s="1"/>
  <c r="N244" i="13"/>
  <c r="N245" i="13" s="1"/>
  <c r="N240" i="13"/>
  <c r="N241" i="13" s="1"/>
  <c r="E168" i="13"/>
  <c r="E151" i="13"/>
  <c r="E188" i="13" s="1"/>
  <c r="AU277" i="13"/>
  <c r="BN184" i="13"/>
  <c r="BN181" i="13"/>
  <c r="BN165" i="13"/>
  <c r="AB228" i="13"/>
  <c r="AB229" i="13" s="1"/>
  <c r="AY242" i="13"/>
  <c r="AY243" i="13" s="1"/>
  <c r="N232" i="13"/>
  <c r="N233" i="13" s="1"/>
  <c r="N226" i="13"/>
  <c r="N227" i="13" s="1"/>
  <c r="N228" i="13"/>
  <c r="N229" i="13" s="1"/>
  <c r="N230" i="13"/>
  <c r="N231" i="13" s="1"/>
  <c r="N234" i="13"/>
  <c r="N235" i="13" s="1"/>
  <c r="F219" i="13"/>
  <c r="E166" i="13"/>
  <c r="E182" i="13"/>
  <c r="E150" i="13" s="1"/>
  <c r="BD246" i="13"/>
  <c r="BD247" i="13" s="1"/>
  <c r="BD238" i="13"/>
  <c r="BD239" i="13" s="1"/>
  <c r="BD240" i="13"/>
  <c r="BD241" i="13" s="1"/>
  <c r="BD242" i="13"/>
  <c r="BD243" i="13" s="1"/>
  <c r="BD244" i="13"/>
  <c r="BD245" i="13" s="1"/>
  <c r="BC240" i="13"/>
  <c r="BC241" i="13" s="1"/>
  <c r="BB240" i="13"/>
  <c r="BB241" i="13" s="1"/>
  <c r="BB244" i="13"/>
  <c r="BB245" i="13" s="1"/>
  <c r="BB242" i="13"/>
  <c r="BB243" i="13" s="1"/>
  <c r="BB238" i="13"/>
  <c r="BB239" i="13" s="1"/>
  <c r="BB246" i="13"/>
  <c r="BB247" i="13" s="1"/>
  <c r="BC242" i="13"/>
  <c r="BC243" i="13" s="1"/>
  <c r="AG232" i="13"/>
  <c r="AG233" i="13" s="1"/>
  <c r="AL226" i="13"/>
  <c r="AL227" i="13" s="1"/>
  <c r="AG230" i="13"/>
  <c r="AG231" i="13" s="1"/>
  <c r="AG228" i="13"/>
  <c r="AG229" i="13" s="1"/>
  <c r="AG236" i="13"/>
  <c r="AG237" i="13" s="1"/>
  <c r="AG226" i="13"/>
  <c r="AG227" i="13" s="1"/>
  <c r="AO228" i="13"/>
  <c r="AO229" i="13" s="1"/>
  <c r="AO226" i="13"/>
  <c r="AO227" i="13" s="1"/>
  <c r="AO232" i="13"/>
  <c r="AO233" i="13" s="1"/>
  <c r="AL228" i="13"/>
  <c r="AL229" i="13" s="1"/>
  <c r="AH244" i="13"/>
  <c r="AH245" i="13" s="1"/>
  <c r="AH238" i="13"/>
  <c r="AH239" i="13" s="1"/>
  <c r="AH240" i="13"/>
  <c r="AH241" i="13" s="1"/>
  <c r="AH246" i="13"/>
  <c r="AH247" i="13" s="1"/>
  <c r="AH242" i="13"/>
  <c r="AH243" i="13" s="1"/>
  <c r="AM240" i="13"/>
  <c r="AM241" i="13" s="1"/>
  <c r="AM242" i="13"/>
  <c r="AM243" i="13" s="1"/>
  <c r="AM246" i="13"/>
  <c r="AM247" i="13" s="1"/>
  <c r="AM244" i="13"/>
  <c r="AM245" i="13" s="1"/>
  <c r="AM238" i="13"/>
  <c r="AM239" i="13" s="1"/>
  <c r="AO234" i="13"/>
  <c r="AO235" i="13" s="1"/>
  <c r="AL230" i="13"/>
  <c r="AL231" i="13" s="1"/>
  <c r="AO236" i="13"/>
  <c r="AO237" i="13" s="1"/>
  <c r="AI277" i="13"/>
  <c r="AB232" i="13"/>
  <c r="AB233" i="13" s="1"/>
  <c r="AB236" i="13"/>
  <c r="AB237" i="13" s="1"/>
  <c r="AB234" i="13"/>
  <c r="AB235" i="13" s="1"/>
  <c r="AB226" i="13"/>
  <c r="AB227" i="13" s="1"/>
  <c r="X277" i="13"/>
  <c r="U242" i="13"/>
  <c r="U243" i="13" s="1"/>
  <c r="U230" i="13"/>
  <c r="U231" i="13" s="1"/>
  <c r="U228" i="13"/>
  <c r="U229" i="13" s="1"/>
  <c r="U234" i="13"/>
  <c r="U235" i="13" s="1"/>
  <c r="U238" i="13"/>
  <c r="U239" i="13" s="1"/>
  <c r="U240" i="13"/>
  <c r="U241" i="13" s="1"/>
  <c r="T177" i="14"/>
  <c r="P177" i="13"/>
  <c r="V177" i="13"/>
  <c r="C177" i="13"/>
  <c r="R177" i="14"/>
  <c r="AC177" i="13"/>
  <c r="M177" i="13"/>
  <c r="K177" i="13"/>
  <c r="BH177" i="13"/>
  <c r="AQ177" i="13"/>
  <c r="H177" i="13"/>
  <c r="AF177" i="13"/>
  <c r="AS177" i="13"/>
  <c r="S177" i="13"/>
  <c r="W177" i="13"/>
  <c r="Q214" i="14"/>
  <c r="Q215" i="14" s="1"/>
  <c r="Q220" i="14"/>
  <c r="Q221" i="14" s="1"/>
  <c r="Q222" i="14"/>
  <c r="Q223" i="14" s="1"/>
  <c r="Q216" i="14"/>
  <c r="Q217" i="14" s="1"/>
  <c r="Q218" i="14"/>
  <c r="Q219" i="14" s="1"/>
  <c r="L243" i="1"/>
  <c r="L244" i="1" s="1"/>
  <c r="L241" i="1"/>
  <c r="L242" i="1" s="1"/>
  <c r="L239" i="1"/>
  <c r="L240" i="1" s="1"/>
  <c r="L237" i="1"/>
  <c r="L238" i="1" s="1"/>
  <c r="L235" i="1"/>
  <c r="L236" i="1" s="1"/>
  <c r="W168" i="13"/>
  <c r="W151" i="13"/>
  <c r="W188" i="13" s="1"/>
  <c r="BF168" i="13"/>
  <c r="BF151" i="13"/>
  <c r="BF188" i="13" s="1"/>
  <c r="H261" i="1"/>
  <c r="H266" i="1"/>
  <c r="T158" i="14"/>
  <c r="T190" i="14" s="1"/>
  <c r="T191" i="14" s="1"/>
  <c r="T171" i="14" s="1"/>
  <c r="T157" i="14"/>
  <c r="T186" i="14"/>
  <c r="T187" i="14" s="1"/>
  <c r="T169" i="14"/>
  <c r="AR156" i="13"/>
  <c r="AR155" i="13"/>
  <c r="S168" i="14"/>
  <c r="S151" i="14"/>
  <c r="S188" i="14" s="1"/>
  <c r="J156" i="14"/>
  <c r="J155" i="14"/>
  <c r="BB183" i="13"/>
  <c r="BB182" i="13"/>
  <c r="BB150" i="13" s="1"/>
  <c r="BB166" i="13"/>
  <c r="G260" i="1"/>
  <c r="G246" i="1"/>
  <c r="W182" i="13"/>
  <c r="W150" i="13" s="1"/>
  <c r="W166" i="13"/>
  <c r="N194" i="1"/>
  <c r="N141" i="1"/>
  <c r="N195" i="1" s="1"/>
  <c r="N193" i="1"/>
  <c r="N201" i="1" s="1"/>
  <c r="N140" i="1"/>
  <c r="BE158" i="13"/>
  <c r="BE190" i="13" s="1"/>
  <c r="BE191" i="13" s="1"/>
  <c r="BE171" i="13" s="1"/>
  <c r="BE157" i="13"/>
  <c r="BE169" i="13"/>
  <c r="BE186" i="13"/>
  <c r="BE187" i="13" s="1"/>
  <c r="F158" i="14"/>
  <c r="F190" i="14" s="1"/>
  <c r="F191" i="14" s="1"/>
  <c r="F171" i="14" s="1"/>
  <c r="F157" i="14"/>
  <c r="F169" i="14"/>
  <c r="F186" i="14"/>
  <c r="F187" i="14" s="1"/>
  <c r="G179" i="1"/>
  <c r="G147" i="1" s="1"/>
  <c r="G163" i="1"/>
  <c r="BF182" i="13"/>
  <c r="BF150" i="13" s="1"/>
  <c r="BF183" i="13" s="1"/>
  <c r="BF166" i="13"/>
  <c r="J228" i="13"/>
  <c r="J229" i="13" s="1"/>
  <c r="J232" i="13"/>
  <c r="J233" i="13" s="1"/>
  <c r="J226" i="13"/>
  <c r="J227" i="13" s="1"/>
  <c r="J230" i="13"/>
  <c r="J231" i="13" s="1"/>
  <c r="J234" i="13"/>
  <c r="J235" i="13" s="1"/>
  <c r="H247" i="1"/>
  <c r="H252" i="1"/>
  <c r="S183" i="14"/>
  <c r="S166" i="14"/>
  <c r="S182" i="14"/>
  <c r="S150" i="14" s="1"/>
  <c r="H155" i="1"/>
  <c r="H187" i="1" s="1"/>
  <c r="H188" i="1" s="1"/>
  <c r="H168" i="1" s="1"/>
  <c r="H154" i="1"/>
  <c r="H183" i="1"/>
  <c r="H184" i="1" s="1"/>
  <c r="H166" i="1"/>
  <c r="M158" i="13"/>
  <c r="M190" i="13" s="1"/>
  <c r="M191" i="13" s="1"/>
  <c r="M171" i="13" s="1"/>
  <c r="M157" i="13"/>
  <c r="M186" i="13"/>
  <c r="M187" i="13" s="1"/>
  <c r="M169" i="13"/>
  <c r="U211" i="14"/>
  <c r="U213" i="14"/>
  <c r="B165" i="1"/>
  <c r="B148" i="1"/>
  <c r="B185" i="1" s="1"/>
  <c r="Q162" i="1"/>
  <c r="Q178" i="1"/>
  <c r="Q181" i="1"/>
  <c r="B158" i="13"/>
  <c r="B190" i="13" s="1"/>
  <c r="B191" i="13" s="1"/>
  <c r="B171" i="13" s="1"/>
  <c r="B157" i="13"/>
  <c r="B186" i="13"/>
  <c r="B187" i="13" s="1"/>
  <c r="B169" i="13"/>
  <c r="BI168" i="13"/>
  <c r="BI151" i="13"/>
  <c r="BI188" i="13" s="1"/>
  <c r="R165" i="1"/>
  <c r="R148" i="1"/>
  <c r="R185" i="1" s="1"/>
  <c r="B180" i="1"/>
  <c r="B163" i="1"/>
  <c r="B179" i="1"/>
  <c r="B147" i="1" s="1"/>
  <c r="V168" i="13"/>
  <c r="V151" i="13"/>
  <c r="V188" i="13" s="1"/>
  <c r="T267" i="1"/>
  <c r="T268" i="1" s="1"/>
  <c r="T269" i="1"/>
  <c r="T270" i="1" s="1"/>
  <c r="T271" i="1"/>
  <c r="T272" i="1" s="1"/>
  <c r="BG158" i="13"/>
  <c r="BG190" i="13" s="1"/>
  <c r="BG191" i="13" s="1"/>
  <c r="BG171" i="13" s="1"/>
  <c r="BG157" i="13"/>
  <c r="BG186" i="13"/>
  <c r="BG187" i="13" s="1"/>
  <c r="BG169" i="13"/>
  <c r="BI182" i="13"/>
  <c r="BI150" i="13" s="1"/>
  <c r="BI183" i="13" s="1"/>
  <c r="BI166" i="13"/>
  <c r="E162" i="1"/>
  <c r="E178" i="1"/>
  <c r="E181" i="1"/>
  <c r="U256" i="14"/>
  <c r="U257" i="14" s="1"/>
  <c r="U260" i="14"/>
  <c r="U261" i="14" s="1"/>
  <c r="U258" i="14"/>
  <c r="U259" i="14" s="1"/>
  <c r="BJ158" i="13"/>
  <c r="BJ190" i="13" s="1"/>
  <c r="BJ191" i="13" s="1"/>
  <c r="BJ171" i="13" s="1"/>
  <c r="BJ157" i="13"/>
  <c r="BJ169" i="13"/>
  <c r="BJ186" i="13"/>
  <c r="BJ187" i="13" s="1"/>
  <c r="H246" i="14"/>
  <c r="H247" i="14" s="1"/>
  <c r="H244" i="14"/>
  <c r="H245" i="14" s="1"/>
  <c r="H242" i="14"/>
  <c r="H243" i="14" s="1"/>
  <c r="H238" i="14"/>
  <c r="H239" i="14" s="1"/>
  <c r="H277" i="14" s="1"/>
  <c r="H240" i="14"/>
  <c r="H241" i="14" s="1"/>
  <c r="AV156" i="13"/>
  <c r="AV155" i="13"/>
  <c r="Y183" i="13"/>
  <c r="Y166" i="13"/>
  <c r="Y182" i="13"/>
  <c r="Y150" i="13" s="1"/>
  <c r="P168" i="14"/>
  <c r="P188" i="14"/>
  <c r="P151" i="14"/>
  <c r="D168" i="14"/>
  <c r="D151" i="14"/>
  <c r="D188" i="14" s="1"/>
  <c r="U253" i="14"/>
  <c r="U254" i="14" s="1"/>
  <c r="U251" i="14"/>
  <c r="U252" i="14" s="1"/>
  <c r="F230" i="13"/>
  <c r="F231" i="13" s="1"/>
  <c r="F234" i="13"/>
  <c r="F235" i="13" s="1"/>
  <c r="F228" i="13"/>
  <c r="F229" i="13" s="1"/>
  <c r="F232" i="13"/>
  <c r="F233" i="13" s="1"/>
  <c r="F226" i="13"/>
  <c r="F227" i="13" s="1"/>
  <c r="C261" i="1"/>
  <c r="C266" i="1"/>
  <c r="BJ183" i="13"/>
  <c r="L158" i="13"/>
  <c r="L190" i="13" s="1"/>
  <c r="L191" i="13" s="1"/>
  <c r="L171" i="13" s="1"/>
  <c r="L157" i="13"/>
  <c r="L186" i="13"/>
  <c r="L187" i="13" s="1"/>
  <c r="L169" i="13"/>
  <c r="AD168" i="13"/>
  <c r="AD151" i="13"/>
  <c r="AD188" i="13" s="1"/>
  <c r="R207" i="1"/>
  <c r="R204" i="1"/>
  <c r="R205" i="1" s="1"/>
  <c r="R202" i="1"/>
  <c r="R203" i="1" s="1"/>
  <c r="Q165" i="14"/>
  <c r="Q181" i="14"/>
  <c r="Q184" i="14"/>
  <c r="R163" i="1"/>
  <c r="R179" i="1"/>
  <c r="R147" i="1" s="1"/>
  <c r="V166" i="13"/>
  <c r="V182" i="13"/>
  <c r="V150" i="13" s="1"/>
  <c r="V183" i="13" s="1"/>
  <c r="T264" i="1"/>
  <c r="T265" i="1" s="1"/>
  <c r="T262" i="1"/>
  <c r="T263" i="1" s="1"/>
  <c r="J210" i="1"/>
  <c r="J208" i="1"/>
  <c r="BG183" i="13"/>
  <c r="G156" i="13"/>
  <c r="G155" i="13"/>
  <c r="I162" i="1"/>
  <c r="I178" i="1"/>
  <c r="I181" i="1"/>
  <c r="N162" i="1"/>
  <c r="N178" i="1"/>
  <c r="N181" i="1"/>
  <c r="AH182" i="13"/>
  <c r="AH150" i="13" s="1"/>
  <c r="AH166" i="13"/>
  <c r="G216" i="14"/>
  <c r="G217" i="14" s="1"/>
  <c r="G220" i="14"/>
  <c r="G221" i="14" s="1"/>
  <c r="G214" i="14"/>
  <c r="G215" i="14" s="1"/>
  <c r="G218" i="14"/>
  <c r="G219" i="14" s="1"/>
  <c r="G222" i="14"/>
  <c r="G223" i="14" s="1"/>
  <c r="Y168" i="13"/>
  <c r="Y151" i="13"/>
  <c r="Y188" i="13" s="1"/>
  <c r="C252" i="1"/>
  <c r="C247" i="1"/>
  <c r="T183" i="14"/>
  <c r="B207" i="1"/>
  <c r="B204" i="1"/>
  <c r="B205" i="1" s="1"/>
  <c r="B202" i="1"/>
  <c r="B203" i="1" s="1"/>
  <c r="S232" i="14"/>
  <c r="S233" i="14" s="1"/>
  <c r="S234" i="14"/>
  <c r="S235" i="14" s="1"/>
  <c r="S228" i="14"/>
  <c r="S229" i="14" s="1"/>
  <c r="S226" i="14"/>
  <c r="S227" i="14" s="1"/>
  <c r="S230" i="14"/>
  <c r="S231" i="14" s="1"/>
  <c r="P218" i="14"/>
  <c r="P219" i="14" s="1"/>
  <c r="P220" i="14"/>
  <c r="P221" i="14" s="1"/>
  <c r="P216" i="14"/>
  <c r="P217" i="14" s="1"/>
  <c r="P222" i="14"/>
  <c r="P223" i="14" s="1"/>
  <c r="P214" i="14"/>
  <c r="P215" i="14" s="1"/>
  <c r="C158" i="13"/>
  <c r="C190" i="13" s="1"/>
  <c r="C191" i="13" s="1"/>
  <c r="C171" i="13" s="1"/>
  <c r="C157" i="13"/>
  <c r="C186" i="13"/>
  <c r="C187" i="13" s="1"/>
  <c r="C169" i="13"/>
  <c r="T157" i="13"/>
  <c r="T158" i="13"/>
  <c r="T190" i="13" s="1"/>
  <c r="T191" i="13" s="1"/>
  <c r="T171" i="13" s="1"/>
  <c r="T169" i="13"/>
  <c r="T186" i="13"/>
  <c r="T187" i="13" s="1"/>
  <c r="P182" i="14"/>
  <c r="P150" i="14" s="1"/>
  <c r="P183" i="14" s="1"/>
  <c r="P166" i="14"/>
  <c r="P168" i="13"/>
  <c r="P151" i="13"/>
  <c r="P188" i="13" s="1"/>
  <c r="D183" i="14"/>
  <c r="D166" i="14"/>
  <c r="D182" i="14"/>
  <c r="D150" i="14" s="1"/>
  <c r="R156" i="14"/>
  <c r="R155" i="14"/>
  <c r="D141" i="1"/>
  <c r="D195" i="1" s="1"/>
  <c r="D194" i="1"/>
  <c r="D140" i="1"/>
  <c r="D193" i="1"/>
  <c r="D201" i="1" s="1"/>
  <c r="AB165" i="13"/>
  <c r="AB181" i="13"/>
  <c r="AB184" i="13"/>
  <c r="M208" i="1"/>
  <c r="M210" i="1" s="1"/>
  <c r="AD166" i="13"/>
  <c r="AD182" i="13"/>
  <c r="AD150" i="13" s="1"/>
  <c r="B246" i="1"/>
  <c r="B260" i="1"/>
  <c r="X168" i="13"/>
  <c r="X151" i="13"/>
  <c r="X188" i="13" s="1"/>
  <c r="AA166" i="13"/>
  <c r="AA182" i="13"/>
  <c r="AA150" i="13" s="1"/>
  <c r="AA183" i="13" s="1"/>
  <c r="BH165" i="13"/>
  <c r="BH181" i="13"/>
  <c r="BH184" i="13"/>
  <c r="S266" i="1"/>
  <c r="S261" i="1"/>
  <c r="AL165" i="13"/>
  <c r="AL181" i="13"/>
  <c r="AL184" i="13"/>
  <c r="J155" i="1"/>
  <c r="J187" i="1" s="1"/>
  <c r="J188" i="1" s="1"/>
  <c r="J168" i="1" s="1"/>
  <c r="J154" i="1"/>
  <c r="J166" i="1"/>
  <c r="J183" i="1"/>
  <c r="J184" i="1" s="1"/>
  <c r="S156" i="13"/>
  <c r="S155" i="13"/>
  <c r="AU168" i="13"/>
  <c r="AU151" i="13"/>
  <c r="AU188" i="13" s="1"/>
  <c r="F141" i="1"/>
  <c r="F195" i="1" s="1"/>
  <c r="F194" i="1"/>
  <c r="F140" i="1"/>
  <c r="F193" i="1"/>
  <c r="F201" i="1" s="1"/>
  <c r="AO168" i="13"/>
  <c r="AO151" i="13"/>
  <c r="AO188" i="13" s="1"/>
  <c r="T183" i="13"/>
  <c r="P182" i="13"/>
  <c r="P150" i="13" s="1"/>
  <c r="P166" i="13"/>
  <c r="F236" i="13"/>
  <c r="F237" i="13" s="1"/>
  <c r="AY168" i="13"/>
  <c r="AY151" i="13"/>
  <c r="AY188" i="13" s="1"/>
  <c r="K158" i="13"/>
  <c r="K190" i="13" s="1"/>
  <c r="K191" i="13" s="1"/>
  <c r="K171" i="13" s="1"/>
  <c r="K157" i="13"/>
  <c r="K186" i="13"/>
  <c r="K187" i="13" s="1"/>
  <c r="K169" i="13"/>
  <c r="L183" i="13"/>
  <c r="AQ168" i="13"/>
  <c r="AQ151" i="13"/>
  <c r="AQ188" i="13" s="1"/>
  <c r="X182" i="13"/>
  <c r="X150" i="13" s="1"/>
  <c r="X166" i="13"/>
  <c r="O155" i="1"/>
  <c r="O187" i="1" s="1"/>
  <c r="O188" i="1" s="1"/>
  <c r="O168" i="1" s="1"/>
  <c r="O154" i="1"/>
  <c r="O183" i="1"/>
  <c r="O184" i="1" s="1"/>
  <c r="O166" i="1"/>
  <c r="AJ158" i="13"/>
  <c r="AJ190" i="13" s="1"/>
  <c r="AJ191" i="13" s="1"/>
  <c r="AJ171" i="13" s="1"/>
  <c r="AJ157" i="13"/>
  <c r="AJ186" i="13"/>
  <c r="AJ187" i="13" s="1"/>
  <c r="AJ169" i="13"/>
  <c r="P165" i="1"/>
  <c r="P148" i="1"/>
  <c r="P185" i="1" s="1"/>
  <c r="M155" i="1"/>
  <c r="M187" i="1" s="1"/>
  <c r="M188" i="1" s="1"/>
  <c r="M168" i="1" s="1"/>
  <c r="M154" i="1"/>
  <c r="M183" i="1"/>
  <c r="M184" i="1" s="1"/>
  <c r="M166" i="1"/>
  <c r="AA188" i="13"/>
  <c r="AA168" i="13"/>
  <c r="AA151" i="13"/>
  <c r="U254" i="13"/>
  <c r="S247" i="1"/>
  <c r="S252" i="1"/>
  <c r="I141" i="1"/>
  <c r="I195" i="1" s="1"/>
  <c r="I194" i="1"/>
  <c r="I193" i="1"/>
  <c r="I201" i="1" s="1"/>
  <c r="I140" i="1"/>
  <c r="H208" i="1"/>
  <c r="C155" i="1"/>
  <c r="C187" i="1" s="1"/>
  <c r="C188" i="1" s="1"/>
  <c r="C168" i="1" s="1"/>
  <c r="C154" i="1"/>
  <c r="C166" i="1"/>
  <c r="C183" i="1"/>
  <c r="C184" i="1" s="1"/>
  <c r="C183" i="13"/>
  <c r="AU182" i="13"/>
  <c r="AU150" i="13" s="1"/>
  <c r="AU166" i="13"/>
  <c r="F162" i="1"/>
  <c r="F178" i="1"/>
  <c r="F181" i="1"/>
  <c r="AC165" i="13"/>
  <c r="AC181" i="13"/>
  <c r="AC184" i="13"/>
  <c r="AO166" i="13"/>
  <c r="AO182" i="13"/>
  <c r="AO150" i="13" s="1"/>
  <c r="BC168" i="13"/>
  <c r="BC151" i="13"/>
  <c r="BC188" i="13" s="1"/>
  <c r="AY182" i="13"/>
  <c r="AY150" i="13" s="1"/>
  <c r="AY166" i="13"/>
  <c r="K183" i="13"/>
  <c r="G165" i="14"/>
  <c r="G181" i="14"/>
  <c r="G184" i="14"/>
  <c r="R246" i="1"/>
  <c r="R260" i="1"/>
  <c r="AQ166" i="13"/>
  <c r="AQ182" i="13"/>
  <c r="AQ150" i="13" s="1"/>
  <c r="AQ183" i="13" s="1"/>
  <c r="AJ183" i="13"/>
  <c r="P163" i="1"/>
  <c r="P179" i="1"/>
  <c r="P147" i="1" s="1"/>
  <c r="M180" i="1"/>
  <c r="U165" i="13"/>
  <c r="U181" i="13"/>
  <c r="U184" i="13"/>
  <c r="Q194" i="1"/>
  <c r="Q141" i="1"/>
  <c r="Q195" i="1" s="1"/>
  <c r="Q193" i="1"/>
  <c r="Q201" i="1" s="1"/>
  <c r="Q140" i="1"/>
  <c r="BA168" i="13"/>
  <c r="BA151" i="13"/>
  <c r="BA188" i="13" s="1"/>
  <c r="AI168" i="13"/>
  <c r="AI151" i="13"/>
  <c r="AI188" i="13" s="1"/>
  <c r="O158" i="14"/>
  <c r="O190" i="14" s="1"/>
  <c r="O191" i="14" s="1"/>
  <c r="O171" i="14" s="1"/>
  <c r="O157" i="14"/>
  <c r="O186" i="14"/>
  <c r="O187" i="14" s="1"/>
  <c r="O169" i="14"/>
  <c r="AS158" i="13"/>
  <c r="AS190" i="13" s="1"/>
  <c r="AS191" i="13" s="1"/>
  <c r="AS171" i="13" s="1"/>
  <c r="AS157" i="13"/>
  <c r="AS186" i="13"/>
  <c r="AS187" i="13" s="1"/>
  <c r="AS169" i="13"/>
  <c r="S155" i="1"/>
  <c r="S187" i="1" s="1"/>
  <c r="S188" i="1" s="1"/>
  <c r="S168" i="1" s="1"/>
  <c r="S154" i="1"/>
  <c r="S183" i="1"/>
  <c r="S184" i="1" s="1"/>
  <c r="S166" i="1"/>
  <c r="AW168" i="13"/>
  <c r="AW151" i="13"/>
  <c r="AW188" i="13" s="1"/>
  <c r="Q212" i="14"/>
  <c r="Q224" i="14"/>
  <c r="Q225" i="14" s="1"/>
  <c r="Q236" i="14" s="1"/>
  <c r="Q237" i="14" s="1"/>
  <c r="T209" i="1"/>
  <c r="O266" i="1"/>
  <c r="O261" i="1"/>
  <c r="BC166" i="13"/>
  <c r="BC182" i="13"/>
  <c r="BC150" i="13" s="1"/>
  <c r="AK156" i="13"/>
  <c r="AK155" i="13"/>
  <c r="U265" i="14"/>
  <c r="U266" i="14" s="1"/>
  <c r="U267" i="14"/>
  <c r="U268" i="14" s="1"/>
  <c r="P204" i="1"/>
  <c r="P205" i="1" s="1"/>
  <c r="P202" i="1"/>
  <c r="P203" i="1" s="1"/>
  <c r="P207" i="1"/>
  <c r="M157" i="14"/>
  <c r="M158" i="14"/>
  <c r="M190" i="14" s="1"/>
  <c r="M191" i="14" s="1"/>
  <c r="M171" i="14" s="1"/>
  <c r="M186" i="14"/>
  <c r="M187" i="14" s="1"/>
  <c r="M169" i="14"/>
  <c r="AM168" i="13"/>
  <c r="AM151" i="13"/>
  <c r="AM188" i="13" s="1"/>
  <c r="T253" i="1"/>
  <c r="T254" i="1" s="1"/>
  <c r="T255" i="1"/>
  <c r="T256" i="1" s="1"/>
  <c r="T257" i="1"/>
  <c r="T258" i="1" s="1"/>
  <c r="J252" i="1"/>
  <c r="J247" i="1"/>
  <c r="BA182" i="13"/>
  <c r="BA150" i="13" s="1"/>
  <c r="BA183" i="13" s="1"/>
  <c r="BA166" i="13"/>
  <c r="F149" i="13"/>
  <c r="F173" i="13"/>
  <c r="F164" i="13"/>
  <c r="F145" i="13"/>
  <c r="F163" i="13"/>
  <c r="AI166" i="13"/>
  <c r="AI182" i="13"/>
  <c r="AI150" i="13" s="1"/>
  <c r="S208" i="1"/>
  <c r="S210" i="1" s="1"/>
  <c r="G165" i="1"/>
  <c r="G185" i="1"/>
  <c r="G148" i="1"/>
  <c r="J244" i="13"/>
  <c r="J245" i="13" s="1"/>
  <c r="J238" i="13"/>
  <c r="J239" i="13" s="1"/>
  <c r="J242" i="13"/>
  <c r="J243" i="13" s="1"/>
  <c r="J246" i="13"/>
  <c r="J247" i="13" s="1"/>
  <c r="J240" i="13"/>
  <c r="J241" i="13" s="1"/>
  <c r="J277" i="13" s="1"/>
  <c r="AN158" i="13"/>
  <c r="AN190" i="13" s="1"/>
  <c r="AN191" i="13" s="1"/>
  <c r="AN171" i="13" s="1"/>
  <c r="AN157" i="13"/>
  <c r="AN186" i="13"/>
  <c r="AN187" i="13" s="1"/>
  <c r="AN169" i="13"/>
  <c r="C208" i="1"/>
  <c r="C210" i="1"/>
  <c r="O183" i="14"/>
  <c r="S236" i="14"/>
  <c r="S237" i="14" s="1"/>
  <c r="S180" i="1"/>
  <c r="AW183" i="13"/>
  <c r="AW166" i="13"/>
  <c r="AW182" i="13"/>
  <c r="AW150" i="13" s="1"/>
  <c r="T210" i="1"/>
  <c r="M266" i="1"/>
  <c r="M261" i="1"/>
  <c r="O247" i="1"/>
  <c r="O252" i="1"/>
  <c r="U163" i="14"/>
  <c r="U164" i="14"/>
  <c r="U149" i="14"/>
  <c r="U145" i="14"/>
  <c r="U173" i="14"/>
  <c r="U270" i="14"/>
  <c r="U271" i="14" s="1"/>
  <c r="U274" i="14"/>
  <c r="U275" i="14" s="1"/>
  <c r="U272" i="14"/>
  <c r="U273" i="14" s="1"/>
  <c r="J165" i="13"/>
  <c r="J181" i="13"/>
  <c r="J184" i="13"/>
  <c r="BD168" i="13"/>
  <c r="BD188" i="13"/>
  <c r="BD151" i="13"/>
  <c r="AM182" i="13"/>
  <c r="AM150" i="13" s="1"/>
  <c r="AM166" i="13"/>
  <c r="T250" i="1"/>
  <c r="T251" i="1" s="1"/>
  <c r="T248" i="1"/>
  <c r="T249" i="1" s="1"/>
  <c r="O208" i="1"/>
  <c r="O210" i="1" s="1"/>
  <c r="AF165" i="13"/>
  <c r="AF181" i="13"/>
  <c r="AF184" i="13"/>
  <c r="J261" i="1"/>
  <c r="J266" i="1"/>
  <c r="AE158" i="13"/>
  <c r="AE190" i="13" s="1"/>
  <c r="AE191" i="13" s="1"/>
  <c r="AE171" i="13" s="1"/>
  <c r="AE157" i="13"/>
  <c r="AE186" i="13"/>
  <c r="AE187" i="13" s="1"/>
  <c r="AE169" i="13"/>
  <c r="L229" i="1"/>
  <c r="L230" i="1" s="1"/>
  <c r="L223" i="1"/>
  <c r="L224" i="1" s="1"/>
  <c r="L274" i="1" s="1"/>
  <c r="L225" i="1"/>
  <c r="L226" i="1" s="1"/>
  <c r="L231" i="1"/>
  <c r="L232" i="1" s="1"/>
  <c r="L227" i="1"/>
  <c r="L228" i="1" s="1"/>
  <c r="I139" i="15"/>
  <c r="E141" i="1"/>
  <c r="E195" i="1" s="1"/>
  <c r="E194" i="1"/>
  <c r="E193" i="1"/>
  <c r="E201" i="1" s="1"/>
  <c r="E140" i="1"/>
  <c r="AG173" i="13"/>
  <c r="AG163" i="13"/>
  <c r="AG164" i="13"/>
  <c r="AG145" i="13"/>
  <c r="AG149" i="13"/>
  <c r="H158" i="13"/>
  <c r="H190" i="13" s="1"/>
  <c r="H191" i="13" s="1"/>
  <c r="H171" i="13" s="1"/>
  <c r="H157" i="13"/>
  <c r="H186" i="13"/>
  <c r="H187" i="13" s="1"/>
  <c r="H169" i="13"/>
  <c r="G212" i="14"/>
  <c r="G224" i="14"/>
  <c r="G225" i="14" s="1"/>
  <c r="G236" i="14"/>
  <c r="G237" i="14" s="1"/>
  <c r="P224" i="14"/>
  <c r="P225" i="14" s="1"/>
  <c r="AS183" i="13"/>
  <c r="E158" i="14"/>
  <c r="E190" i="14" s="1"/>
  <c r="E191" i="14" s="1"/>
  <c r="E171" i="14" s="1"/>
  <c r="E157" i="14"/>
  <c r="E186" i="14"/>
  <c r="E187" i="14" s="1"/>
  <c r="E169" i="14"/>
  <c r="M252" i="1"/>
  <c r="M247" i="1"/>
  <c r="K239" i="1"/>
  <c r="K240" i="1" s="1"/>
  <c r="K235" i="1"/>
  <c r="K236" i="1" s="1"/>
  <c r="K274" i="1" s="1"/>
  <c r="K241" i="1"/>
  <c r="K242" i="1" s="1"/>
  <c r="K243" i="1"/>
  <c r="K244" i="1" s="1"/>
  <c r="K237" i="1"/>
  <c r="K238" i="1" s="1"/>
  <c r="D162" i="1"/>
  <c r="D181" i="1"/>
  <c r="D178" i="1"/>
  <c r="H158" i="14"/>
  <c r="H190" i="14" s="1"/>
  <c r="H191" i="14" s="1"/>
  <c r="H171" i="14" s="1"/>
  <c r="H157" i="14"/>
  <c r="H169" i="14"/>
  <c r="H186" i="14"/>
  <c r="H187" i="14" s="1"/>
  <c r="AH168" i="13"/>
  <c r="AH151" i="13"/>
  <c r="AH188" i="13" s="1"/>
  <c r="Q158" i="13"/>
  <c r="Q190" i="13" s="1"/>
  <c r="Q191" i="13" s="1"/>
  <c r="Q171" i="13" s="1"/>
  <c r="Q157" i="13"/>
  <c r="Q186" i="13"/>
  <c r="Q187" i="13" s="1"/>
  <c r="Q169" i="13"/>
  <c r="R158" i="13"/>
  <c r="R190" i="13" s="1"/>
  <c r="R191" i="13" s="1"/>
  <c r="R171" i="13" s="1"/>
  <c r="R157" i="13"/>
  <c r="R186" i="13"/>
  <c r="R187" i="13" s="1"/>
  <c r="R169" i="13"/>
  <c r="P246" i="1"/>
  <c r="P260" i="1"/>
  <c r="M183" i="14"/>
  <c r="BD166" i="13"/>
  <c r="BD182" i="13"/>
  <c r="BD150" i="13" s="1"/>
  <c r="BB168" i="13"/>
  <c r="BB151" i="13"/>
  <c r="BB188" i="13" s="1"/>
  <c r="T153" i="1"/>
  <c r="T152" i="1"/>
  <c r="G207" i="1"/>
  <c r="G204" i="1"/>
  <c r="G205" i="1" s="1"/>
  <c r="G202" i="1"/>
  <c r="G203" i="1" s="1"/>
  <c r="Z158" i="13"/>
  <c r="Z190" i="13" s="1"/>
  <c r="Z191" i="13" s="1"/>
  <c r="Z171" i="13" s="1"/>
  <c r="Z157" i="13"/>
  <c r="Z186" i="13"/>
  <c r="Z187" i="13" s="1"/>
  <c r="Z169" i="13"/>
  <c r="AY209" i="15"/>
  <c r="AY210" i="15" s="1"/>
  <c r="AY213" i="15"/>
  <c r="AY214" i="15" s="1"/>
  <c r="AY217" i="15"/>
  <c r="AY218" i="15" s="1"/>
  <c r="AY215" i="15"/>
  <c r="AY216" i="15" s="1"/>
  <c r="AY211" i="15"/>
  <c r="AY212" i="15" s="1"/>
  <c r="AX221" i="15"/>
  <c r="AX222" i="15" s="1"/>
  <c r="AX225" i="15"/>
  <c r="AX226" i="15" s="1"/>
  <c r="AX229" i="15"/>
  <c r="AX230" i="15" s="1"/>
  <c r="AX223" i="15"/>
  <c r="AX224" i="15" s="1"/>
  <c r="AX227" i="15"/>
  <c r="AX228" i="15" s="1"/>
  <c r="AQ221" i="15"/>
  <c r="AQ222" i="15" s="1"/>
  <c r="AQ223" i="15"/>
  <c r="AQ224" i="15" s="1"/>
  <c r="AQ227" i="15"/>
  <c r="AQ228" i="15" s="1"/>
  <c r="AQ225" i="15"/>
  <c r="AQ226" i="15" s="1"/>
  <c r="AQ229" i="15"/>
  <c r="AQ230" i="15" s="1"/>
  <c r="X229" i="15"/>
  <c r="X230" i="15" s="1"/>
  <c r="X223" i="15"/>
  <c r="X224" i="15" s="1"/>
  <c r="X227" i="15"/>
  <c r="X228" i="15" s="1"/>
  <c r="X221" i="15"/>
  <c r="X222" i="15" s="1"/>
  <c r="X260" i="15" s="1"/>
  <c r="X225" i="15"/>
  <c r="X226" i="15" s="1"/>
  <c r="AT209" i="15"/>
  <c r="AT210" i="15" s="1"/>
  <c r="AT213" i="15"/>
  <c r="AT214" i="15" s="1"/>
  <c r="AT217" i="15"/>
  <c r="AT218" i="15" s="1"/>
  <c r="AT211" i="15"/>
  <c r="AT212" i="15" s="1"/>
  <c r="AT215" i="15"/>
  <c r="AT216" i="15" s="1"/>
  <c r="AZ225" i="15"/>
  <c r="AZ226" i="15" s="1"/>
  <c r="AZ221" i="15"/>
  <c r="AZ222" i="15" s="1"/>
  <c r="AZ223" i="15"/>
  <c r="AZ224" i="15" s="1"/>
  <c r="AZ227" i="15"/>
  <c r="AZ228" i="15" s="1"/>
  <c r="AZ229" i="15"/>
  <c r="AZ230" i="15" s="1"/>
  <c r="AK225" i="15"/>
  <c r="AK226" i="15" s="1"/>
  <c r="AK229" i="15"/>
  <c r="AK230" i="15" s="1"/>
  <c r="AK221" i="15"/>
  <c r="AK222" i="15" s="1"/>
  <c r="AK223" i="15"/>
  <c r="AK224" i="15" s="1"/>
  <c r="AK227" i="15"/>
  <c r="AK228" i="15" s="1"/>
  <c r="AS225" i="15"/>
  <c r="AS226" i="15" s="1"/>
  <c r="AS229" i="15"/>
  <c r="AS230" i="15" s="1"/>
  <c r="AS221" i="15"/>
  <c r="AS222" i="15" s="1"/>
  <c r="AS223" i="15"/>
  <c r="AS224" i="15" s="1"/>
  <c r="AS227" i="15"/>
  <c r="AS228" i="15" s="1"/>
  <c r="U225" i="15"/>
  <c r="U226" i="15" s="1"/>
  <c r="U229" i="15"/>
  <c r="U230" i="15" s="1"/>
  <c r="U221" i="15"/>
  <c r="U222" i="15" s="1"/>
  <c r="U223" i="15"/>
  <c r="U224" i="15" s="1"/>
  <c r="U227" i="15"/>
  <c r="U228" i="15" s="1"/>
  <c r="AI221" i="15"/>
  <c r="AI222" i="15" s="1"/>
  <c r="AI223" i="15"/>
  <c r="AI224" i="15" s="1"/>
  <c r="AI227" i="15"/>
  <c r="AI228" i="15" s="1"/>
  <c r="AI225" i="15"/>
  <c r="AI226" i="15" s="1"/>
  <c r="AI229" i="15"/>
  <c r="AI230" i="15" s="1"/>
  <c r="AV223" i="15"/>
  <c r="AV224" i="15" s="1"/>
  <c r="AV227" i="15"/>
  <c r="AV228" i="15" s="1"/>
  <c r="AV229" i="15"/>
  <c r="AV230" i="15" s="1"/>
  <c r="AV221" i="15"/>
  <c r="AV222" i="15" s="1"/>
  <c r="AV225" i="15"/>
  <c r="AV226" i="15" s="1"/>
  <c r="AH209" i="15"/>
  <c r="AH210" i="15" s="1"/>
  <c r="AH213" i="15"/>
  <c r="AH214" i="15" s="1"/>
  <c r="AH217" i="15"/>
  <c r="AH218" i="15" s="1"/>
  <c r="AH211" i="15"/>
  <c r="AH212" i="15" s="1"/>
  <c r="AH215" i="15"/>
  <c r="AH216" i="15" s="1"/>
  <c r="BD221" i="15"/>
  <c r="BD222" i="15" s="1"/>
  <c r="BD229" i="15"/>
  <c r="BD230" i="15" s="1"/>
  <c r="BD223" i="15"/>
  <c r="BD224" i="15" s="1"/>
  <c r="BD227" i="15"/>
  <c r="BD228" i="15" s="1"/>
  <c r="BD225" i="15"/>
  <c r="BD226" i="15" s="1"/>
  <c r="BI225" i="15"/>
  <c r="BI226" i="15" s="1"/>
  <c r="BI229" i="15"/>
  <c r="BI230" i="15" s="1"/>
  <c r="BI221" i="15"/>
  <c r="BI222" i="15" s="1"/>
  <c r="BI223" i="15"/>
  <c r="BI224" i="15" s="1"/>
  <c r="BI260" i="15" s="1"/>
  <c r="BI227" i="15"/>
  <c r="BI228" i="15" s="1"/>
  <c r="AA221" i="15"/>
  <c r="AA222" i="15" s="1"/>
  <c r="AA223" i="15"/>
  <c r="AA224" i="15" s="1"/>
  <c r="AA227" i="15"/>
  <c r="AA228" i="15" s="1"/>
  <c r="AA225" i="15"/>
  <c r="AA226" i="15" s="1"/>
  <c r="AA229" i="15"/>
  <c r="AA230" i="15" s="1"/>
  <c r="AJ221" i="15"/>
  <c r="AJ222" i="15" s="1"/>
  <c r="AJ223" i="15"/>
  <c r="AJ224" i="15" s="1"/>
  <c r="AJ227" i="15"/>
  <c r="AJ228" i="15" s="1"/>
  <c r="AJ229" i="15"/>
  <c r="AJ230" i="15" s="1"/>
  <c r="AJ225" i="15"/>
  <c r="AJ226" i="15" s="1"/>
  <c r="AD221" i="15"/>
  <c r="AD222" i="15" s="1"/>
  <c r="AD227" i="15"/>
  <c r="AD228" i="15" s="1"/>
  <c r="AD225" i="15"/>
  <c r="AD226" i="15" s="1"/>
  <c r="AD229" i="15"/>
  <c r="AD230" i="15" s="1"/>
  <c r="AD223" i="15"/>
  <c r="AD224" i="15" s="1"/>
  <c r="AU209" i="15"/>
  <c r="AU210" i="15" s="1"/>
  <c r="AU213" i="15"/>
  <c r="AU214" i="15" s="1"/>
  <c r="AU217" i="15"/>
  <c r="AU218" i="15" s="1"/>
  <c r="AU215" i="15"/>
  <c r="AU216" i="15" s="1"/>
  <c r="AU211" i="15"/>
  <c r="AU212" i="15" s="1"/>
  <c r="BC209" i="15"/>
  <c r="BC210" i="15" s="1"/>
  <c r="BC213" i="15"/>
  <c r="BC214" i="15" s="1"/>
  <c r="BC217" i="15"/>
  <c r="BC218" i="15" s="1"/>
  <c r="BC211" i="15"/>
  <c r="BC212" i="15" s="1"/>
  <c r="BC215" i="15"/>
  <c r="BC216" i="15" s="1"/>
  <c r="BE211" i="15"/>
  <c r="BE212" i="15" s="1"/>
  <c r="BE215" i="15"/>
  <c r="BE216" i="15" s="1"/>
  <c r="BE213" i="15"/>
  <c r="BE214" i="15" s="1"/>
  <c r="BE217" i="15"/>
  <c r="BE218" i="15" s="1"/>
  <c r="BE209" i="15"/>
  <c r="BE210" i="15" s="1"/>
  <c r="AM197" i="15"/>
  <c r="AM198" i="15" s="1"/>
  <c r="AM201" i="15"/>
  <c r="AM202" i="15" s="1"/>
  <c r="AM205" i="15"/>
  <c r="AM206" i="15" s="1"/>
  <c r="AM203" i="15"/>
  <c r="AM204" i="15" s="1"/>
  <c r="AM199" i="15"/>
  <c r="AM200" i="15" s="1"/>
  <c r="BA211" i="15"/>
  <c r="BA212" i="15" s="1"/>
  <c r="BA215" i="15"/>
  <c r="BA216" i="15" s="1"/>
  <c r="BA217" i="15"/>
  <c r="BA218" i="15" s="1"/>
  <c r="BA213" i="15"/>
  <c r="BA214" i="15" s="1"/>
  <c r="BA209" i="15"/>
  <c r="BA210" i="15" s="1"/>
  <c r="BJ197" i="15"/>
  <c r="BJ198" i="15" s="1"/>
  <c r="BJ201" i="15"/>
  <c r="BJ202" i="15" s="1"/>
  <c r="BJ205" i="15"/>
  <c r="BJ206" i="15" s="1"/>
  <c r="BJ199" i="15"/>
  <c r="BJ200" i="15" s="1"/>
  <c r="BJ203" i="15"/>
  <c r="BJ204" i="15" s="1"/>
  <c r="Z209" i="15"/>
  <c r="Z210" i="15" s="1"/>
  <c r="Z213" i="15"/>
  <c r="Z214" i="15" s="1"/>
  <c r="Z217" i="15"/>
  <c r="Z218" i="15" s="1"/>
  <c r="Z211" i="15"/>
  <c r="Z212" i="15" s="1"/>
  <c r="Z215" i="15"/>
  <c r="Z216" i="15" s="1"/>
  <c r="AP209" i="15"/>
  <c r="AP210" i="15" s="1"/>
  <c r="AP213" i="15"/>
  <c r="AP214" i="15" s="1"/>
  <c r="AP217" i="15"/>
  <c r="AP218" i="15" s="1"/>
  <c r="AP211" i="15"/>
  <c r="AP212" i="15" s="1"/>
  <c r="AP215" i="15"/>
  <c r="AP216" i="15" s="1"/>
  <c r="AO195" i="15"/>
  <c r="V209" i="15"/>
  <c r="V210" i="15" s="1"/>
  <c r="V213" i="15"/>
  <c r="V214" i="15" s="1"/>
  <c r="V217" i="15"/>
  <c r="V218" i="15" s="1"/>
  <c r="V211" i="15"/>
  <c r="V212" i="15" s="1"/>
  <c r="V215" i="15"/>
  <c r="V216" i="15" s="1"/>
  <c r="W197" i="15"/>
  <c r="W198" i="15" s="1"/>
  <c r="W201" i="15"/>
  <c r="W202" i="15" s="1"/>
  <c r="W205" i="15"/>
  <c r="W206" i="15" s="1"/>
  <c r="W199" i="15"/>
  <c r="W200" i="15" s="1"/>
  <c r="W203" i="15"/>
  <c r="W204" i="15" s="1"/>
  <c r="AC211" i="15"/>
  <c r="AC212" i="15" s="1"/>
  <c r="AC215" i="15"/>
  <c r="AC216" i="15" s="1"/>
  <c r="AC209" i="15"/>
  <c r="AC210" i="15" s="1"/>
  <c r="AC217" i="15"/>
  <c r="AC218" i="15" s="1"/>
  <c r="AC213" i="15"/>
  <c r="AC214" i="15" s="1"/>
  <c r="AN199" i="15"/>
  <c r="AN200" i="15" s="1"/>
  <c r="AN203" i="15"/>
  <c r="AN204" i="15" s="1"/>
  <c r="AN197" i="15"/>
  <c r="AN198" i="15" s="1"/>
  <c r="AN201" i="15"/>
  <c r="AN202" i="15" s="1"/>
  <c r="AN205" i="15"/>
  <c r="AN206" i="15" s="1"/>
  <c r="AR229" i="15"/>
  <c r="AR230" i="15" s="1"/>
  <c r="AR221" i="15"/>
  <c r="AR222" i="15" s="1"/>
  <c r="AR223" i="15"/>
  <c r="AR224" i="15" s="1"/>
  <c r="AR227" i="15"/>
  <c r="AR228" i="15" s="1"/>
  <c r="AR225" i="15"/>
  <c r="AR226" i="15" s="1"/>
  <c r="AN207" i="15"/>
  <c r="AN208" i="15" s="1"/>
  <c r="AN219" i="15" s="1"/>
  <c r="AN220" i="15" s="1"/>
  <c r="BF209" i="15"/>
  <c r="BF210" i="15" s="1"/>
  <c r="BF213" i="15"/>
  <c r="BF214" i="15" s="1"/>
  <c r="BF217" i="15"/>
  <c r="BF218" i="15" s="1"/>
  <c r="BF211" i="15"/>
  <c r="BF212" i="15" s="1"/>
  <c r="BF215" i="15"/>
  <c r="BF216" i="15" s="1"/>
  <c r="AO255" i="15"/>
  <c r="AO256" i="15" s="1"/>
  <c r="AO253" i="15"/>
  <c r="AO254" i="15" s="1"/>
  <c r="AO257" i="15"/>
  <c r="AO258" i="15" s="1"/>
  <c r="Y211" i="15"/>
  <c r="Y212" i="15" s="1"/>
  <c r="Y215" i="15"/>
  <c r="Y216" i="15" s="1"/>
  <c r="Y209" i="15"/>
  <c r="Y210" i="15" s="1"/>
  <c r="Y213" i="15"/>
  <c r="Y214" i="15" s="1"/>
  <c r="Y217" i="15"/>
  <c r="Y218" i="15" s="1"/>
  <c r="AW221" i="15"/>
  <c r="AW222" i="15" s="1"/>
  <c r="AW225" i="15"/>
  <c r="AW226" i="15" s="1"/>
  <c r="AW229" i="15"/>
  <c r="AW230" i="15" s="1"/>
  <c r="AW223" i="15"/>
  <c r="AW224" i="15" s="1"/>
  <c r="AW227" i="15"/>
  <c r="AW228" i="15" s="1"/>
  <c r="AF211" i="15"/>
  <c r="AF212" i="15" s="1"/>
  <c r="AF215" i="15"/>
  <c r="AF216" i="15" s="1"/>
  <c r="AF209" i="15"/>
  <c r="AF210" i="15" s="1"/>
  <c r="AF213" i="15"/>
  <c r="AF214" i="15" s="1"/>
  <c r="AF217" i="15"/>
  <c r="AF218" i="15" s="1"/>
  <c r="U211" i="15"/>
  <c r="U212" i="15" s="1"/>
  <c r="U215" i="15"/>
  <c r="U216" i="15" s="1"/>
  <c r="U217" i="15"/>
  <c r="U218" i="15" s="1"/>
  <c r="U213" i="15"/>
  <c r="U214" i="15" s="1"/>
  <c r="U209" i="15"/>
  <c r="U210" i="15" s="1"/>
  <c r="U260" i="15" s="1"/>
  <c r="AT197" i="15"/>
  <c r="AT198" i="15" s="1"/>
  <c r="AT201" i="15"/>
  <c r="AT202" i="15" s="1"/>
  <c r="AT205" i="15"/>
  <c r="AT206" i="15" s="1"/>
  <c r="AT199" i="15"/>
  <c r="AT200" i="15" s="1"/>
  <c r="AT203" i="15"/>
  <c r="AT204" i="15" s="1"/>
  <c r="BG221" i="15"/>
  <c r="BG222" i="15" s="1"/>
  <c r="BG223" i="15"/>
  <c r="BG224" i="15" s="1"/>
  <c r="BG227" i="15"/>
  <c r="BG228" i="15" s="1"/>
  <c r="BG225" i="15"/>
  <c r="BG226" i="15" s="1"/>
  <c r="BG229" i="15"/>
  <c r="BG230" i="15" s="1"/>
  <c r="AA209" i="15"/>
  <c r="AA210" i="15" s="1"/>
  <c r="AA213" i="15"/>
  <c r="AA214" i="15" s="1"/>
  <c r="AA217" i="15"/>
  <c r="AA218" i="15" s="1"/>
  <c r="AA215" i="15"/>
  <c r="AA216" i="15" s="1"/>
  <c r="AA260" i="15" s="1"/>
  <c r="AA211" i="15"/>
  <c r="AA212" i="15" s="1"/>
  <c r="AJ211" i="15"/>
  <c r="AJ212" i="15" s="1"/>
  <c r="AJ215" i="15"/>
  <c r="AJ216" i="15" s="1"/>
  <c r="AJ209" i="15"/>
  <c r="AJ210" i="15" s="1"/>
  <c r="AJ260" i="15" s="1"/>
  <c r="AJ213" i="15"/>
  <c r="AJ214" i="15" s="1"/>
  <c r="AJ217" i="15"/>
  <c r="AJ218" i="15" s="1"/>
  <c r="AE209" i="15"/>
  <c r="AE210" i="15" s="1"/>
  <c r="AE213" i="15"/>
  <c r="AE214" i="15" s="1"/>
  <c r="AE217" i="15"/>
  <c r="AE218" i="15" s="1"/>
  <c r="AE215" i="15"/>
  <c r="AE216" i="15" s="1"/>
  <c r="AE211" i="15"/>
  <c r="AE212" i="15" s="1"/>
  <c r="AK211" i="15"/>
  <c r="AK212" i="15" s="1"/>
  <c r="AK215" i="15"/>
  <c r="AK216" i="15" s="1"/>
  <c r="AK217" i="15"/>
  <c r="AK218" i="15" s="1"/>
  <c r="AK213" i="15"/>
  <c r="AK214" i="15" s="1"/>
  <c r="AK209" i="15"/>
  <c r="AK210" i="15" s="1"/>
  <c r="AK260" i="15" s="1"/>
  <c r="X211" i="15"/>
  <c r="X212" i="15" s="1"/>
  <c r="X215" i="15"/>
  <c r="X216" i="15" s="1"/>
  <c r="X209" i="15"/>
  <c r="X210" i="15" s="1"/>
  <c r="X213" i="15"/>
  <c r="X214" i="15" s="1"/>
  <c r="X217" i="15"/>
  <c r="X218" i="15" s="1"/>
  <c r="AG199" i="15"/>
  <c r="AG200" i="15" s="1"/>
  <c r="AG203" i="15"/>
  <c r="AG204" i="15" s="1"/>
  <c r="AG197" i="15"/>
  <c r="AG198" i="15" s="1"/>
  <c r="AG201" i="15"/>
  <c r="AG202" i="15" s="1"/>
  <c r="AG205" i="15"/>
  <c r="AG206" i="15" s="1"/>
  <c r="BB221" i="15"/>
  <c r="BB222" i="15" s="1"/>
  <c r="BB225" i="15"/>
  <c r="BB226" i="15" s="1"/>
  <c r="BB229" i="15"/>
  <c r="BB230" i="15" s="1"/>
  <c r="BB227" i="15"/>
  <c r="BB228" i="15" s="1"/>
  <c r="BB223" i="15"/>
  <c r="BB224" i="15" s="1"/>
  <c r="AD209" i="15"/>
  <c r="AD210" i="15" s="1"/>
  <c r="AD213" i="15"/>
  <c r="AD214" i="15" s="1"/>
  <c r="AD217" i="15"/>
  <c r="AD218" i="15" s="1"/>
  <c r="AD211" i="15"/>
  <c r="AD212" i="15" s="1"/>
  <c r="AD260" i="15" s="1"/>
  <c r="AD215" i="15"/>
  <c r="AD216" i="15" s="1"/>
  <c r="AB199" i="15"/>
  <c r="AB200" i="15" s="1"/>
  <c r="AB203" i="15"/>
  <c r="AB204" i="15" s="1"/>
  <c r="AB197" i="15"/>
  <c r="AB198" i="15" s="1"/>
  <c r="AB201" i="15"/>
  <c r="AB202" i="15" s="1"/>
  <c r="AB205" i="15"/>
  <c r="AB206" i="15" s="1"/>
  <c r="AR211" i="15"/>
  <c r="AR212" i="15" s="1"/>
  <c r="AR215" i="15"/>
  <c r="AR216" i="15" s="1"/>
  <c r="AR209" i="15"/>
  <c r="AR210" i="15" s="1"/>
  <c r="AR213" i="15"/>
  <c r="AR214" i="15" s="1"/>
  <c r="AR217" i="15"/>
  <c r="AR218" i="15" s="1"/>
  <c r="AR260" i="15" s="1"/>
  <c r="AL197" i="15"/>
  <c r="AL198" i="15" s="1"/>
  <c r="AL201" i="15"/>
  <c r="AL202" i="15" s="1"/>
  <c r="AL205" i="15"/>
  <c r="AL206" i="15" s="1"/>
  <c r="AL199" i="15"/>
  <c r="AL200" i="15" s="1"/>
  <c r="AL203" i="15"/>
  <c r="AL204" i="15" s="1"/>
  <c r="BK260" i="15"/>
  <c r="BK262" i="15" s="1"/>
  <c r="AO250" i="15"/>
  <c r="AO251" i="15" s="1"/>
  <c r="AO248" i="15"/>
  <c r="AO249" i="15" s="1"/>
  <c r="AW211" i="15"/>
  <c r="AW212" i="15" s="1"/>
  <c r="AW260" i="15" s="1"/>
  <c r="AW215" i="15"/>
  <c r="AW216" i="15" s="1"/>
  <c r="AW213" i="15"/>
  <c r="AW214" i="15" s="1"/>
  <c r="AW209" i="15"/>
  <c r="AW210" i="15" s="1"/>
  <c r="AW217" i="15"/>
  <c r="AW218" i="15" s="1"/>
  <c r="W207" i="15"/>
  <c r="W208" i="15" s="1"/>
  <c r="BJ207" i="15"/>
  <c r="BJ208" i="15" s="1"/>
  <c r="BG209" i="15"/>
  <c r="BG210" i="15" s="1"/>
  <c r="BG213" i="15"/>
  <c r="BG214" i="15" s="1"/>
  <c r="BG217" i="15"/>
  <c r="BG218" i="15" s="1"/>
  <c r="BG215" i="15"/>
  <c r="BG216" i="15" s="1"/>
  <c r="BG260" i="15" s="1"/>
  <c r="BG211" i="15"/>
  <c r="BG212" i="15" s="1"/>
  <c r="AO139" i="15"/>
  <c r="AO138" i="15"/>
  <c r="BH199" i="15"/>
  <c r="BH200" i="15" s="1"/>
  <c r="BH203" i="15"/>
  <c r="BH204" i="15" s="1"/>
  <c r="BH197" i="15"/>
  <c r="BH198" i="15" s="1"/>
  <c r="BH201" i="15"/>
  <c r="BH202" i="15" s="1"/>
  <c r="BH205" i="15"/>
  <c r="BH206" i="15" s="1"/>
  <c r="AE219" i="15"/>
  <c r="AE220" i="15" s="1"/>
  <c r="BB209" i="15"/>
  <c r="BB210" i="15" s="1"/>
  <c r="BB213" i="15"/>
  <c r="BB214" i="15" s="1"/>
  <c r="BB217" i="15"/>
  <c r="BB218" i="15" s="1"/>
  <c r="BB211" i="15"/>
  <c r="BB212" i="15" s="1"/>
  <c r="BB215" i="15"/>
  <c r="BB216" i="15" s="1"/>
  <c r="AH197" i="15"/>
  <c r="AH198" i="15" s="1"/>
  <c r="AH201" i="15"/>
  <c r="AH202" i="15" s="1"/>
  <c r="AH205" i="15"/>
  <c r="AH206" i="15" s="1"/>
  <c r="AH199" i="15"/>
  <c r="AH200" i="15" s="1"/>
  <c r="AH203" i="15"/>
  <c r="AH204" i="15" s="1"/>
  <c r="BI211" i="15"/>
  <c r="BI212" i="15" s="1"/>
  <c r="BI215" i="15"/>
  <c r="BI216" i="15" s="1"/>
  <c r="BI209" i="15"/>
  <c r="BI210" i="15" s="1"/>
  <c r="BI217" i="15"/>
  <c r="BI218" i="15" s="1"/>
  <c r="BI213" i="15"/>
  <c r="BI214" i="15" s="1"/>
  <c r="AG207" i="15"/>
  <c r="AG208" i="15" s="1"/>
  <c r="W219" i="15"/>
  <c r="W220" i="15" s="1"/>
  <c r="AB207" i="15"/>
  <c r="AB208" i="15" s="1"/>
  <c r="AO234" i="15"/>
  <c r="AO235" i="15" s="1"/>
  <c r="AO236" i="15"/>
  <c r="AO237" i="15" s="1"/>
  <c r="BE219" i="15"/>
  <c r="BE220" i="15" s="1"/>
  <c r="AI209" i="15"/>
  <c r="AI210" i="15" s="1"/>
  <c r="AI213" i="15"/>
  <c r="AI214" i="15" s="1"/>
  <c r="AI217" i="15"/>
  <c r="AI218" i="15" s="1"/>
  <c r="AI211" i="15"/>
  <c r="AI212" i="15" s="1"/>
  <c r="AI215" i="15"/>
  <c r="AI216" i="15" s="1"/>
  <c r="AY197" i="15"/>
  <c r="AY198" i="15" s="1"/>
  <c r="AY201" i="15"/>
  <c r="AY202" i="15" s="1"/>
  <c r="AY205" i="15"/>
  <c r="AY206" i="15" s="1"/>
  <c r="AY203" i="15"/>
  <c r="AY204" i="15" s="1"/>
  <c r="AY199" i="15"/>
  <c r="AY200" i="15" s="1"/>
  <c r="BA219" i="15"/>
  <c r="BA220" i="15" s="1"/>
  <c r="AV211" i="15"/>
  <c r="AV212" i="15" s="1"/>
  <c r="AV215" i="15"/>
  <c r="AV216" i="15" s="1"/>
  <c r="AV209" i="15"/>
  <c r="AV210" i="15" s="1"/>
  <c r="AV213" i="15"/>
  <c r="AV214" i="15" s="1"/>
  <c r="AV217" i="15"/>
  <c r="AV218" i="15" s="1"/>
  <c r="AX209" i="15"/>
  <c r="AX210" i="15" s="1"/>
  <c r="AX213" i="15"/>
  <c r="AX214" i="15" s="1"/>
  <c r="AX217" i="15"/>
  <c r="AX218" i="15" s="1"/>
  <c r="AX211" i="15"/>
  <c r="AX212" i="15" s="1"/>
  <c r="AX215" i="15"/>
  <c r="AX216" i="15" s="1"/>
  <c r="Z219" i="15"/>
  <c r="Z220" i="15" s="1"/>
  <c r="AZ211" i="15"/>
  <c r="AZ212" i="15" s="1"/>
  <c r="AZ215" i="15"/>
  <c r="AZ216" i="15" s="1"/>
  <c r="AZ209" i="15"/>
  <c r="AZ210" i="15" s="1"/>
  <c r="AZ260" i="15" s="1"/>
  <c r="AZ213" i="15"/>
  <c r="AZ214" i="15" s="1"/>
  <c r="AZ217" i="15"/>
  <c r="AZ218" i="15" s="1"/>
  <c r="AQ209" i="15"/>
  <c r="AQ210" i="15" s="1"/>
  <c r="AQ213" i="15"/>
  <c r="AQ214" i="15" s="1"/>
  <c r="AQ217" i="15"/>
  <c r="AQ218" i="15" s="1"/>
  <c r="AQ215" i="15"/>
  <c r="AQ216" i="15" s="1"/>
  <c r="AQ211" i="15"/>
  <c r="AQ212" i="15" s="1"/>
  <c r="BB260" i="15"/>
  <c r="AP219" i="15"/>
  <c r="AP220" i="15" s="1"/>
  <c r="AO196" i="15"/>
  <c r="V219" i="15"/>
  <c r="V220" i="15" s="1"/>
  <c r="AC219" i="15"/>
  <c r="AC220" i="15" s="1"/>
  <c r="AU197" i="15"/>
  <c r="AU198" i="15" s="1"/>
  <c r="AU201" i="15"/>
  <c r="AU202" i="15" s="1"/>
  <c r="AU205" i="15"/>
  <c r="AU206" i="15" s="1"/>
  <c r="AU203" i="15"/>
  <c r="AU204" i="15" s="1"/>
  <c r="AU199" i="15"/>
  <c r="AU200" i="15" s="1"/>
  <c r="BC197" i="15"/>
  <c r="BC198" i="15" s="1"/>
  <c r="BC201" i="15"/>
  <c r="BC202" i="15" s="1"/>
  <c r="BC205" i="15"/>
  <c r="BC206" i="15" s="1"/>
  <c r="BC199" i="15"/>
  <c r="BC200" i="15" s="1"/>
  <c r="BC203" i="15"/>
  <c r="BC204" i="15" s="1"/>
  <c r="BD211" i="15"/>
  <c r="BD212" i="15" s="1"/>
  <c r="BD215" i="15"/>
  <c r="BD216" i="15" s="1"/>
  <c r="BD209" i="15"/>
  <c r="BD210" i="15" s="1"/>
  <c r="BD213" i="15"/>
  <c r="BD214" i="15" s="1"/>
  <c r="BD217" i="15"/>
  <c r="BD218" i="15" s="1"/>
  <c r="AS211" i="15"/>
  <c r="AS212" i="15" s="1"/>
  <c r="AS215" i="15"/>
  <c r="AS216" i="15" s="1"/>
  <c r="AS209" i="15"/>
  <c r="AS210" i="15" s="1"/>
  <c r="AS217" i="15"/>
  <c r="AS218" i="15" s="1"/>
  <c r="AS213" i="15"/>
  <c r="AS214" i="15" s="1"/>
  <c r="BF219" i="15"/>
  <c r="BF220" i="15" s="1"/>
  <c r="AL207" i="15"/>
  <c r="AL208" i="15" s="1"/>
  <c r="AM207" i="15"/>
  <c r="AM208" i="15" s="1"/>
  <c r="Y219" i="15"/>
  <c r="Y220" i="15" s="1"/>
  <c r="AH219" i="15"/>
  <c r="AH220" i="15" s="1"/>
  <c r="AT219" i="15"/>
  <c r="AT220" i="15" s="1"/>
  <c r="AY219" i="15"/>
  <c r="AY220" i="15" s="1"/>
  <c r="AF219" i="15"/>
  <c r="AF220" i="15" s="1"/>
  <c r="BH207" i="15"/>
  <c r="BH208" i="15" s="1"/>
  <c r="AU219" i="15"/>
  <c r="AU220" i="15" s="1"/>
  <c r="BC219" i="15"/>
  <c r="BC220" i="15" s="1"/>
  <c r="AO243" i="15"/>
  <c r="AO244" i="15" s="1"/>
  <c r="AO241" i="15"/>
  <c r="AO242" i="15" s="1"/>
  <c r="AO239" i="15"/>
  <c r="AO240" i="15" s="1"/>
  <c r="D215" i="15"/>
  <c r="D216" i="15" s="1"/>
  <c r="N243" i="15"/>
  <c r="N244" i="15" s="1"/>
  <c r="N239" i="15"/>
  <c r="N240" i="15" s="1"/>
  <c r="R217" i="15"/>
  <c r="R218" i="15" s="1"/>
  <c r="L138" i="15"/>
  <c r="R213" i="15"/>
  <c r="R214" i="15" s="1"/>
  <c r="R211" i="15"/>
  <c r="R212" i="15" s="1"/>
  <c r="R209" i="15"/>
  <c r="R210" i="15" s="1"/>
  <c r="R219" i="15"/>
  <c r="R220" i="15" s="1"/>
  <c r="R227" i="15" s="1"/>
  <c r="R228" i="15" s="1"/>
  <c r="D219" i="15"/>
  <c r="D220" i="15" s="1"/>
  <c r="D225" i="15" s="1"/>
  <c r="D226" i="15" s="1"/>
  <c r="D213" i="15"/>
  <c r="D214" i="15" s="1"/>
  <c r="D217" i="15"/>
  <c r="D218" i="15" s="1"/>
  <c r="D211" i="15"/>
  <c r="D212" i="15" s="1"/>
  <c r="D241" i="15"/>
  <c r="D242" i="15" s="1"/>
  <c r="D243" i="15"/>
  <c r="D244" i="15" s="1"/>
  <c r="D239" i="15"/>
  <c r="D240" i="15" s="1"/>
  <c r="D253" i="15"/>
  <c r="D254" i="15" s="1"/>
  <c r="D257" i="15"/>
  <c r="D258" i="15" s="1"/>
  <c r="D255" i="15"/>
  <c r="D256" i="15" s="1"/>
  <c r="D236" i="15"/>
  <c r="D237" i="15" s="1"/>
  <c r="D234" i="15"/>
  <c r="D235" i="15" s="1"/>
  <c r="D139" i="15"/>
  <c r="D138" i="15"/>
  <c r="D248" i="15"/>
  <c r="D249" i="15" s="1"/>
  <c r="D250" i="15"/>
  <c r="D251" i="15" s="1"/>
  <c r="R236" i="15"/>
  <c r="R237" i="15" s="1"/>
  <c r="R234" i="15"/>
  <c r="R235" i="15" s="1"/>
  <c r="R138" i="15"/>
  <c r="R139" i="15"/>
  <c r="R250" i="15"/>
  <c r="R251" i="15" s="1"/>
  <c r="R248" i="15"/>
  <c r="R249" i="15" s="1"/>
  <c r="R253" i="15"/>
  <c r="R254" i="15" s="1"/>
  <c r="R255" i="15"/>
  <c r="R256" i="15" s="1"/>
  <c r="R257" i="15"/>
  <c r="R258" i="15" s="1"/>
  <c r="R239" i="15"/>
  <c r="R240" i="15" s="1"/>
  <c r="R241" i="15"/>
  <c r="R242" i="15" s="1"/>
  <c r="R243" i="15"/>
  <c r="R244" i="15" s="1"/>
  <c r="N215" i="15"/>
  <c r="N216" i="15" s="1"/>
  <c r="N217" i="15"/>
  <c r="N218" i="15" s="1"/>
  <c r="N213" i="15"/>
  <c r="N214" i="15" s="1"/>
  <c r="N211" i="15"/>
  <c r="N212" i="15" s="1"/>
  <c r="N209" i="15"/>
  <c r="N210" i="15" s="1"/>
  <c r="G205" i="15"/>
  <c r="G206" i="15" s="1"/>
  <c r="G197" i="15"/>
  <c r="G198" i="15" s="1"/>
  <c r="G199" i="15"/>
  <c r="G200" i="15" s="1"/>
  <c r="G201" i="15"/>
  <c r="G202" i="15" s="1"/>
  <c r="G203" i="15"/>
  <c r="G204" i="15" s="1"/>
  <c r="G207" i="15"/>
  <c r="G208" i="15" s="1"/>
  <c r="G219" i="15" s="1"/>
  <c r="G220" i="15" s="1"/>
  <c r="K219" i="15"/>
  <c r="K220" i="15" s="1"/>
  <c r="K215" i="15"/>
  <c r="K216" i="15" s="1"/>
  <c r="K211" i="15"/>
  <c r="K212" i="15" s="1"/>
  <c r="K217" i="15"/>
  <c r="K218" i="15" s="1"/>
  <c r="K213" i="15"/>
  <c r="K214" i="15" s="1"/>
  <c r="K209" i="15"/>
  <c r="K210" i="15" s="1"/>
  <c r="N219" i="15"/>
  <c r="N220" i="15" s="1"/>
  <c r="L221" i="15"/>
  <c r="L222" i="15" s="1"/>
  <c r="L229" i="15"/>
  <c r="L230" i="15" s="1"/>
  <c r="L227" i="15"/>
  <c r="L228" i="15" s="1"/>
  <c r="L223" i="15"/>
  <c r="L224" i="15" s="1"/>
  <c r="L225" i="15"/>
  <c r="L226" i="15" s="1"/>
  <c r="F227" i="15"/>
  <c r="F228" i="15" s="1"/>
  <c r="F225" i="15"/>
  <c r="F226" i="15" s="1"/>
  <c r="F223" i="15"/>
  <c r="F224" i="15" s="1"/>
  <c r="F229" i="15"/>
  <c r="F230" i="15" s="1"/>
  <c r="F221" i="15"/>
  <c r="F222" i="15" s="1"/>
  <c r="B197" i="15"/>
  <c r="B198" i="15" s="1"/>
  <c r="B203" i="15"/>
  <c r="B204" i="15" s="1"/>
  <c r="B201" i="15"/>
  <c r="B202" i="15" s="1"/>
  <c r="B199" i="15"/>
  <c r="B200" i="15" s="1"/>
  <c r="B205" i="15"/>
  <c r="B206" i="15" s="1"/>
  <c r="Q248" i="15"/>
  <c r="Q249" i="15" s="1"/>
  <c r="Q250" i="15"/>
  <c r="Q251" i="15" s="1"/>
  <c r="C238" i="15"/>
  <c r="C233" i="15"/>
  <c r="B207" i="15"/>
  <c r="B208" i="15" s="1"/>
  <c r="E199" i="15"/>
  <c r="E200" i="15" s="1"/>
  <c r="E201" i="15"/>
  <c r="E202" i="15" s="1"/>
  <c r="E197" i="15"/>
  <c r="E198" i="15" s="1"/>
  <c r="E203" i="15"/>
  <c r="E204" i="15" s="1"/>
  <c r="E205" i="15"/>
  <c r="E206" i="15" s="1"/>
  <c r="S207" i="15"/>
  <c r="S208" i="15" s="1"/>
  <c r="S219" i="15" s="1"/>
  <c r="S220" i="15" s="1"/>
  <c r="H213" i="15"/>
  <c r="H214" i="15" s="1"/>
  <c r="H211" i="15"/>
  <c r="H212" i="15" s="1"/>
  <c r="H209" i="15"/>
  <c r="H210" i="15" s="1"/>
  <c r="H217" i="15"/>
  <c r="H218" i="15" s="1"/>
  <c r="H215" i="15"/>
  <c r="H216" i="15" s="1"/>
  <c r="H219" i="15"/>
  <c r="H220" i="15" s="1"/>
  <c r="T197" i="15"/>
  <c r="T198" i="15" s="1"/>
  <c r="T199" i="15"/>
  <c r="T200" i="15" s="1"/>
  <c r="T205" i="15"/>
  <c r="T206" i="15" s="1"/>
  <c r="T201" i="15"/>
  <c r="T202" i="15" s="1"/>
  <c r="T203" i="15"/>
  <c r="T204" i="15" s="1"/>
  <c r="O227" i="15"/>
  <c r="O228" i="15" s="1"/>
  <c r="O223" i="15"/>
  <c r="O224" i="15" s="1"/>
  <c r="O221" i="15"/>
  <c r="O222" i="15" s="1"/>
  <c r="O225" i="15"/>
  <c r="O226" i="15" s="1"/>
  <c r="O229" i="15"/>
  <c r="O230" i="15" s="1"/>
  <c r="J217" i="15"/>
  <c r="J218" i="15" s="1"/>
  <c r="J211" i="15"/>
  <c r="J212" i="15" s="1"/>
  <c r="J215" i="15"/>
  <c r="J216" i="15" s="1"/>
  <c r="J213" i="15"/>
  <c r="J214" i="15" s="1"/>
  <c r="J209" i="15"/>
  <c r="J210" i="15" s="1"/>
  <c r="BM238" i="15"/>
  <c r="BM233" i="15"/>
  <c r="Q195" i="15"/>
  <c r="Q207" i="15"/>
  <c r="Q208" i="15" s="1"/>
  <c r="Q219" i="15" s="1"/>
  <c r="Q220" i="15" s="1"/>
  <c r="E243" i="15"/>
  <c r="E244" i="15" s="1"/>
  <c r="E241" i="15"/>
  <c r="E242" i="15" s="1"/>
  <c r="E239" i="15"/>
  <c r="E240" i="15" s="1"/>
  <c r="BM141" i="15"/>
  <c r="BM173" i="15" s="1"/>
  <c r="BM174" i="15" s="1"/>
  <c r="BM154" i="15" s="1"/>
  <c r="BM140" i="15"/>
  <c r="BM169" i="15"/>
  <c r="BM170" i="15" s="1"/>
  <c r="BM152" i="15"/>
  <c r="I223" i="15"/>
  <c r="I224" i="15" s="1"/>
  <c r="I225" i="15"/>
  <c r="I226" i="15" s="1"/>
  <c r="I229" i="15"/>
  <c r="I230" i="15" s="1"/>
  <c r="I221" i="15"/>
  <c r="I222" i="15" s="1"/>
  <c r="I227" i="15"/>
  <c r="I228" i="15" s="1"/>
  <c r="E207" i="15"/>
  <c r="E208" i="15" s="1"/>
  <c r="E195" i="15"/>
  <c r="Q236" i="15"/>
  <c r="Q237" i="15" s="1"/>
  <c r="Q234" i="15"/>
  <c r="Q235" i="15" s="1"/>
  <c r="E139" i="15"/>
  <c r="E138" i="15"/>
  <c r="I213" i="15"/>
  <c r="I214" i="15" s="1"/>
  <c r="I211" i="15"/>
  <c r="I212" i="15" s="1"/>
  <c r="I209" i="15"/>
  <c r="I210" i="15" s="1"/>
  <c r="I217" i="15"/>
  <c r="I218" i="15" s="1"/>
  <c r="I215" i="15"/>
  <c r="I216" i="15" s="1"/>
  <c r="O217" i="15"/>
  <c r="O218" i="15" s="1"/>
  <c r="O211" i="15"/>
  <c r="O212" i="15" s="1"/>
  <c r="O213" i="15"/>
  <c r="O214" i="15" s="1"/>
  <c r="O215" i="15"/>
  <c r="O216" i="15" s="1"/>
  <c r="O209" i="15"/>
  <c r="O210" i="15" s="1"/>
  <c r="J219" i="15"/>
  <c r="J220" i="15" s="1"/>
  <c r="E234" i="15"/>
  <c r="E235" i="15" s="1"/>
  <c r="E236" i="15"/>
  <c r="E237" i="15" s="1"/>
  <c r="C141" i="15"/>
  <c r="C173" i="15" s="1"/>
  <c r="C174" i="15" s="1"/>
  <c r="C154" i="15" s="1"/>
  <c r="C140" i="15"/>
  <c r="C169" i="15"/>
  <c r="C170" i="15" s="1"/>
  <c r="C152" i="15"/>
  <c r="BM166" i="15"/>
  <c r="C194" i="15"/>
  <c r="E253" i="15"/>
  <c r="E254" i="15" s="1"/>
  <c r="E255" i="15"/>
  <c r="E256" i="15" s="1"/>
  <c r="E257" i="15"/>
  <c r="E258" i="15" s="1"/>
  <c r="BM247" i="15"/>
  <c r="BM252" i="15"/>
  <c r="M225" i="15"/>
  <c r="M226" i="15" s="1"/>
  <c r="M223" i="15"/>
  <c r="M224" i="15" s="1"/>
  <c r="M221" i="15"/>
  <c r="M222" i="15" s="1"/>
  <c r="M229" i="15"/>
  <c r="M230" i="15" s="1"/>
  <c r="M227" i="15"/>
  <c r="M228" i="15" s="1"/>
  <c r="S203" i="15"/>
  <c r="S204" i="15" s="1"/>
  <c r="S199" i="15"/>
  <c r="S200" i="15" s="1"/>
  <c r="S205" i="15"/>
  <c r="S206" i="15" s="1"/>
  <c r="S201" i="15"/>
  <c r="S202" i="15" s="1"/>
  <c r="S197" i="15"/>
  <c r="S198" i="15" s="1"/>
  <c r="Q239" i="15"/>
  <c r="Q240" i="15" s="1"/>
  <c r="Q243" i="15"/>
  <c r="Q244" i="15" s="1"/>
  <c r="Q241" i="15"/>
  <c r="Q242" i="15" s="1"/>
  <c r="Q255" i="15"/>
  <c r="Q256" i="15" s="1"/>
  <c r="Q253" i="15"/>
  <c r="Q254" i="15" s="1"/>
  <c r="Q257" i="15"/>
  <c r="Q258" i="15" s="1"/>
  <c r="P197" i="15"/>
  <c r="P198" i="15" s="1"/>
  <c r="P203" i="15"/>
  <c r="P204" i="15" s="1"/>
  <c r="P199" i="15"/>
  <c r="P200" i="15" s="1"/>
  <c r="P201" i="15"/>
  <c r="P202" i="15" s="1"/>
  <c r="P205" i="15"/>
  <c r="P206" i="15" s="1"/>
  <c r="L213" i="15"/>
  <c r="L214" i="15" s="1"/>
  <c r="L211" i="15"/>
  <c r="L212" i="15" s="1"/>
  <c r="L209" i="15"/>
  <c r="L210" i="15" s="1"/>
  <c r="L217" i="15"/>
  <c r="L218" i="15" s="1"/>
  <c r="L215" i="15"/>
  <c r="L216" i="15" s="1"/>
  <c r="E250" i="15"/>
  <c r="E251" i="15" s="1"/>
  <c r="E248" i="15"/>
  <c r="E249" i="15" s="1"/>
  <c r="Q205" i="15"/>
  <c r="Q206" i="15" s="1"/>
  <c r="Q199" i="15"/>
  <c r="Q200" i="15" s="1"/>
  <c r="Q203" i="15"/>
  <c r="Q204" i="15" s="1"/>
  <c r="Q201" i="15"/>
  <c r="Q202" i="15" s="1"/>
  <c r="Q197" i="15"/>
  <c r="Q198" i="15" s="1"/>
  <c r="Q139" i="15"/>
  <c r="Q138" i="15"/>
  <c r="F213" i="15"/>
  <c r="F214" i="15" s="1"/>
  <c r="F211" i="15"/>
  <c r="F212" i="15" s="1"/>
  <c r="F209" i="15"/>
  <c r="F210" i="15" s="1"/>
  <c r="F217" i="15"/>
  <c r="F218" i="15" s="1"/>
  <c r="F215" i="15"/>
  <c r="F216" i="15" s="1"/>
  <c r="BM194" i="15"/>
  <c r="BM196" i="15" s="1"/>
  <c r="C247" i="15"/>
  <c r="C252" i="15"/>
  <c r="T207" i="15"/>
  <c r="T208" i="15" s="1"/>
  <c r="P207" i="15"/>
  <c r="P208" i="15" s="1"/>
  <c r="BJ279" i="13"/>
  <c r="I279" i="13"/>
  <c r="R279" i="13"/>
  <c r="BG279" i="13"/>
  <c r="AU279" i="13"/>
  <c r="L279" i="13"/>
  <c r="AY279" i="13"/>
  <c r="BA279" i="13"/>
  <c r="BF279" i="13"/>
  <c r="BC279" i="13"/>
  <c r="AI279" i="13"/>
  <c r="X279" i="13"/>
  <c r="AJ262" i="15"/>
  <c r="X262" i="15"/>
  <c r="AK262" i="15"/>
  <c r="AD262" i="15"/>
  <c r="AR262" i="15"/>
  <c r="BI262" i="15"/>
  <c r="L276" i="1"/>
  <c r="K276" i="1"/>
  <c r="U262" i="15"/>
  <c r="BB262" i="15"/>
  <c r="J279" i="13"/>
  <c r="AA262" i="15"/>
  <c r="AZ262" i="15"/>
  <c r="H279" i="14"/>
  <c r="BG262" i="15"/>
  <c r="AW262" i="15"/>
  <c r="L280" i="13"/>
  <c r="BC280" i="13"/>
  <c r="F280" i="14"/>
  <c r="BF280" i="13"/>
  <c r="X280" i="13"/>
  <c r="AY280" i="13"/>
  <c r="BA280" i="13"/>
  <c r="BJ280" i="13"/>
  <c r="I280" i="13"/>
  <c r="D280" i="14"/>
  <c r="BG280" i="13"/>
  <c r="AI280" i="13"/>
  <c r="BK263" i="15"/>
  <c r="R280" i="13"/>
  <c r="AU280" i="13"/>
  <c r="O280" i="14"/>
  <c r="BF177" i="13" l="1"/>
  <c r="BA177" i="13"/>
  <c r="AY177" i="13"/>
  <c r="L177" i="13"/>
  <c r="AU177" i="13"/>
  <c r="BG177" i="13"/>
  <c r="R177" i="13"/>
  <c r="I177" i="13"/>
  <c r="BJ177" i="13"/>
  <c r="AX155" i="13"/>
  <c r="AX156" i="13"/>
  <c r="Q277" i="13"/>
  <c r="AH277" i="13"/>
  <c r="U244" i="13"/>
  <c r="U245" i="13" s="1"/>
  <c r="U246" i="13"/>
  <c r="U247" i="13" s="1"/>
  <c r="BN277" i="13"/>
  <c r="U277" i="13"/>
  <c r="T238" i="13"/>
  <c r="T239" i="13" s="1"/>
  <c r="T277" i="13" s="1"/>
  <c r="T244" i="13"/>
  <c r="T245" i="13" s="1"/>
  <c r="T242" i="13"/>
  <c r="T243" i="13" s="1"/>
  <c r="T246" i="13"/>
  <c r="T247" i="13" s="1"/>
  <c r="T240" i="13"/>
  <c r="T241" i="13" s="1"/>
  <c r="I165" i="13"/>
  <c r="I181" i="13"/>
  <c r="I184" i="13"/>
  <c r="D240" i="13"/>
  <c r="D241" i="13" s="1"/>
  <c r="D238" i="13"/>
  <c r="D239" i="13" s="1"/>
  <c r="D277" i="13" s="1"/>
  <c r="D244" i="13"/>
  <c r="D245" i="13" s="1"/>
  <c r="D242" i="13"/>
  <c r="D243" i="13" s="1"/>
  <c r="D246" i="13"/>
  <c r="D247" i="13" s="1"/>
  <c r="AT155" i="13"/>
  <c r="AT156" i="13"/>
  <c r="AM277" i="13"/>
  <c r="AL277" i="13"/>
  <c r="BD277" i="13"/>
  <c r="D158" i="13"/>
  <c r="D190" i="13" s="1"/>
  <c r="D191" i="13" s="1"/>
  <c r="D171" i="13" s="1"/>
  <c r="D157" i="13"/>
  <c r="D186" i="13"/>
  <c r="D187" i="13" s="1"/>
  <c r="D169" i="13"/>
  <c r="AP169" i="13"/>
  <c r="AP157" i="13"/>
  <c r="AP158" i="13"/>
  <c r="AP190" i="13" s="1"/>
  <c r="AP191" i="13" s="1"/>
  <c r="AP171" i="13" s="1"/>
  <c r="AP186" i="13"/>
  <c r="AP187" i="13" s="1"/>
  <c r="BB277" i="13"/>
  <c r="E183" i="13"/>
  <c r="E186" i="13"/>
  <c r="E187" i="13" s="1"/>
  <c r="E157" i="13"/>
  <c r="E158" i="13"/>
  <c r="E190" i="13" s="1"/>
  <c r="E191" i="13" s="1"/>
  <c r="E171" i="13" s="1"/>
  <c r="E169" i="13"/>
  <c r="N277" i="13"/>
  <c r="O183" i="13"/>
  <c r="O158" i="13"/>
  <c r="O190" i="13" s="1"/>
  <c r="O191" i="13" s="1"/>
  <c r="O171" i="13" s="1"/>
  <c r="O157" i="13"/>
  <c r="O169" i="13"/>
  <c r="O186" i="13"/>
  <c r="O187" i="13" s="1"/>
  <c r="BN166" i="13"/>
  <c r="BN182" i="13"/>
  <c r="BN150" i="13" s="1"/>
  <c r="BN183" i="13" s="1"/>
  <c r="N168" i="13"/>
  <c r="N151" i="13"/>
  <c r="N188" i="13" s="1"/>
  <c r="BN168" i="13"/>
  <c r="BN151" i="13"/>
  <c r="BN188" i="13" s="1"/>
  <c r="N166" i="13"/>
  <c r="N182" i="13"/>
  <c r="N150" i="13" s="1"/>
  <c r="AI177" i="13"/>
  <c r="AG238" i="13"/>
  <c r="AG239" i="13" s="1"/>
  <c r="AG242" i="13"/>
  <c r="AG243" i="13" s="1"/>
  <c r="AG240" i="13"/>
  <c r="AG241" i="13" s="1"/>
  <c r="AG246" i="13"/>
  <c r="AG247" i="13" s="1"/>
  <c r="AG244" i="13"/>
  <c r="AG245" i="13" s="1"/>
  <c r="AO244" i="13"/>
  <c r="AO245" i="13" s="1"/>
  <c r="AO238" i="13"/>
  <c r="AO239" i="13" s="1"/>
  <c r="AO242" i="13"/>
  <c r="AO243" i="13" s="1"/>
  <c r="AO246" i="13"/>
  <c r="AO247" i="13" s="1"/>
  <c r="AO240" i="13"/>
  <c r="AO241" i="13" s="1"/>
  <c r="X177" i="13"/>
  <c r="AB240" i="13"/>
  <c r="AB241" i="13" s="1"/>
  <c r="AB244" i="13"/>
  <c r="AB245" i="13" s="1"/>
  <c r="AB246" i="13"/>
  <c r="AB247" i="13" s="1"/>
  <c r="AB238" i="13"/>
  <c r="AB239" i="13" s="1"/>
  <c r="AB242" i="13"/>
  <c r="AB243" i="13" s="1"/>
  <c r="F177" i="14"/>
  <c r="BC177" i="13"/>
  <c r="O177" i="14"/>
  <c r="D177" i="14"/>
  <c r="S215" i="1"/>
  <c r="S216" i="1" s="1"/>
  <c r="S213" i="1"/>
  <c r="S214" i="1" s="1"/>
  <c r="S211" i="1"/>
  <c r="S212" i="1" s="1"/>
  <c r="S219" i="1"/>
  <c r="S220" i="1" s="1"/>
  <c r="S217" i="1"/>
  <c r="S218" i="1" s="1"/>
  <c r="Q244" i="14"/>
  <c r="Q245" i="14" s="1"/>
  <c r="Q242" i="14"/>
  <c r="Q243" i="14" s="1"/>
  <c r="Q240" i="14"/>
  <c r="Q241" i="14" s="1"/>
  <c r="Q238" i="14"/>
  <c r="Q239" i="14" s="1"/>
  <c r="Q246" i="14"/>
  <c r="Q247" i="14" s="1"/>
  <c r="O211" i="1"/>
  <c r="O212" i="1" s="1"/>
  <c r="O219" i="1"/>
  <c r="O220" i="1" s="1"/>
  <c r="O217" i="1"/>
  <c r="O218" i="1" s="1"/>
  <c r="O213" i="1"/>
  <c r="O214" i="1" s="1"/>
  <c r="O215" i="1"/>
  <c r="O216" i="1" s="1"/>
  <c r="M215" i="1"/>
  <c r="M216" i="1" s="1"/>
  <c r="M217" i="1"/>
  <c r="M218" i="1" s="1"/>
  <c r="M213" i="1"/>
  <c r="M214" i="1" s="1"/>
  <c r="M219" i="1"/>
  <c r="M220" i="1" s="1"/>
  <c r="M211" i="1"/>
  <c r="M212" i="1" s="1"/>
  <c r="Q163" i="1"/>
  <c r="Q179" i="1"/>
  <c r="Q147" i="1" s="1"/>
  <c r="Q180" i="1" s="1"/>
  <c r="M156" i="13"/>
  <c r="M155" i="13"/>
  <c r="H255" i="1"/>
  <c r="H256" i="1" s="1"/>
  <c r="H253" i="1"/>
  <c r="H254" i="1" s="1"/>
  <c r="H257" i="1"/>
  <c r="H258" i="1" s="1"/>
  <c r="G261" i="1"/>
  <c r="G266" i="1"/>
  <c r="AJ156" i="13"/>
  <c r="AJ155" i="13"/>
  <c r="S271" i="1"/>
  <c r="S272" i="1" s="1"/>
  <c r="S269" i="1"/>
  <c r="S270" i="1" s="1"/>
  <c r="S267" i="1"/>
  <c r="S268" i="1" s="1"/>
  <c r="J219" i="1"/>
  <c r="J220" i="1" s="1"/>
  <c r="J215" i="1"/>
  <c r="J216" i="1" s="1"/>
  <c r="J211" i="1"/>
  <c r="J212" i="1" s="1"/>
  <c r="J213" i="1"/>
  <c r="J214" i="1" s="1"/>
  <c r="J217" i="1"/>
  <c r="J218" i="1" s="1"/>
  <c r="P252" i="1"/>
  <c r="P247" i="1"/>
  <c r="AY158" i="13"/>
  <c r="AY190" i="13" s="1"/>
  <c r="AY191" i="13" s="1"/>
  <c r="AY171" i="13" s="1"/>
  <c r="AY157" i="13"/>
  <c r="AY186" i="13"/>
  <c r="AY187" i="13" s="1"/>
  <c r="AY169" i="13"/>
  <c r="AV260" i="15"/>
  <c r="J262" i="1"/>
  <c r="J263" i="1" s="1"/>
  <c r="J264" i="1"/>
  <c r="J265" i="1" s="1"/>
  <c r="M264" i="1"/>
  <c r="M265" i="1" s="1"/>
  <c r="M262" i="1"/>
  <c r="M263" i="1" s="1"/>
  <c r="C213" i="1"/>
  <c r="C214" i="1" s="1"/>
  <c r="C211" i="1"/>
  <c r="C212" i="1" s="1"/>
  <c r="C217" i="1"/>
  <c r="C218" i="1" s="1"/>
  <c r="C219" i="1"/>
  <c r="C220" i="1" s="1"/>
  <c r="C215" i="1"/>
  <c r="C216" i="1" s="1"/>
  <c r="AI158" i="13"/>
  <c r="AI190" i="13" s="1"/>
  <c r="AI191" i="13" s="1"/>
  <c r="AI171" i="13" s="1"/>
  <c r="AI157" i="13"/>
  <c r="AI186" i="13"/>
  <c r="AI187" i="13" s="1"/>
  <c r="AI169" i="13"/>
  <c r="AS156" i="13"/>
  <c r="AS155" i="13"/>
  <c r="U168" i="13"/>
  <c r="U151" i="13"/>
  <c r="U188" i="13" s="1"/>
  <c r="AY183" i="13"/>
  <c r="F165" i="1"/>
  <c r="F185" i="1"/>
  <c r="F148" i="1"/>
  <c r="I202" i="1"/>
  <c r="I203" i="1" s="1"/>
  <c r="I207" i="1"/>
  <c r="I204" i="1"/>
  <c r="I205" i="1" s="1"/>
  <c r="F238" i="13"/>
  <c r="F239" i="13" s="1"/>
  <c r="F244" i="13"/>
  <c r="F245" i="13" s="1"/>
  <c r="F246" i="13"/>
  <c r="F247" i="13" s="1"/>
  <c r="F242" i="13"/>
  <c r="F243" i="13" s="1"/>
  <c r="F240" i="13"/>
  <c r="F241" i="13" s="1"/>
  <c r="F246" i="1"/>
  <c r="F260" i="1"/>
  <c r="BH168" i="13"/>
  <c r="BH151" i="13"/>
  <c r="BH188" i="13" s="1"/>
  <c r="I185" i="1"/>
  <c r="I165" i="1"/>
  <c r="I148" i="1"/>
  <c r="BI158" i="13"/>
  <c r="BI190" i="13" s="1"/>
  <c r="BI191" i="13" s="1"/>
  <c r="BI171" i="13" s="1"/>
  <c r="BI157" i="13"/>
  <c r="BI169" i="13"/>
  <c r="BI186" i="13"/>
  <c r="BI187" i="13" s="1"/>
  <c r="H250" i="1"/>
  <c r="H251" i="1" s="1"/>
  <c r="H248" i="1"/>
  <c r="H249" i="1" s="1"/>
  <c r="N163" i="1"/>
  <c r="N179" i="1"/>
  <c r="N147" i="1" s="1"/>
  <c r="H264" i="1"/>
  <c r="H265" i="1" s="1"/>
  <c r="H262" i="1"/>
  <c r="H263" i="1" s="1"/>
  <c r="AG165" i="13"/>
  <c r="AG181" i="13"/>
  <c r="AG184" i="13"/>
  <c r="J271" i="1"/>
  <c r="J272" i="1" s="1"/>
  <c r="J267" i="1"/>
  <c r="J268" i="1" s="1"/>
  <c r="J269" i="1"/>
  <c r="J270" i="1" s="1"/>
  <c r="Q260" i="1"/>
  <c r="Q246" i="1"/>
  <c r="J153" i="1"/>
  <c r="J152" i="1"/>
  <c r="R156" i="13"/>
  <c r="R155" i="13"/>
  <c r="H156" i="14"/>
  <c r="H155" i="14"/>
  <c r="P228" i="14"/>
  <c r="P229" i="14" s="1"/>
  <c r="P226" i="14"/>
  <c r="P227" i="14" s="1"/>
  <c r="P234" i="14"/>
  <c r="P235" i="14" s="1"/>
  <c r="P232" i="14"/>
  <c r="P233" i="14" s="1"/>
  <c r="P230" i="14"/>
  <c r="P231" i="14" s="1"/>
  <c r="AF168" i="13"/>
  <c r="AF151" i="13"/>
  <c r="AF188" i="13" s="1"/>
  <c r="AM158" i="13"/>
  <c r="AM190" i="13" s="1"/>
  <c r="AM191" i="13" s="1"/>
  <c r="AM171" i="13" s="1"/>
  <c r="AM157" i="13"/>
  <c r="AM169" i="13"/>
  <c r="AM186" i="13"/>
  <c r="AM187" i="13" s="1"/>
  <c r="M271" i="1"/>
  <c r="M272" i="1" s="1"/>
  <c r="M269" i="1"/>
  <c r="M270" i="1" s="1"/>
  <c r="M267" i="1"/>
  <c r="M268" i="1" s="1"/>
  <c r="J248" i="1"/>
  <c r="J249" i="1" s="1"/>
  <c r="J250" i="1"/>
  <c r="J251" i="1" s="1"/>
  <c r="M156" i="14"/>
  <c r="M155" i="14"/>
  <c r="BC158" i="13"/>
  <c r="BC190" i="13" s="1"/>
  <c r="BC191" i="13" s="1"/>
  <c r="BC171" i="13" s="1"/>
  <c r="BC157" i="13"/>
  <c r="BC169" i="13"/>
  <c r="BC186" i="13"/>
  <c r="BC187" i="13" s="1"/>
  <c r="U166" i="13"/>
  <c r="U182" i="13"/>
  <c r="U150" i="13" s="1"/>
  <c r="F163" i="1"/>
  <c r="F179" i="1"/>
  <c r="F147" i="1" s="1"/>
  <c r="I246" i="1"/>
  <c r="I260" i="1"/>
  <c r="M153" i="1"/>
  <c r="M152" i="1"/>
  <c r="BH182" i="13"/>
  <c r="BH150" i="13" s="1"/>
  <c r="BH166" i="13"/>
  <c r="T156" i="13"/>
  <c r="T155" i="13"/>
  <c r="B208" i="1"/>
  <c r="I179" i="1"/>
  <c r="I147" i="1" s="1"/>
  <c r="I163" i="1"/>
  <c r="G155" i="1"/>
  <c r="G187" i="1" s="1"/>
  <c r="G188" i="1" s="1"/>
  <c r="G168" i="1" s="1"/>
  <c r="G154" i="1"/>
  <c r="G166" i="1"/>
  <c r="G183" i="1"/>
  <c r="G184" i="1" s="1"/>
  <c r="S246" i="14"/>
  <c r="S247" i="14" s="1"/>
  <c r="S244" i="14"/>
  <c r="S245" i="14" s="1"/>
  <c r="S238" i="14"/>
  <c r="S239" i="14" s="1"/>
  <c r="S240" i="14"/>
  <c r="S241" i="14" s="1"/>
  <c r="S277" i="14" s="1"/>
  <c r="S242" i="14"/>
  <c r="S243" i="14" s="1"/>
  <c r="Q168" i="14"/>
  <c r="Q151" i="14"/>
  <c r="Q188" i="14" s="1"/>
  <c r="BF158" i="13"/>
  <c r="BF190" i="13" s="1"/>
  <c r="BF191" i="13" s="1"/>
  <c r="BF171" i="13" s="1"/>
  <c r="BF157" i="13"/>
  <c r="BF169" i="13"/>
  <c r="BF186" i="13"/>
  <c r="BF187" i="13" s="1"/>
  <c r="Z156" i="13"/>
  <c r="Z155" i="13"/>
  <c r="AQ158" i="13"/>
  <c r="AQ190" i="13" s="1"/>
  <c r="AQ191" i="13" s="1"/>
  <c r="AQ171" i="13" s="1"/>
  <c r="AQ157" i="13"/>
  <c r="AQ186" i="13"/>
  <c r="AQ187" i="13" s="1"/>
  <c r="AQ169" i="13"/>
  <c r="P158" i="14"/>
  <c r="P190" i="14" s="1"/>
  <c r="P191" i="14" s="1"/>
  <c r="P171" i="14" s="1"/>
  <c r="P157" i="14"/>
  <c r="P169" i="14"/>
  <c r="P186" i="14"/>
  <c r="P187" i="14" s="1"/>
  <c r="Q166" i="14"/>
  <c r="Q182" i="14"/>
  <c r="Q150" i="14" s="1"/>
  <c r="BD260" i="15"/>
  <c r="G246" i="14"/>
  <c r="G247" i="14" s="1"/>
  <c r="G240" i="14"/>
  <c r="G241" i="14" s="1"/>
  <c r="G244" i="14"/>
  <c r="G245" i="14" s="1"/>
  <c r="G242" i="14"/>
  <c r="G243" i="14" s="1"/>
  <c r="G238" i="14"/>
  <c r="G239" i="14" s="1"/>
  <c r="AF166" i="13"/>
  <c r="AF182" i="13"/>
  <c r="AF150" i="13" s="1"/>
  <c r="AM183" i="13"/>
  <c r="T217" i="1"/>
  <c r="T218" i="1" s="1"/>
  <c r="T213" i="1"/>
  <c r="T214" i="1" s="1"/>
  <c r="T215" i="1"/>
  <c r="T216" i="1" s="1"/>
  <c r="T211" i="1"/>
  <c r="T212" i="1" s="1"/>
  <c r="T219" i="1"/>
  <c r="T220" i="1" s="1"/>
  <c r="C209" i="1"/>
  <c r="C221" i="1"/>
  <c r="C222" i="1" s="1"/>
  <c r="AI183" i="13"/>
  <c r="J253" i="1"/>
  <c r="J254" i="1" s="1"/>
  <c r="J257" i="1"/>
  <c r="J258" i="1" s="1"/>
  <c r="J255" i="1"/>
  <c r="J256" i="1" s="1"/>
  <c r="R266" i="1"/>
  <c r="R261" i="1"/>
  <c r="O153" i="1"/>
  <c r="O152" i="1"/>
  <c r="P157" i="13"/>
  <c r="P158" i="13"/>
  <c r="P190" i="13" s="1"/>
  <c r="P191" i="13" s="1"/>
  <c r="P171" i="13" s="1"/>
  <c r="P169" i="13"/>
  <c r="P186" i="13"/>
  <c r="P187" i="13" s="1"/>
  <c r="AB168" i="13"/>
  <c r="AB151" i="13"/>
  <c r="AB188" i="13" s="1"/>
  <c r="D158" i="14"/>
  <c r="D190" i="14" s="1"/>
  <c r="D191" i="14" s="1"/>
  <c r="D171" i="14" s="1"/>
  <c r="D157" i="14"/>
  <c r="D169" i="14"/>
  <c r="D186" i="14"/>
  <c r="D187" i="14" s="1"/>
  <c r="V158" i="13"/>
  <c r="V190" i="13" s="1"/>
  <c r="V191" i="13" s="1"/>
  <c r="V171" i="13" s="1"/>
  <c r="V157" i="13"/>
  <c r="V169" i="13"/>
  <c r="V186" i="13"/>
  <c r="V187" i="13" s="1"/>
  <c r="C269" i="1"/>
  <c r="C270" i="1" s="1"/>
  <c r="C267" i="1"/>
  <c r="C268" i="1" s="1"/>
  <c r="C271" i="1"/>
  <c r="C272" i="1" s="1"/>
  <c r="B154" i="1"/>
  <c r="B155" i="1"/>
  <c r="B187" i="1" s="1"/>
  <c r="B188" i="1" s="1"/>
  <c r="B168" i="1" s="1"/>
  <c r="B183" i="1"/>
  <c r="B184" i="1" s="1"/>
  <c r="B166" i="1"/>
  <c r="G180" i="1"/>
  <c r="N204" i="1"/>
  <c r="N205" i="1" s="1"/>
  <c r="N202" i="1"/>
  <c r="N203" i="1" s="1"/>
  <c r="N207" i="1"/>
  <c r="P266" i="1"/>
  <c r="P261" i="1"/>
  <c r="AC166" i="13"/>
  <c r="AC182" i="13"/>
  <c r="AC150" i="13" s="1"/>
  <c r="AC183" i="13" s="1"/>
  <c r="M209" i="1"/>
  <c r="M221" i="1"/>
  <c r="M222" i="1" s="1"/>
  <c r="M233" i="1" s="1"/>
  <c r="M234" i="1" s="1"/>
  <c r="L156" i="13"/>
  <c r="L155" i="13"/>
  <c r="Q165" i="1"/>
  <c r="Q148" i="1"/>
  <c r="Q185" i="1" s="1"/>
  <c r="G247" i="1"/>
  <c r="G252" i="1"/>
  <c r="O250" i="1"/>
  <c r="O251" i="1" s="1"/>
  <c r="O248" i="1"/>
  <c r="O249" i="1" s="1"/>
  <c r="BA158" i="13"/>
  <c r="BA190" i="13" s="1"/>
  <c r="BA191" i="13" s="1"/>
  <c r="BA171" i="13" s="1"/>
  <c r="BA157" i="13"/>
  <c r="BA186" i="13"/>
  <c r="BA187" i="13" s="1"/>
  <c r="BA169" i="13"/>
  <c r="Q226" i="14"/>
  <c r="Q227" i="14" s="1"/>
  <c r="Q277" i="14" s="1"/>
  <c r="Q234" i="14"/>
  <c r="Q235" i="14" s="1"/>
  <c r="Q228" i="14"/>
  <c r="Q229" i="14" s="1"/>
  <c r="Q230" i="14"/>
  <c r="Q231" i="14" s="1"/>
  <c r="Q232" i="14"/>
  <c r="Q233" i="14" s="1"/>
  <c r="M250" i="1"/>
  <c r="M251" i="1" s="1"/>
  <c r="M248" i="1"/>
  <c r="M249" i="1" s="1"/>
  <c r="G234" i="14"/>
  <c r="G235" i="14" s="1"/>
  <c r="G228" i="14"/>
  <c r="G229" i="14" s="1"/>
  <c r="G232" i="14"/>
  <c r="G233" i="14" s="1"/>
  <c r="G226" i="14"/>
  <c r="G227" i="14" s="1"/>
  <c r="G277" i="14" s="1"/>
  <c r="G230" i="14"/>
  <c r="G231" i="14" s="1"/>
  <c r="AW158" i="13"/>
  <c r="AW190" i="13" s="1"/>
  <c r="AW191" i="13" s="1"/>
  <c r="AW171" i="13" s="1"/>
  <c r="AW157" i="13"/>
  <c r="AW169" i="13"/>
  <c r="AW186" i="13"/>
  <c r="AW187" i="13" s="1"/>
  <c r="BC183" i="13"/>
  <c r="R247" i="1"/>
  <c r="R252" i="1"/>
  <c r="S253" i="1"/>
  <c r="S254" i="1" s="1"/>
  <c r="S255" i="1"/>
  <c r="S256" i="1" s="1"/>
  <c r="S257" i="1"/>
  <c r="S258" i="1" s="1"/>
  <c r="P183" i="13"/>
  <c r="AL168" i="13"/>
  <c r="AL151" i="13"/>
  <c r="AL188" i="13" s="1"/>
  <c r="AA158" i="13"/>
  <c r="AA190" i="13" s="1"/>
  <c r="AA191" i="13" s="1"/>
  <c r="AA171" i="13" s="1"/>
  <c r="AA157" i="13"/>
  <c r="AA186" i="13"/>
  <c r="AA187" i="13" s="1"/>
  <c r="AA169" i="13"/>
  <c r="B261" i="1"/>
  <c r="B266" i="1"/>
  <c r="AB166" i="13"/>
  <c r="AB182" i="13"/>
  <c r="AB150" i="13" s="1"/>
  <c r="C248" i="1"/>
  <c r="C249" i="1" s="1"/>
  <c r="C250" i="1"/>
  <c r="C251" i="1" s="1"/>
  <c r="R208" i="1"/>
  <c r="R210" i="1"/>
  <c r="C264" i="1"/>
  <c r="C265" i="1" s="1"/>
  <c r="C262" i="1"/>
  <c r="C263" i="1" s="1"/>
  <c r="BG156" i="13"/>
  <c r="BG155" i="13"/>
  <c r="H153" i="1"/>
  <c r="H152" i="1"/>
  <c r="F156" i="14"/>
  <c r="F155" i="14"/>
  <c r="BB158" i="13"/>
  <c r="BB190" i="13" s="1"/>
  <c r="BB191" i="13" s="1"/>
  <c r="BB171" i="13" s="1"/>
  <c r="BB157" i="13"/>
  <c r="BB186" i="13"/>
  <c r="BB187" i="13" s="1"/>
  <c r="BB169" i="13"/>
  <c r="O255" i="1"/>
  <c r="O256" i="1" s="1"/>
  <c r="O257" i="1"/>
  <c r="O258" i="1" s="1"/>
  <c r="O253" i="1"/>
  <c r="O254" i="1" s="1"/>
  <c r="AI260" i="15"/>
  <c r="G208" i="1"/>
  <c r="G210" i="1"/>
  <c r="BD158" i="13"/>
  <c r="BD190" i="13" s="1"/>
  <c r="BD191" i="13" s="1"/>
  <c r="BD171" i="13" s="1"/>
  <c r="BD157" i="13"/>
  <c r="BD169" i="13"/>
  <c r="BD186" i="13"/>
  <c r="BD187" i="13" s="1"/>
  <c r="M257" i="1"/>
  <c r="M258" i="1" s="1"/>
  <c r="M255" i="1"/>
  <c r="M256" i="1" s="1"/>
  <c r="M253" i="1"/>
  <c r="M254" i="1" s="1"/>
  <c r="P208" i="1"/>
  <c r="P210" i="1"/>
  <c r="O264" i="1"/>
  <c r="O265" i="1" s="1"/>
  <c r="O262" i="1"/>
  <c r="O263" i="1" s="1"/>
  <c r="G188" i="14"/>
  <c r="G168" i="14"/>
  <c r="G151" i="14"/>
  <c r="AO158" i="13"/>
  <c r="AO190" i="13" s="1"/>
  <c r="AO191" i="13" s="1"/>
  <c r="AO171" i="13" s="1"/>
  <c r="AO157" i="13"/>
  <c r="AO186" i="13"/>
  <c r="AO187" i="13" s="1"/>
  <c r="AO169" i="13"/>
  <c r="AU158" i="13"/>
  <c r="AU190" i="13" s="1"/>
  <c r="AU191" i="13" s="1"/>
  <c r="AU171" i="13" s="1"/>
  <c r="AU157" i="13"/>
  <c r="AU186" i="13"/>
  <c r="AU187" i="13" s="1"/>
  <c r="AU169" i="13"/>
  <c r="H209" i="1"/>
  <c r="S250" i="1"/>
  <c r="S251" i="1" s="1"/>
  <c r="S248" i="1"/>
  <c r="S249" i="1" s="1"/>
  <c r="K156" i="13"/>
  <c r="K155" i="13"/>
  <c r="AL182" i="13"/>
  <c r="AL150" i="13" s="1"/>
  <c r="AL183" i="13" s="1"/>
  <c r="AL166" i="13"/>
  <c r="B252" i="1"/>
  <c r="B247" i="1"/>
  <c r="C255" i="1"/>
  <c r="C256" i="1" s="1"/>
  <c r="C253" i="1"/>
  <c r="C254" i="1" s="1"/>
  <c r="C257" i="1"/>
  <c r="C258" i="1" s="1"/>
  <c r="U214" i="14"/>
  <c r="U215" i="14" s="1"/>
  <c r="U222" i="14"/>
  <c r="U223" i="14" s="1"/>
  <c r="U216" i="14"/>
  <c r="U217" i="14" s="1"/>
  <c r="U220" i="14"/>
  <c r="U221" i="14" s="1"/>
  <c r="U218" i="14"/>
  <c r="U219" i="14" s="1"/>
  <c r="N246" i="1"/>
  <c r="N260" i="1"/>
  <c r="T156" i="14"/>
  <c r="T155" i="14"/>
  <c r="S233" i="1"/>
  <c r="S234" i="1" s="1"/>
  <c r="S209" i="1"/>
  <c r="S221" i="1"/>
  <c r="S222" i="1" s="1"/>
  <c r="F202" i="1"/>
  <c r="F203" i="1" s="1"/>
  <c r="F207" i="1"/>
  <c r="F204" i="1"/>
  <c r="F205" i="1" s="1"/>
  <c r="BJ156" i="13"/>
  <c r="BJ155" i="13"/>
  <c r="AQ260" i="15"/>
  <c r="Q156" i="13"/>
  <c r="Q155" i="13"/>
  <c r="D180" i="1"/>
  <c r="D179" i="1"/>
  <c r="D147" i="1" s="1"/>
  <c r="D163" i="1"/>
  <c r="E207" i="1"/>
  <c r="E204" i="1"/>
  <c r="E205" i="1" s="1"/>
  <c r="E202" i="1"/>
  <c r="E203" i="1" s="1"/>
  <c r="O209" i="1"/>
  <c r="O221" i="1"/>
  <c r="O222" i="1" s="1"/>
  <c r="U165" i="14"/>
  <c r="U184" i="14"/>
  <c r="U181" i="14"/>
  <c r="AN156" i="13"/>
  <c r="AN155" i="13"/>
  <c r="O269" i="1"/>
  <c r="O270" i="1" s="1"/>
  <c r="O267" i="1"/>
  <c r="O268" i="1" s="1"/>
  <c r="O271" i="1"/>
  <c r="O272" i="1" s="1"/>
  <c r="P155" i="1"/>
  <c r="P187" i="1" s="1"/>
  <c r="P188" i="1" s="1"/>
  <c r="P168" i="1" s="1"/>
  <c r="P154" i="1"/>
  <c r="P183" i="1"/>
  <c r="P184" i="1" s="1"/>
  <c r="P166" i="1"/>
  <c r="G166" i="14"/>
  <c r="G182" i="14"/>
  <c r="G150" i="14" s="1"/>
  <c r="AU183" i="13"/>
  <c r="H210" i="1"/>
  <c r="AD158" i="13"/>
  <c r="AD190" i="13" s="1"/>
  <c r="AD191" i="13" s="1"/>
  <c r="AD171" i="13" s="1"/>
  <c r="AD157" i="13"/>
  <c r="AD186" i="13"/>
  <c r="AD187" i="13" s="1"/>
  <c r="AD169" i="13"/>
  <c r="D204" i="1"/>
  <c r="D205" i="1" s="1"/>
  <c r="D202" i="1"/>
  <c r="D203" i="1" s="1"/>
  <c r="D207" i="1"/>
  <c r="AH158" i="13"/>
  <c r="AH190" i="13" s="1"/>
  <c r="AH191" i="13" s="1"/>
  <c r="AH171" i="13" s="1"/>
  <c r="AH157" i="13"/>
  <c r="AH169" i="13"/>
  <c r="AH186" i="13"/>
  <c r="AH187" i="13" s="1"/>
  <c r="R155" i="1"/>
  <c r="R187" i="1" s="1"/>
  <c r="R188" i="1" s="1"/>
  <c r="R168" i="1" s="1"/>
  <c r="R154" i="1"/>
  <c r="R166" i="1"/>
  <c r="R183" i="1"/>
  <c r="R184" i="1" s="1"/>
  <c r="B156" i="13"/>
  <c r="B155" i="13"/>
  <c r="AS260" i="15"/>
  <c r="AX260" i="15"/>
  <c r="BD183" i="13"/>
  <c r="D165" i="1"/>
  <c r="D185" i="1"/>
  <c r="D148" i="1"/>
  <c r="E156" i="14"/>
  <c r="E155" i="14"/>
  <c r="H156" i="13"/>
  <c r="H155" i="13"/>
  <c r="E246" i="1"/>
  <c r="E260" i="1"/>
  <c r="AE156" i="13"/>
  <c r="AE155" i="13"/>
  <c r="J168" i="13"/>
  <c r="J151" i="13"/>
  <c r="J188" i="13" s="1"/>
  <c r="T221" i="1"/>
  <c r="T222" i="1" s="1"/>
  <c r="S153" i="1"/>
  <c r="S152" i="1"/>
  <c r="AO183" i="13"/>
  <c r="X158" i="13"/>
  <c r="X190" i="13" s="1"/>
  <c r="X191" i="13" s="1"/>
  <c r="X171" i="13" s="1"/>
  <c r="X157" i="13"/>
  <c r="X169" i="13"/>
  <c r="X186" i="13"/>
  <c r="X187" i="13" s="1"/>
  <c r="C156" i="13"/>
  <c r="C155" i="13"/>
  <c r="AH183" i="13"/>
  <c r="J221" i="1"/>
  <c r="J222" i="1" s="1"/>
  <c r="J233" i="1"/>
  <c r="J234" i="1" s="1"/>
  <c r="J209" i="1"/>
  <c r="E185" i="1"/>
  <c r="E165" i="1"/>
  <c r="E148" i="1"/>
  <c r="S158" i="14"/>
  <c r="S190" i="14" s="1"/>
  <c r="S191" i="14" s="1"/>
  <c r="S171" i="14" s="1"/>
  <c r="S157" i="14"/>
  <c r="S169" i="14"/>
  <c r="S186" i="14"/>
  <c r="S187" i="14" s="1"/>
  <c r="W158" i="13"/>
  <c r="W190" i="13" s="1"/>
  <c r="W191" i="13" s="1"/>
  <c r="W171" i="13" s="1"/>
  <c r="W157" i="13"/>
  <c r="W169" i="13"/>
  <c r="W186" i="13"/>
  <c r="W187" i="13" s="1"/>
  <c r="C153" i="1"/>
  <c r="C152" i="1"/>
  <c r="J182" i="13"/>
  <c r="J150" i="13" s="1"/>
  <c r="J183" i="13" s="1"/>
  <c r="J166" i="13"/>
  <c r="P236" i="14"/>
  <c r="P237" i="14" s="1"/>
  <c r="F165" i="13"/>
  <c r="F181" i="13"/>
  <c r="F184" i="13"/>
  <c r="T233" i="1"/>
  <c r="T234" i="1" s="1"/>
  <c r="O156" i="14"/>
  <c r="O155" i="14"/>
  <c r="Q207" i="1"/>
  <c r="Q202" i="1"/>
  <c r="Q203" i="1" s="1"/>
  <c r="Q204" i="1"/>
  <c r="Q205" i="1" s="1"/>
  <c r="P180" i="1"/>
  <c r="AC168" i="13"/>
  <c r="AC151" i="13"/>
  <c r="AC188" i="13" s="1"/>
  <c r="X183" i="13"/>
  <c r="S264" i="1"/>
  <c r="S265" i="1" s="1"/>
  <c r="S262" i="1"/>
  <c r="S263" i="1" s="1"/>
  <c r="AD183" i="13"/>
  <c r="D246" i="1"/>
  <c r="D260" i="1"/>
  <c r="N165" i="1"/>
  <c r="N148" i="1"/>
  <c r="N185" i="1" s="1"/>
  <c r="R180" i="1"/>
  <c r="Y158" i="13"/>
  <c r="Y190" i="13" s="1"/>
  <c r="Y191" i="13" s="1"/>
  <c r="Y171" i="13" s="1"/>
  <c r="Y157" i="13"/>
  <c r="Y169" i="13"/>
  <c r="Y186" i="13"/>
  <c r="Y187" i="13" s="1"/>
  <c r="E179" i="1"/>
  <c r="E147" i="1" s="1"/>
  <c r="E163" i="1"/>
  <c r="U224" i="14"/>
  <c r="U225" i="14" s="1"/>
  <c r="U212" i="14"/>
  <c r="U236" i="14"/>
  <c r="U237" i="14" s="1"/>
  <c r="BE156" i="13"/>
  <c r="BE155" i="13"/>
  <c r="W183" i="13"/>
  <c r="H271" i="1"/>
  <c r="H272" i="1" s="1"/>
  <c r="H267" i="1"/>
  <c r="H268" i="1" s="1"/>
  <c r="H269" i="1"/>
  <c r="H270" i="1" s="1"/>
  <c r="BK160" i="15"/>
  <c r="BH211" i="15"/>
  <c r="BH212" i="15" s="1"/>
  <c r="BH215" i="15"/>
  <c r="BH216" i="15" s="1"/>
  <c r="BH209" i="15"/>
  <c r="BH210" i="15" s="1"/>
  <c r="BH213" i="15"/>
  <c r="BH214" i="15" s="1"/>
  <c r="BH217" i="15"/>
  <c r="BH218" i="15" s="1"/>
  <c r="AH221" i="15"/>
  <c r="AH222" i="15" s="1"/>
  <c r="AH223" i="15"/>
  <c r="AH224" i="15" s="1"/>
  <c r="AH225" i="15"/>
  <c r="AH226" i="15" s="1"/>
  <c r="AH229" i="15"/>
  <c r="AH230" i="15" s="1"/>
  <c r="AH227" i="15"/>
  <c r="AH228" i="15" s="1"/>
  <c r="AM209" i="15"/>
  <c r="AM210" i="15" s="1"/>
  <c r="AM213" i="15"/>
  <c r="AM214" i="15" s="1"/>
  <c r="AM217" i="15"/>
  <c r="AM218" i="15" s="1"/>
  <c r="AM211" i="15"/>
  <c r="AM212" i="15" s="1"/>
  <c r="AM215" i="15"/>
  <c r="AM216" i="15" s="1"/>
  <c r="AN225" i="15"/>
  <c r="AN226" i="15" s="1"/>
  <c r="AN223" i="15"/>
  <c r="AN224" i="15" s="1"/>
  <c r="AN227" i="15"/>
  <c r="AN228" i="15" s="1"/>
  <c r="AN221" i="15"/>
  <c r="AN222" i="15" s="1"/>
  <c r="AN229" i="15"/>
  <c r="AN230" i="15" s="1"/>
  <c r="AO199" i="15"/>
  <c r="AO200" i="15" s="1"/>
  <c r="AO203" i="15"/>
  <c r="AO204" i="15" s="1"/>
  <c r="AO205" i="15"/>
  <c r="AO206" i="15" s="1"/>
  <c r="AO201" i="15"/>
  <c r="AO202" i="15" s="1"/>
  <c r="AO197" i="15"/>
  <c r="AO198" i="15" s="1"/>
  <c r="AG211" i="15"/>
  <c r="AG212" i="15" s="1"/>
  <c r="AG215" i="15"/>
  <c r="AG216" i="15" s="1"/>
  <c r="AG213" i="15"/>
  <c r="AG214" i="15" s="1"/>
  <c r="AG209" i="15"/>
  <c r="AG210" i="15" s="1"/>
  <c r="AG217" i="15"/>
  <c r="AG218" i="15" s="1"/>
  <c r="AE221" i="15"/>
  <c r="AE222" i="15" s="1"/>
  <c r="AE223" i="15"/>
  <c r="AE224" i="15" s="1"/>
  <c r="AE227" i="15"/>
  <c r="AE228" i="15" s="1"/>
  <c r="AE225" i="15"/>
  <c r="AE226" i="15" s="1"/>
  <c r="AE229" i="15"/>
  <c r="AE230" i="15" s="1"/>
  <c r="AF221" i="15"/>
  <c r="AF222" i="15" s="1"/>
  <c r="AF229" i="15"/>
  <c r="AF230" i="15" s="1"/>
  <c r="AF223" i="15"/>
  <c r="AF224" i="15" s="1"/>
  <c r="AF227" i="15"/>
  <c r="AF228" i="15" s="1"/>
  <c r="AF225" i="15"/>
  <c r="AF226" i="15" s="1"/>
  <c r="AP221" i="15"/>
  <c r="AP222" i="15" s="1"/>
  <c r="AP225" i="15"/>
  <c r="AP226" i="15" s="1"/>
  <c r="AP229" i="15"/>
  <c r="AP230" i="15" s="1"/>
  <c r="AP227" i="15"/>
  <c r="AP228" i="15" s="1"/>
  <c r="AP223" i="15"/>
  <c r="AP224" i="15" s="1"/>
  <c r="AB211" i="15"/>
  <c r="AB212" i="15" s="1"/>
  <c r="AB215" i="15"/>
  <c r="AB216" i="15" s="1"/>
  <c r="AB209" i="15"/>
  <c r="AB210" i="15" s="1"/>
  <c r="AB213" i="15"/>
  <c r="AB214" i="15" s="1"/>
  <c r="AB217" i="15"/>
  <c r="AB218" i="15" s="1"/>
  <c r="BJ209" i="15"/>
  <c r="BJ210" i="15" s="1"/>
  <c r="BJ213" i="15"/>
  <c r="BJ214" i="15" s="1"/>
  <c r="BJ217" i="15"/>
  <c r="BJ218" i="15" s="1"/>
  <c r="BJ211" i="15"/>
  <c r="BJ212" i="15" s="1"/>
  <c r="BJ215" i="15"/>
  <c r="BJ216" i="15" s="1"/>
  <c r="AB219" i="15"/>
  <c r="AB220" i="15" s="1"/>
  <c r="AG219" i="15"/>
  <c r="AG220" i="15" s="1"/>
  <c r="BC221" i="15"/>
  <c r="BC222" i="15" s="1"/>
  <c r="BC223" i="15"/>
  <c r="BC224" i="15" s="1"/>
  <c r="BC227" i="15"/>
  <c r="BC228" i="15" s="1"/>
  <c r="BC225" i="15"/>
  <c r="BC226" i="15" s="1"/>
  <c r="BC229" i="15"/>
  <c r="BC230" i="15" s="1"/>
  <c r="AY221" i="15"/>
  <c r="AY222" i="15" s="1"/>
  <c r="AY223" i="15"/>
  <c r="AY224" i="15" s="1"/>
  <c r="AY227" i="15"/>
  <c r="AY228" i="15" s="1"/>
  <c r="AY225" i="15"/>
  <c r="AY226" i="15" s="1"/>
  <c r="AY229" i="15"/>
  <c r="AY230" i="15" s="1"/>
  <c r="AL209" i="15"/>
  <c r="AL210" i="15" s="1"/>
  <c r="AL213" i="15"/>
  <c r="AL214" i="15" s="1"/>
  <c r="AL217" i="15"/>
  <c r="AL218" i="15" s="1"/>
  <c r="AL211" i="15"/>
  <c r="AL212" i="15" s="1"/>
  <c r="AL215" i="15"/>
  <c r="AL216" i="15" s="1"/>
  <c r="AC225" i="15"/>
  <c r="AC226" i="15" s="1"/>
  <c r="AC229" i="15"/>
  <c r="AC230" i="15" s="1"/>
  <c r="AC221" i="15"/>
  <c r="AC222" i="15" s="1"/>
  <c r="AC223" i="15"/>
  <c r="AC224" i="15" s="1"/>
  <c r="AC227" i="15"/>
  <c r="AC228" i="15" s="1"/>
  <c r="BH219" i="15"/>
  <c r="BH220" i="15" s="1"/>
  <c r="W221" i="15"/>
  <c r="W222" i="15" s="1"/>
  <c r="W223" i="15"/>
  <c r="W224" i="15" s="1"/>
  <c r="W227" i="15"/>
  <c r="W228" i="15" s="1"/>
  <c r="W225" i="15"/>
  <c r="W226" i="15" s="1"/>
  <c r="W229" i="15"/>
  <c r="W230" i="15" s="1"/>
  <c r="AL219" i="15"/>
  <c r="AL220" i="15" s="1"/>
  <c r="W209" i="15"/>
  <c r="W210" i="15" s="1"/>
  <c r="W213" i="15"/>
  <c r="W214" i="15" s="1"/>
  <c r="W217" i="15"/>
  <c r="W218" i="15" s="1"/>
  <c r="W211" i="15"/>
  <c r="W212" i="15" s="1"/>
  <c r="W215" i="15"/>
  <c r="W216" i="15" s="1"/>
  <c r="BJ219" i="15"/>
  <c r="BJ220" i="15" s="1"/>
  <c r="AN211" i="15"/>
  <c r="AN212" i="15" s="1"/>
  <c r="AN215" i="15"/>
  <c r="AN216" i="15" s="1"/>
  <c r="AN209" i="15"/>
  <c r="AN210" i="15" s="1"/>
  <c r="AN213" i="15"/>
  <c r="AN214" i="15" s="1"/>
  <c r="AN217" i="15"/>
  <c r="AN218" i="15" s="1"/>
  <c r="AU221" i="15"/>
  <c r="AU222" i="15" s="1"/>
  <c r="AU223" i="15"/>
  <c r="AU224" i="15" s="1"/>
  <c r="AU227" i="15"/>
  <c r="AU228" i="15" s="1"/>
  <c r="AU225" i="15"/>
  <c r="AU226" i="15" s="1"/>
  <c r="AU229" i="15"/>
  <c r="AU230" i="15" s="1"/>
  <c r="AT221" i="15"/>
  <c r="AT222" i="15" s="1"/>
  <c r="AT223" i="15"/>
  <c r="AT224" i="15" s="1"/>
  <c r="AT225" i="15"/>
  <c r="AT226" i="15" s="1"/>
  <c r="AT229" i="15"/>
  <c r="AT230" i="15" s="1"/>
  <c r="AT227" i="15"/>
  <c r="AT228" i="15" s="1"/>
  <c r="Y221" i="15"/>
  <c r="Y222" i="15" s="1"/>
  <c r="Y225" i="15"/>
  <c r="Y226" i="15" s="1"/>
  <c r="Y229" i="15"/>
  <c r="Y230" i="15" s="1"/>
  <c r="Y223" i="15"/>
  <c r="Y224" i="15" s="1"/>
  <c r="Y227" i="15"/>
  <c r="Y228" i="15" s="1"/>
  <c r="BF221" i="15"/>
  <c r="BF222" i="15" s="1"/>
  <c r="BF223" i="15"/>
  <c r="BF224" i="15" s="1"/>
  <c r="BF227" i="15"/>
  <c r="BF228" i="15" s="1"/>
  <c r="BF225" i="15"/>
  <c r="BF226" i="15" s="1"/>
  <c r="BF229" i="15"/>
  <c r="BF230" i="15" s="1"/>
  <c r="V221" i="15"/>
  <c r="V222" i="15" s="1"/>
  <c r="V225" i="15"/>
  <c r="V226" i="15" s="1"/>
  <c r="V229" i="15"/>
  <c r="V230" i="15" s="1"/>
  <c r="V223" i="15"/>
  <c r="V224" i="15" s="1"/>
  <c r="V227" i="15"/>
  <c r="V228" i="15" s="1"/>
  <c r="Z221" i="15"/>
  <c r="Z222" i="15" s="1"/>
  <c r="Z223" i="15"/>
  <c r="Z224" i="15" s="1"/>
  <c r="Z225" i="15"/>
  <c r="Z226" i="15" s="1"/>
  <c r="Z229" i="15"/>
  <c r="Z230" i="15" s="1"/>
  <c r="Z227" i="15"/>
  <c r="Z228" i="15" s="1"/>
  <c r="BA225" i="15"/>
  <c r="BA226" i="15" s="1"/>
  <c r="BA229" i="15"/>
  <c r="BA230" i="15" s="1"/>
  <c r="BA221" i="15"/>
  <c r="BA222" i="15" s="1"/>
  <c r="BA223" i="15"/>
  <c r="BA224" i="15" s="1"/>
  <c r="BA227" i="15"/>
  <c r="BA228" i="15" s="1"/>
  <c r="BE221" i="15"/>
  <c r="BE222" i="15" s="1"/>
  <c r="BE225" i="15"/>
  <c r="BE226" i="15" s="1"/>
  <c r="BE229" i="15"/>
  <c r="BE230" i="15" s="1"/>
  <c r="BE223" i="15"/>
  <c r="BE224" i="15" s="1"/>
  <c r="BE227" i="15"/>
  <c r="BE228" i="15" s="1"/>
  <c r="AM219" i="15"/>
  <c r="AM220" i="15" s="1"/>
  <c r="AO207" i="15"/>
  <c r="AO208" i="15" s="1"/>
  <c r="AO219" i="15" s="1"/>
  <c r="AO220" i="15" s="1"/>
  <c r="R225" i="15"/>
  <c r="R226" i="15" s="1"/>
  <c r="D223" i="15"/>
  <c r="D224" i="15" s="1"/>
  <c r="D221" i="15"/>
  <c r="D222" i="15" s="1"/>
  <c r="D227" i="15"/>
  <c r="D228" i="15" s="1"/>
  <c r="D229" i="15"/>
  <c r="D230" i="15" s="1"/>
  <c r="R229" i="15"/>
  <c r="R230" i="15" s="1"/>
  <c r="R223" i="15"/>
  <c r="R224" i="15" s="1"/>
  <c r="R221" i="15"/>
  <c r="R222" i="15" s="1"/>
  <c r="F260" i="15"/>
  <c r="O260" i="15"/>
  <c r="M260" i="15"/>
  <c r="I260" i="15"/>
  <c r="G217" i="15"/>
  <c r="G218" i="15" s="1"/>
  <c r="G215" i="15"/>
  <c r="G216" i="15" s="1"/>
  <c r="G213" i="15"/>
  <c r="G214" i="15" s="1"/>
  <c r="G211" i="15"/>
  <c r="G212" i="15" s="1"/>
  <c r="G209" i="15"/>
  <c r="G210" i="15" s="1"/>
  <c r="N229" i="15"/>
  <c r="N230" i="15" s="1"/>
  <c r="N223" i="15"/>
  <c r="N224" i="15" s="1"/>
  <c r="N227" i="15"/>
  <c r="N228" i="15" s="1"/>
  <c r="N221" i="15"/>
  <c r="N222" i="15" s="1"/>
  <c r="N225" i="15"/>
  <c r="N226" i="15" s="1"/>
  <c r="G223" i="15"/>
  <c r="G224" i="15" s="1"/>
  <c r="G221" i="15"/>
  <c r="G222" i="15" s="1"/>
  <c r="G225" i="15"/>
  <c r="G226" i="15" s="1"/>
  <c r="G229" i="15"/>
  <c r="G230" i="15" s="1"/>
  <c r="G227" i="15"/>
  <c r="G228" i="15" s="1"/>
  <c r="K229" i="15"/>
  <c r="K230" i="15" s="1"/>
  <c r="K223" i="15"/>
  <c r="K224" i="15" s="1"/>
  <c r="K225" i="15"/>
  <c r="K226" i="15" s="1"/>
  <c r="K221" i="15"/>
  <c r="K222" i="15" s="1"/>
  <c r="K227" i="15"/>
  <c r="K228" i="15" s="1"/>
  <c r="L260" i="15"/>
  <c r="E217" i="15"/>
  <c r="E218" i="15" s="1"/>
  <c r="E215" i="15"/>
  <c r="E216" i="15" s="1"/>
  <c r="E213" i="15"/>
  <c r="E214" i="15" s="1"/>
  <c r="E209" i="15"/>
  <c r="E210" i="15" s="1"/>
  <c r="E211" i="15"/>
  <c r="E212" i="15" s="1"/>
  <c r="BM139" i="15"/>
  <c r="BM138" i="15"/>
  <c r="H223" i="15"/>
  <c r="H224" i="15" s="1"/>
  <c r="H229" i="15"/>
  <c r="H230" i="15" s="1"/>
  <c r="H225" i="15"/>
  <c r="H226" i="15" s="1"/>
  <c r="H227" i="15"/>
  <c r="H228" i="15" s="1"/>
  <c r="H221" i="15"/>
  <c r="H222" i="15" s="1"/>
  <c r="B217" i="15"/>
  <c r="B218" i="15" s="1"/>
  <c r="B215" i="15"/>
  <c r="B216" i="15" s="1"/>
  <c r="B213" i="15"/>
  <c r="B214" i="15" s="1"/>
  <c r="B211" i="15"/>
  <c r="B212" i="15" s="1"/>
  <c r="B209" i="15"/>
  <c r="B210" i="15" s="1"/>
  <c r="S227" i="15"/>
  <c r="S228" i="15" s="1"/>
  <c r="S223" i="15"/>
  <c r="S224" i="15" s="1"/>
  <c r="S221" i="15"/>
  <c r="S222" i="15" s="1"/>
  <c r="S225" i="15"/>
  <c r="S226" i="15" s="1"/>
  <c r="S229" i="15"/>
  <c r="S230" i="15" s="1"/>
  <c r="T215" i="15"/>
  <c r="T216" i="15" s="1"/>
  <c r="T211" i="15"/>
  <c r="T212" i="15" s="1"/>
  <c r="T217" i="15"/>
  <c r="T218" i="15" s="1"/>
  <c r="T209" i="15"/>
  <c r="T210" i="15" s="1"/>
  <c r="T213" i="15"/>
  <c r="T214" i="15" s="1"/>
  <c r="T219" i="15"/>
  <c r="T220" i="15" s="1"/>
  <c r="BM201" i="15"/>
  <c r="BM202" i="15" s="1"/>
  <c r="BM199" i="15"/>
  <c r="BM200" i="15" s="1"/>
  <c r="BM197" i="15"/>
  <c r="BM198" i="15" s="1"/>
  <c r="BM203" i="15"/>
  <c r="BM204" i="15" s="1"/>
  <c r="BM205" i="15"/>
  <c r="BM206" i="15" s="1"/>
  <c r="BM250" i="15"/>
  <c r="BM251" i="15" s="1"/>
  <c r="BM248" i="15"/>
  <c r="BM249" i="15" s="1"/>
  <c r="C195" i="15"/>
  <c r="B219" i="15"/>
  <c r="B220" i="15" s="1"/>
  <c r="C139" i="15"/>
  <c r="C138" i="15"/>
  <c r="E219" i="15"/>
  <c r="E220" i="15" s="1"/>
  <c r="Q213" i="15"/>
  <c r="Q214" i="15" s="1"/>
  <c r="Q209" i="15"/>
  <c r="Q210" i="15" s="1"/>
  <c r="Q211" i="15"/>
  <c r="Q212" i="15" s="1"/>
  <c r="Q217" i="15"/>
  <c r="Q218" i="15" s="1"/>
  <c r="Q215" i="15"/>
  <c r="Q216" i="15" s="1"/>
  <c r="BM241" i="15"/>
  <c r="BM242" i="15" s="1"/>
  <c r="BM243" i="15"/>
  <c r="BM244" i="15" s="1"/>
  <c r="BM239" i="15"/>
  <c r="BM240" i="15" s="1"/>
  <c r="S213" i="15"/>
  <c r="S214" i="15" s="1"/>
  <c r="S217" i="15"/>
  <c r="S218" i="15" s="1"/>
  <c r="S215" i="15"/>
  <c r="S216" i="15" s="1"/>
  <c r="S211" i="15"/>
  <c r="S212" i="15" s="1"/>
  <c r="S209" i="15"/>
  <c r="S210" i="15" s="1"/>
  <c r="C241" i="15"/>
  <c r="C242" i="15" s="1"/>
  <c r="C243" i="15"/>
  <c r="C244" i="15" s="1"/>
  <c r="C239" i="15"/>
  <c r="C240" i="15" s="1"/>
  <c r="C253" i="15"/>
  <c r="C254" i="15" s="1"/>
  <c r="C255" i="15"/>
  <c r="C256" i="15" s="1"/>
  <c r="C257" i="15"/>
  <c r="C258" i="15" s="1"/>
  <c r="BM195" i="15"/>
  <c r="BM207" i="15"/>
  <c r="BM208" i="15" s="1"/>
  <c r="BM219" i="15" s="1"/>
  <c r="BM220" i="15" s="1"/>
  <c r="C196" i="15"/>
  <c r="C207" i="15" s="1"/>
  <c r="C208" i="15" s="1"/>
  <c r="J223" i="15"/>
  <c r="J224" i="15" s="1"/>
  <c r="J221" i="15"/>
  <c r="J222" i="15" s="1"/>
  <c r="J229" i="15"/>
  <c r="J230" i="15" s="1"/>
  <c r="J227" i="15"/>
  <c r="J228" i="15" s="1"/>
  <c r="J225" i="15"/>
  <c r="J226" i="15" s="1"/>
  <c r="P215" i="15"/>
  <c r="P216" i="15" s="1"/>
  <c r="P213" i="15"/>
  <c r="P214" i="15" s="1"/>
  <c r="P209" i="15"/>
  <c r="P210" i="15" s="1"/>
  <c r="P217" i="15"/>
  <c r="P218" i="15" s="1"/>
  <c r="P211" i="15"/>
  <c r="P212" i="15" s="1"/>
  <c r="C248" i="15"/>
  <c r="C249" i="15" s="1"/>
  <c r="C250" i="15"/>
  <c r="C251" i="15" s="1"/>
  <c r="Q221" i="15"/>
  <c r="Q222" i="15" s="1"/>
  <c r="Q223" i="15"/>
  <c r="Q224" i="15" s="1"/>
  <c r="Q229" i="15"/>
  <c r="Q230" i="15" s="1"/>
  <c r="Q227" i="15"/>
  <c r="Q228" i="15" s="1"/>
  <c r="Q225" i="15"/>
  <c r="Q226" i="15" s="1"/>
  <c r="BM253" i="15"/>
  <c r="BM254" i="15" s="1"/>
  <c r="BM255" i="15"/>
  <c r="BM256" i="15" s="1"/>
  <c r="BM257" i="15"/>
  <c r="BM258" i="15" s="1"/>
  <c r="BM236" i="15"/>
  <c r="BM237" i="15" s="1"/>
  <c r="BM234" i="15"/>
  <c r="BM235" i="15" s="1"/>
  <c r="C236" i="15"/>
  <c r="C237" i="15" s="1"/>
  <c r="C234" i="15"/>
  <c r="C235" i="15" s="1"/>
  <c r="P219" i="15"/>
  <c r="P220" i="15" s="1"/>
  <c r="N279" i="13"/>
  <c r="Q279" i="13"/>
  <c r="AH279" i="13"/>
  <c r="AM279" i="13"/>
  <c r="AL279" i="13"/>
  <c r="BB279" i="13"/>
  <c r="BD279" i="13"/>
  <c r="BN279" i="13"/>
  <c r="U279" i="13"/>
  <c r="T279" i="13"/>
  <c r="D279" i="13"/>
  <c r="F262" i="15"/>
  <c r="AV262" i="15"/>
  <c r="AS262" i="15"/>
  <c r="BD262" i="15"/>
  <c r="AI262" i="15"/>
  <c r="AX262" i="15"/>
  <c r="I262" i="15"/>
  <c r="AQ262" i="15"/>
  <c r="M262" i="15"/>
  <c r="O262" i="15"/>
  <c r="S279" i="14"/>
  <c r="L262" i="15"/>
  <c r="Q279" i="14"/>
  <c r="G279" i="14"/>
  <c r="T280" i="13"/>
  <c r="BI263" i="15"/>
  <c r="H280" i="14"/>
  <c r="AA263" i="15"/>
  <c r="AH280" i="13"/>
  <c r="BB263" i="15"/>
  <c r="U263" i="15"/>
  <c r="J280" i="13"/>
  <c r="N280" i="13"/>
  <c r="D280" i="13"/>
  <c r="X263" i="15"/>
  <c r="AW263" i="15"/>
  <c r="AM280" i="13"/>
  <c r="AL280" i="13"/>
  <c r="Q280" i="13"/>
  <c r="L277" i="1"/>
  <c r="AD263" i="15"/>
  <c r="U280" i="13"/>
  <c r="AZ263" i="15"/>
  <c r="BB280" i="13"/>
  <c r="BN280" i="13"/>
  <c r="AK263" i="15"/>
  <c r="AJ263" i="15"/>
  <c r="K277" i="1"/>
  <c r="BD280" i="13"/>
  <c r="BG263" i="15"/>
  <c r="AR263" i="15"/>
  <c r="D177" i="13" l="1"/>
  <c r="T177" i="13"/>
  <c r="BN177" i="13"/>
  <c r="BD177" i="13"/>
  <c r="BB177" i="13"/>
  <c r="AL177" i="13"/>
  <c r="AM177" i="13"/>
  <c r="AH177" i="13"/>
  <c r="Q177" i="13"/>
  <c r="N177" i="13"/>
  <c r="D155" i="13"/>
  <c r="D156" i="13"/>
  <c r="E156" i="13"/>
  <c r="E155" i="13"/>
  <c r="N158" i="13"/>
  <c r="N190" i="13" s="1"/>
  <c r="N191" i="13" s="1"/>
  <c r="N171" i="13" s="1"/>
  <c r="N157" i="13"/>
  <c r="N169" i="13"/>
  <c r="N186" i="13"/>
  <c r="N187" i="13" s="1"/>
  <c r="N183" i="13"/>
  <c r="O156" i="13"/>
  <c r="O155" i="13"/>
  <c r="I151" i="13"/>
  <c r="I188" i="13" s="1"/>
  <c r="I168" i="13"/>
  <c r="I182" i="13"/>
  <c r="I150" i="13" s="1"/>
  <c r="I166" i="13"/>
  <c r="BN169" i="13"/>
  <c r="BN186" i="13"/>
  <c r="BN187" i="13" s="1"/>
  <c r="BN158" i="13"/>
  <c r="BN190" i="13" s="1"/>
  <c r="BN191" i="13" s="1"/>
  <c r="BN171" i="13" s="1"/>
  <c r="BN157" i="13"/>
  <c r="F277" i="13"/>
  <c r="AP156" i="13"/>
  <c r="AP155" i="13"/>
  <c r="AG277" i="13"/>
  <c r="AO277" i="13"/>
  <c r="AB277" i="13"/>
  <c r="U177" i="13"/>
  <c r="L174" i="1"/>
  <c r="K174" i="1"/>
  <c r="J177" i="13"/>
  <c r="H177" i="14"/>
  <c r="M241" i="1"/>
  <c r="M242" i="1" s="1"/>
  <c r="M243" i="1"/>
  <c r="M244" i="1" s="1"/>
  <c r="M235" i="1"/>
  <c r="M236" i="1" s="1"/>
  <c r="M239" i="1"/>
  <c r="M240" i="1" s="1"/>
  <c r="M237" i="1"/>
  <c r="M238" i="1" s="1"/>
  <c r="S241" i="1"/>
  <c r="S242" i="1" s="1"/>
  <c r="S237" i="1"/>
  <c r="S238" i="1" s="1"/>
  <c r="S239" i="1"/>
  <c r="S240" i="1" s="1"/>
  <c r="S235" i="1"/>
  <c r="S236" i="1" s="1"/>
  <c r="S243" i="1"/>
  <c r="S244" i="1" s="1"/>
  <c r="BB156" i="13"/>
  <c r="BB155" i="13"/>
  <c r="B209" i="1"/>
  <c r="N155" i="1"/>
  <c r="N187" i="1" s="1"/>
  <c r="N188" i="1" s="1"/>
  <c r="N168" i="1" s="1"/>
  <c r="N154" i="1"/>
  <c r="N166" i="1"/>
  <c r="N183" i="1"/>
  <c r="N184" i="1" s="1"/>
  <c r="AD156" i="13"/>
  <c r="AD155" i="13"/>
  <c r="AM156" i="13"/>
  <c r="AM155" i="13"/>
  <c r="U240" i="14"/>
  <c r="U241" i="14" s="1"/>
  <c r="U244" i="14"/>
  <c r="U245" i="14" s="1"/>
  <c r="U238" i="14"/>
  <c r="U239" i="14" s="1"/>
  <c r="U242" i="14"/>
  <c r="U243" i="14" s="1"/>
  <c r="U246" i="14"/>
  <c r="U247" i="14" s="1"/>
  <c r="F168" i="13"/>
  <c r="F151" i="13"/>
  <c r="F188" i="13" s="1"/>
  <c r="O227" i="1"/>
  <c r="O228" i="1" s="1"/>
  <c r="O225" i="1"/>
  <c r="O226" i="1" s="1"/>
  <c r="O229" i="1"/>
  <c r="O230" i="1" s="1"/>
  <c r="O231" i="1"/>
  <c r="O232" i="1" s="1"/>
  <c r="O223" i="1"/>
  <c r="O224" i="1" s="1"/>
  <c r="P233" i="1"/>
  <c r="P234" i="1" s="1"/>
  <c r="P209" i="1"/>
  <c r="P221" i="1"/>
  <c r="P222" i="1" s="1"/>
  <c r="G211" i="1"/>
  <c r="G212" i="1" s="1"/>
  <c r="G219" i="1"/>
  <c r="G220" i="1" s="1"/>
  <c r="G213" i="1"/>
  <c r="G214" i="1" s="1"/>
  <c r="G217" i="1"/>
  <c r="G218" i="1" s="1"/>
  <c r="G215" i="1"/>
  <c r="G216" i="1" s="1"/>
  <c r="P271" i="1"/>
  <c r="P272" i="1" s="1"/>
  <c r="P269" i="1"/>
  <c r="P270" i="1" s="1"/>
  <c r="P267" i="1"/>
  <c r="P268" i="1" s="1"/>
  <c r="R267" i="1"/>
  <c r="R268" i="1" s="1"/>
  <c r="R271" i="1"/>
  <c r="R272" i="1" s="1"/>
  <c r="R269" i="1"/>
  <c r="R270" i="1" s="1"/>
  <c r="G153" i="1"/>
  <c r="G152" i="1"/>
  <c r="B210" i="1"/>
  <c r="B221" i="1" s="1"/>
  <c r="B222" i="1" s="1"/>
  <c r="I247" i="1"/>
  <c r="I252" i="1"/>
  <c r="N180" i="1"/>
  <c r="P248" i="1"/>
  <c r="P249" i="1" s="1"/>
  <c r="P250" i="1"/>
  <c r="P251" i="1" s="1"/>
  <c r="AY260" i="15"/>
  <c r="Q261" i="1"/>
  <c r="Q266" i="1"/>
  <c r="R219" i="1"/>
  <c r="R220" i="1" s="1"/>
  <c r="R217" i="1"/>
  <c r="R218" i="1" s="1"/>
  <c r="R215" i="1"/>
  <c r="R216" i="1" s="1"/>
  <c r="R211" i="1"/>
  <c r="R212" i="1" s="1"/>
  <c r="R213" i="1"/>
  <c r="R214" i="1" s="1"/>
  <c r="AA156" i="13"/>
  <c r="AA155" i="13"/>
  <c r="R253" i="1"/>
  <c r="R254" i="1" s="1"/>
  <c r="R255" i="1"/>
  <c r="R256" i="1" s="1"/>
  <c r="R257" i="1"/>
  <c r="R258" i="1" s="1"/>
  <c r="BA156" i="13"/>
  <c r="BA155" i="13"/>
  <c r="N210" i="1"/>
  <c r="N208" i="1"/>
  <c r="F155" i="1"/>
  <c r="F187" i="1" s="1"/>
  <c r="F188" i="1" s="1"/>
  <c r="F168" i="1" s="1"/>
  <c r="F154" i="1"/>
  <c r="F183" i="1"/>
  <c r="F184" i="1" s="1"/>
  <c r="F166" i="1"/>
  <c r="I208" i="1"/>
  <c r="I210" i="1"/>
  <c r="P253" i="1"/>
  <c r="P254" i="1" s="1"/>
  <c r="P257" i="1"/>
  <c r="P258" i="1" s="1"/>
  <c r="P255" i="1"/>
  <c r="P256" i="1" s="1"/>
  <c r="B269" i="1"/>
  <c r="B270" i="1" s="1"/>
  <c r="B271" i="1"/>
  <c r="B272" i="1" s="1"/>
  <c r="B267" i="1"/>
  <c r="B268" i="1" s="1"/>
  <c r="T237" i="1"/>
  <c r="T238" i="1" s="1"/>
  <c r="T239" i="1"/>
  <c r="T240" i="1" s="1"/>
  <c r="T243" i="1"/>
  <c r="T244" i="1" s="1"/>
  <c r="T241" i="1"/>
  <c r="T242" i="1" s="1"/>
  <c r="T235" i="1"/>
  <c r="T236" i="1" s="1"/>
  <c r="AO156" i="13"/>
  <c r="AO155" i="13"/>
  <c r="BF260" i="15"/>
  <c r="U228" i="14"/>
  <c r="U229" i="14" s="1"/>
  <c r="U226" i="14"/>
  <c r="U227" i="14" s="1"/>
  <c r="U277" i="14" s="1"/>
  <c r="U232" i="14"/>
  <c r="U233" i="14" s="1"/>
  <c r="U230" i="14"/>
  <c r="U231" i="14" s="1"/>
  <c r="U234" i="14"/>
  <c r="U235" i="14" s="1"/>
  <c r="N261" i="1"/>
  <c r="N266" i="1"/>
  <c r="B248" i="1"/>
  <c r="B249" i="1" s="1"/>
  <c r="B250" i="1"/>
  <c r="B251" i="1" s="1"/>
  <c r="G209" i="1"/>
  <c r="G221" i="1"/>
  <c r="G222" i="1" s="1"/>
  <c r="R233" i="1"/>
  <c r="R234" i="1" s="1"/>
  <c r="R221" i="1"/>
  <c r="R222" i="1" s="1"/>
  <c r="R209" i="1"/>
  <c r="R248" i="1"/>
  <c r="R249" i="1" s="1"/>
  <c r="R250" i="1"/>
  <c r="R251" i="1" s="1"/>
  <c r="V156" i="13"/>
  <c r="V155" i="13"/>
  <c r="AQ156" i="13"/>
  <c r="AQ155" i="13"/>
  <c r="G271" i="1"/>
  <c r="G272" i="1" s="1"/>
  <c r="G269" i="1"/>
  <c r="G270" i="1" s="1"/>
  <c r="G267" i="1"/>
  <c r="G268" i="1" s="1"/>
  <c r="X156" i="13"/>
  <c r="X155" i="13"/>
  <c r="P153" i="1"/>
  <c r="P152" i="1"/>
  <c r="P219" i="1"/>
  <c r="P220" i="1" s="1"/>
  <c r="P215" i="1"/>
  <c r="P216" i="1" s="1"/>
  <c r="P213" i="1"/>
  <c r="P214" i="1" s="1"/>
  <c r="P217" i="1"/>
  <c r="P218" i="1" s="1"/>
  <c r="P211" i="1"/>
  <c r="P212" i="1" s="1"/>
  <c r="BC156" i="13"/>
  <c r="BC155" i="13"/>
  <c r="Q252" i="1"/>
  <c r="Q247" i="1"/>
  <c r="W156" i="13"/>
  <c r="W155" i="13"/>
  <c r="B264" i="1"/>
  <c r="B265" i="1" s="1"/>
  <c r="B262" i="1"/>
  <c r="B263" i="1" s="1"/>
  <c r="P264" i="1"/>
  <c r="P265" i="1" s="1"/>
  <c r="P262" i="1"/>
  <c r="P263" i="1" s="1"/>
  <c r="R264" i="1"/>
  <c r="R265" i="1" s="1"/>
  <c r="R262" i="1"/>
  <c r="R263" i="1" s="1"/>
  <c r="I266" i="1"/>
  <c r="I261" i="1"/>
  <c r="F182" i="13"/>
  <c r="F150" i="13" s="1"/>
  <c r="F166" i="13"/>
  <c r="J237" i="1"/>
  <c r="J238" i="1" s="1"/>
  <c r="J241" i="1"/>
  <c r="J242" i="1" s="1"/>
  <c r="J239" i="1"/>
  <c r="J240" i="1" s="1"/>
  <c r="J243" i="1"/>
  <c r="J244" i="1" s="1"/>
  <c r="J235" i="1"/>
  <c r="J236" i="1" s="1"/>
  <c r="E266" i="1"/>
  <c r="E261" i="1"/>
  <c r="AH156" i="13"/>
  <c r="AH155" i="13"/>
  <c r="J223" i="1"/>
  <c r="J224" i="1" s="1"/>
  <c r="J274" i="1" s="1"/>
  <c r="J229" i="1"/>
  <c r="J230" i="1" s="1"/>
  <c r="J231" i="1"/>
  <c r="J232" i="1" s="1"/>
  <c r="J227" i="1"/>
  <c r="J228" i="1" s="1"/>
  <c r="J225" i="1"/>
  <c r="J226" i="1" s="1"/>
  <c r="E247" i="1"/>
  <c r="E252" i="1"/>
  <c r="H213" i="1"/>
  <c r="H214" i="1" s="1"/>
  <c r="H217" i="1"/>
  <c r="H218" i="1" s="1"/>
  <c r="H211" i="1"/>
  <c r="H212" i="1" s="1"/>
  <c r="H215" i="1"/>
  <c r="H216" i="1" s="1"/>
  <c r="H219" i="1"/>
  <c r="H220" i="1" s="1"/>
  <c r="O233" i="1"/>
  <c r="O234" i="1" s="1"/>
  <c r="D260" i="15"/>
  <c r="P240" i="14"/>
  <c r="P241" i="14" s="1"/>
  <c r="P242" i="14"/>
  <c r="P243" i="14" s="1"/>
  <c r="P246" i="14"/>
  <c r="P247" i="14" s="1"/>
  <c r="P238" i="14"/>
  <c r="P239" i="14" s="1"/>
  <c r="P277" i="14" s="1"/>
  <c r="P244" i="14"/>
  <c r="P245" i="14" s="1"/>
  <c r="S156" i="14"/>
  <c r="S155" i="14"/>
  <c r="N247" i="1"/>
  <c r="N252" i="1"/>
  <c r="B253" i="1"/>
  <c r="B254" i="1" s="1"/>
  <c r="B257" i="1"/>
  <c r="B258" i="1" s="1"/>
  <c r="B255" i="1"/>
  <c r="B256" i="1" s="1"/>
  <c r="H221" i="1"/>
  <c r="H222" i="1" s="1"/>
  <c r="P156" i="13"/>
  <c r="P155" i="13"/>
  <c r="F180" i="1"/>
  <c r="AG168" i="13"/>
  <c r="AG188" i="13"/>
  <c r="AG151" i="13"/>
  <c r="BI156" i="13"/>
  <c r="BI155" i="13"/>
  <c r="F261" i="1"/>
  <c r="F266" i="1"/>
  <c r="AI156" i="13"/>
  <c r="AI155" i="13"/>
  <c r="G262" i="1"/>
  <c r="G263" i="1" s="1"/>
  <c r="G264" i="1"/>
  <c r="G265" i="1" s="1"/>
  <c r="E155" i="1"/>
  <c r="E187" i="1" s="1"/>
  <c r="E188" i="1" s="1"/>
  <c r="E168" i="1" s="1"/>
  <c r="E154" i="1"/>
  <c r="E183" i="1"/>
  <c r="E184" i="1" s="1"/>
  <c r="E166" i="1"/>
  <c r="D261" i="1"/>
  <c r="D266" i="1"/>
  <c r="G158" i="14"/>
  <c r="G190" i="14" s="1"/>
  <c r="G191" i="14" s="1"/>
  <c r="G171" i="14" s="1"/>
  <c r="G157" i="14"/>
  <c r="G169" i="14"/>
  <c r="G186" i="14"/>
  <c r="G187" i="14" s="1"/>
  <c r="AW156" i="13"/>
  <c r="AW155" i="13"/>
  <c r="M223" i="1"/>
  <c r="M224" i="1" s="1"/>
  <c r="M227" i="1"/>
  <c r="M228" i="1" s="1"/>
  <c r="M225" i="1"/>
  <c r="M226" i="1" s="1"/>
  <c r="M231" i="1"/>
  <c r="M232" i="1" s="1"/>
  <c r="M229" i="1"/>
  <c r="M230" i="1" s="1"/>
  <c r="AF158" i="13"/>
  <c r="AF190" i="13" s="1"/>
  <c r="AF191" i="13" s="1"/>
  <c r="AF171" i="13" s="1"/>
  <c r="AF157" i="13"/>
  <c r="AF186" i="13"/>
  <c r="AF187" i="13" s="1"/>
  <c r="AF169" i="13"/>
  <c r="Q158" i="14"/>
  <c r="Q190" i="14" s="1"/>
  <c r="Q191" i="14" s="1"/>
  <c r="Q171" i="14" s="1"/>
  <c r="Q157" i="14"/>
  <c r="Q169" i="14"/>
  <c r="Q186" i="14"/>
  <c r="Q187" i="14" s="1"/>
  <c r="U158" i="13"/>
  <c r="U190" i="13" s="1"/>
  <c r="U191" i="13" s="1"/>
  <c r="U171" i="13" s="1"/>
  <c r="U157" i="13"/>
  <c r="U169" i="13"/>
  <c r="U186" i="13"/>
  <c r="U187" i="13" s="1"/>
  <c r="AG182" i="13"/>
  <c r="AG150" i="13" s="1"/>
  <c r="AG183" i="13" s="1"/>
  <c r="AG166" i="13"/>
  <c r="F247" i="1"/>
  <c r="F252" i="1"/>
  <c r="U168" i="14"/>
  <c r="U151" i="14"/>
  <c r="U188" i="14" s="1"/>
  <c r="Q155" i="1"/>
  <c r="Q187" i="1" s="1"/>
  <c r="Q188" i="1" s="1"/>
  <c r="Q168" i="1" s="1"/>
  <c r="Q154" i="1"/>
  <c r="Q166" i="1"/>
  <c r="Q183" i="1"/>
  <c r="Q184" i="1" s="1"/>
  <c r="T223" i="1"/>
  <c r="T224" i="1" s="1"/>
  <c r="T225" i="1"/>
  <c r="T226" i="1" s="1"/>
  <c r="T231" i="1"/>
  <c r="T232" i="1" s="1"/>
  <c r="T229" i="1"/>
  <c r="T230" i="1" s="1"/>
  <c r="T227" i="1"/>
  <c r="T228" i="1" s="1"/>
  <c r="T274" i="1" s="1"/>
  <c r="D208" i="1"/>
  <c r="D210" i="1" s="1"/>
  <c r="E208" i="1"/>
  <c r="E210" i="1"/>
  <c r="F208" i="1"/>
  <c r="F210" i="1"/>
  <c r="AU156" i="13"/>
  <c r="AU155" i="13"/>
  <c r="BD156" i="13"/>
  <c r="BD155" i="13"/>
  <c r="AB158" i="13"/>
  <c r="AB190" i="13" s="1"/>
  <c r="AB191" i="13" s="1"/>
  <c r="AB171" i="13" s="1"/>
  <c r="AB157" i="13"/>
  <c r="AB169" i="13"/>
  <c r="AB186" i="13"/>
  <c r="AB187" i="13" s="1"/>
  <c r="M274" i="1"/>
  <c r="C225" i="1"/>
  <c r="C226" i="1" s="1"/>
  <c r="C229" i="1"/>
  <c r="C230" i="1" s="1"/>
  <c r="C223" i="1"/>
  <c r="C224" i="1" s="1"/>
  <c r="C231" i="1"/>
  <c r="C232" i="1" s="1"/>
  <c r="C227" i="1"/>
  <c r="C228" i="1" s="1"/>
  <c r="BH158" i="13"/>
  <c r="BH190" i="13" s="1"/>
  <c r="BH191" i="13" s="1"/>
  <c r="BH171" i="13" s="1"/>
  <c r="BH157" i="13"/>
  <c r="BH186" i="13"/>
  <c r="BH187" i="13" s="1"/>
  <c r="BH169" i="13"/>
  <c r="D252" i="1"/>
  <c r="D247" i="1"/>
  <c r="AU260" i="15"/>
  <c r="Y156" i="13"/>
  <c r="Y155" i="13"/>
  <c r="Q208" i="1"/>
  <c r="G183" i="14"/>
  <c r="G257" i="1"/>
  <c r="G258" i="1" s="1"/>
  <c r="G253" i="1"/>
  <c r="G254" i="1" s="1"/>
  <c r="G255" i="1"/>
  <c r="G256" i="1" s="1"/>
  <c r="AC158" i="13"/>
  <c r="AC190" i="13" s="1"/>
  <c r="AC191" i="13" s="1"/>
  <c r="AC171" i="13" s="1"/>
  <c r="AC157" i="13"/>
  <c r="AC169" i="13"/>
  <c r="AC186" i="13"/>
  <c r="AC187" i="13" s="1"/>
  <c r="B153" i="1"/>
  <c r="B152" i="1"/>
  <c r="D156" i="14"/>
  <c r="D155" i="14"/>
  <c r="C233" i="1"/>
  <c r="C234" i="1" s="1"/>
  <c r="AF183" i="13"/>
  <c r="Q183" i="14"/>
  <c r="I155" i="1"/>
  <c r="I187" i="1" s="1"/>
  <c r="I188" i="1" s="1"/>
  <c r="I168" i="1" s="1"/>
  <c r="I154" i="1"/>
  <c r="I183" i="1"/>
  <c r="I184" i="1" s="1"/>
  <c r="I166" i="1"/>
  <c r="BH183" i="13"/>
  <c r="U183" i="13"/>
  <c r="BC260" i="15"/>
  <c r="E180" i="1"/>
  <c r="J158" i="13"/>
  <c r="J190" i="13" s="1"/>
  <c r="J191" i="13" s="1"/>
  <c r="J171" i="13" s="1"/>
  <c r="J157" i="13"/>
  <c r="J186" i="13"/>
  <c r="J187" i="13" s="1"/>
  <c r="J169" i="13"/>
  <c r="AL158" i="13"/>
  <c r="AL190" i="13" s="1"/>
  <c r="AL191" i="13" s="1"/>
  <c r="AL171" i="13" s="1"/>
  <c r="AL157" i="13"/>
  <c r="AL186" i="13"/>
  <c r="AL187" i="13" s="1"/>
  <c r="AL169" i="13"/>
  <c r="AH260" i="15"/>
  <c r="R153" i="1"/>
  <c r="R152" i="1"/>
  <c r="U182" i="14"/>
  <c r="U150" i="14" s="1"/>
  <c r="U166" i="14"/>
  <c r="D155" i="1"/>
  <c r="D187" i="1" s="1"/>
  <c r="D188" i="1" s="1"/>
  <c r="D168" i="1" s="1"/>
  <c r="D154" i="1"/>
  <c r="D166" i="1"/>
  <c r="D183" i="1"/>
  <c r="D184" i="1" s="1"/>
  <c r="S225" i="1"/>
  <c r="S226" i="1" s="1"/>
  <c r="S223" i="1"/>
  <c r="S224" i="1" s="1"/>
  <c r="S274" i="1" s="1"/>
  <c r="S231" i="1"/>
  <c r="S232" i="1" s="1"/>
  <c r="S229" i="1"/>
  <c r="S230" i="1" s="1"/>
  <c r="S227" i="1"/>
  <c r="S228" i="1" s="1"/>
  <c r="AB183" i="13"/>
  <c r="G248" i="1"/>
  <c r="G249" i="1" s="1"/>
  <c r="G250" i="1"/>
  <c r="G251" i="1" s="1"/>
  <c r="P156" i="14"/>
  <c r="P155" i="14"/>
  <c r="BF156" i="13"/>
  <c r="BF155" i="13"/>
  <c r="I180" i="1"/>
  <c r="AY156" i="13"/>
  <c r="AY155" i="13"/>
  <c r="BB160" i="15"/>
  <c r="AD160" i="15"/>
  <c r="AA160" i="15"/>
  <c r="U160" i="15"/>
  <c r="AR160" i="15"/>
  <c r="BG160" i="15"/>
  <c r="AK160" i="15"/>
  <c r="AW160" i="15"/>
  <c r="AJ160" i="15"/>
  <c r="X160" i="15"/>
  <c r="BI160" i="15"/>
  <c r="AZ160" i="15"/>
  <c r="BE260" i="15"/>
  <c r="AO221" i="15"/>
  <c r="AO222" i="15" s="1"/>
  <c r="AO225" i="15"/>
  <c r="AO226" i="15" s="1"/>
  <c r="AO229" i="15"/>
  <c r="AO230" i="15" s="1"/>
  <c r="AO223" i="15"/>
  <c r="AO224" i="15" s="1"/>
  <c r="AO227" i="15"/>
  <c r="AO228" i="15" s="1"/>
  <c r="AL221" i="15"/>
  <c r="AL222" i="15" s="1"/>
  <c r="AL227" i="15"/>
  <c r="AL228" i="15" s="1"/>
  <c r="AL225" i="15"/>
  <c r="AL226" i="15" s="1"/>
  <c r="AL229" i="15"/>
  <c r="AL230" i="15" s="1"/>
  <c r="AL223" i="15"/>
  <c r="AL224" i="15" s="1"/>
  <c r="AG221" i="15"/>
  <c r="AG222" i="15" s="1"/>
  <c r="AG225" i="15"/>
  <c r="AG226" i="15" s="1"/>
  <c r="AG229" i="15"/>
  <c r="AG230" i="15" s="1"/>
  <c r="AG223" i="15"/>
  <c r="AG224" i="15" s="1"/>
  <c r="AG227" i="15"/>
  <c r="AG228" i="15" s="1"/>
  <c r="AP260" i="15"/>
  <c r="Y260" i="15"/>
  <c r="AC260" i="15"/>
  <c r="AB225" i="15"/>
  <c r="AB226" i="15" s="1"/>
  <c r="AB221" i="15"/>
  <c r="AB222" i="15" s="1"/>
  <c r="AB223" i="15"/>
  <c r="AB224" i="15" s="1"/>
  <c r="AB227" i="15"/>
  <c r="AB228" i="15" s="1"/>
  <c r="AB229" i="15"/>
  <c r="AB230" i="15" s="1"/>
  <c r="AF260" i="15"/>
  <c r="AO211" i="15"/>
  <c r="AO212" i="15" s="1"/>
  <c r="AO215" i="15"/>
  <c r="AO216" i="15" s="1"/>
  <c r="AO209" i="15"/>
  <c r="AO210" i="15" s="1"/>
  <c r="AO260" i="15" s="1"/>
  <c r="AO213" i="15"/>
  <c r="AO214" i="15" s="1"/>
  <c r="AO217" i="15"/>
  <c r="AO218" i="15" s="1"/>
  <c r="Z260" i="15"/>
  <c r="AT260" i="15"/>
  <c r="BJ221" i="15"/>
  <c r="BJ222" i="15" s="1"/>
  <c r="BJ225" i="15"/>
  <c r="BJ226" i="15" s="1"/>
  <c r="BJ229" i="15"/>
  <c r="BJ230" i="15" s="1"/>
  <c r="BJ223" i="15"/>
  <c r="BJ224" i="15" s="1"/>
  <c r="BJ260" i="15" s="1"/>
  <c r="BJ227" i="15"/>
  <c r="BJ228" i="15" s="1"/>
  <c r="BH221" i="15"/>
  <c r="BH222" i="15" s="1"/>
  <c r="BH223" i="15"/>
  <c r="BH224" i="15" s="1"/>
  <c r="BH227" i="15"/>
  <c r="BH228" i="15" s="1"/>
  <c r="BH229" i="15"/>
  <c r="BH230" i="15" s="1"/>
  <c r="BH225" i="15"/>
  <c r="BH226" i="15" s="1"/>
  <c r="AE260" i="15"/>
  <c r="AM221" i="15"/>
  <c r="AM222" i="15" s="1"/>
  <c r="AM223" i="15"/>
  <c r="AM224" i="15" s="1"/>
  <c r="AM227" i="15"/>
  <c r="AM228" i="15" s="1"/>
  <c r="AM225" i="15"/>
  <c r="AM226" i="15" s="1"/>
  <c r="AM229" i="15"/>
  <c r="AM230" i="15" s="1"/>
  <c r="BA260" i="15"/>
  <c r="V260" i="15"/>
  <c r="AN260" i="15"/>
  <c r="W260" i="15"/>
  <c r="R260" i="15"/>
  <c r="G260" i="15"/>
  <c r="K260" i="15"/>
  <c r="H260" i="15"/>
  <c r="J260" i="15"/>
  <c r="S260" i="15"/>
  <c r="Q260" i="15"/>
  <c r="N260" i="15"/>
  <c r="BM225" i="15"/>
  <c r="BM226" i="15" s="1"/>
  <c r="BM229" i="15"/>
  <c r="BM230" i="15" s="1"/>
  <c r="BM221" i="15"/>
  <c r="BM222" i="15" s="1"/>
  <c r="BM223" i="15"/>
  <c r="BM224" i="15" s="1"/>
  <c r="BM227" i="15"/>
  <c r="BM228" i="15" s="1"/>
  <c r="B227" i="15"/>
  <c r="B228" i="15" s="1"/>
  <c r="B225" i="15"/>
  <c r="B226" i="15" s="1"/>
  <c r="B223" i="15"/>
  <c r="B224" i="15" s="1"/>
  <c r="B221" i="15"/>
  <c r="B222" i="15" s="1"/>
  <c r="B229" i="15"/>
  <c r="B230" i="15" s="1"/>
  <c r="E229" i="15"/>
  <c r="E230" i="15" s="1"/>
  <c r="E221" i="15"/>
  <c r="E222" i="15" s="1"/>
  <c r="E223" i="15"/>
  <c r="E224" i="15" s="1"/>
  <c r="E227" i="15"/>
  <c r="E228" i="15" s="1"/>
  <c r="E225" i="15"/>
  <c r="E226" i="15" s="1"/>
  <c r="C203" i="15"/>
  <c r="C204" i="15" s="1"/>
  <c r="C199" i="15"/>
  <c r="C200" i="15" s="1"/>
  <c r="C205" i="15"/>
  <c r="C206" i="15" s="1"/>
  <c r="C197" i="15"/>
  <c r="C198" i="15" s="1"/>
  <c r="C201" i="15"/>
  <c r="C202" i="15" s="1"/>
  <c r="C215" i="15"/>
  <c r="C216" i="15" s="1"/>
  <c r="C211" i="15"/>
  <c r="C212" i="15" s="1"/>
  <c r="C217" i="15"/>
  <c r="C218" i="15" s="1"/>
  <c r="C209" i="15"/>
  <c r="C210" i="15" s="1"/>
  <c r="C213" i="15"/>
  <c r="C214" i="15" s="1"/>
  <c r="P223" i="15"/>
  <c r="P224" i="15" s="1"/>
  <c r="P227" i="15"/>
  <c r="P228" i="15" s="1"/>
  <c r="P225" i="15"/>
  <c r="P226" i="15" s="1"/>
  <c r="P221" i="15"/>
  <c r="P222" i="15" s="1"/>
  <c r="P229" i="15"/>
  <c r="P230" i="15" s="1"/>
  <c r="BM213" i="15"/>
  <c r="BM214" i="15" s="1"/>
  <c r="BM211" i="15"/>
  <c r="BM212" i="15" s="1"/>
  <c r="BM215" i="15"/>
  <c r="BM216" i="15" s="1"/>
  <c r="BM209" i="15"/>
  <c r="BM210" i="15" s="1"/>
  <c r="BM217" i="15"/>
  <c r="BM218" i="15" s="1"/>
  <c r="C219" i="15"/>
  <c r="C220" i="15" s="1"/>
  <c r="T227" i="15"/>
  <c r="T228" i="15" s="1"/>
  <c r="T225" i="15"/>
  <c r="T226" i="15" s="1"/>
  <c r="T221" i="15"/>
  <c r="T222" i="15" s="1"/>
  <c r="T223" i="15"/>
  <c r="T224" i="15" s="1"/>
  <c r="T229" i="15"/>
  <c r="T230" i="15" s="1"/>
  <c r="F279" i="13"/>
  <c r="AG279" i="13"/>
  <c r="AO279" i="13"/>
  <c r="AB279" i="13"/>
  <c r="D262" i="15"/>
  <c r="AE262" i="15"/>
  <c r="AT262" i="15"/>
  <c r="V262" i="15"/>
  <c r="BA262" i="15"/>
  <c r="AY262" i="15"/>
  <c r="W262" i="15"/>
  <c r="BF262" i="15"/>
  <c r="AC262" i="15"/>
  <c r="K262" i="15"/>
  <c r="N262" i="15"/>
  <c r="AN262" i="15"/>
  <c r="Q262" i="15"/>
  <c r="J262" i="15"/>
  <c r="M276" i="1"/>
  <c r="AU262" i="15"/>
  <c r="BC262" i="15"/>
  <c r="AH262" i="15"/>
  <c r="H262" i="15"/>
  <c r="BJ262" i="15"/>
  <c r="P279" i="14"/>
  <c r="AP262" i="15"/>
  <c r="Y262" i="15"/>
  <c r="AO262" i="15"/>
  <c r="S262" i="15"/>
  <c r="J276" i="1"/>
  <c r="Z262" i="15"/>
  <c r="U279" i="14"/>
  <c r="G262" i="15"/>
  <c r="BE262" i="15"/>
  <c r="R262" i="15"/>
  <c r="T276" i="1"/>
  <c r="AF262" i="15"/>
  <c r="S276" i="1"/>
  <c r="Q280" i="14"/>
  <c r="AQ263" i="15"/>
  <c r="AG280" i="13"/>
  <c r="AO280" i="13"/>
  <c r="AB280" i="13"/>
  <c r="O263" i="15"/>
  <c r="AS263" i="15"/>
  <c r="M263" i="15"/>
  <c r="BD263" i="15"/>
  <c r="F263" i="15"/>
  <c r="S280" i="14"/>
  <c r="F280" i="13"/>
  <c r="AI263" i="15"/>
  <c r="AX263" i="15"/>
  <c r="I263" i="15"/>
  <c r="G280" i="14"/>
  <c r="L263" i="15"/>
  <c r="AV263" i="15"/>
  <c r="AG177" i="13" l="1"/>
  <c r="BN156" i="13"/>
  <c r="BN155" i="13"/>
  <c r="N155" i="13"/>
  <c r="N156" i="13"/>
  <c r="I158" i="13"/>
  <c r="I190" i="13" s="1"/>
  <c r="I191" i="13" s="1"/>
  <c r="I171" i="13" s="1"/>
  <c r="I186" i="13"/>
  <c r="I187" i="13" s="1"/>
  <c r="I169" i="13"/>
  <c r="I157" i="13"/>
  <c r="I183" i="13"/>
  <c r="AO177" i="13"/>
  <c r="AB177" i="13"/>
  <c r="AX160" i="15"/>
  <c r="I160" i="15"/>
  <c r="F160" i="15"/>
  <c r="AQ160" i="15"/>
  <c r="M160" i="15"/>
  <c r="AV160" i="15"/>
  <c r="O160" i="15"/>
  <c r="S177" i="14"/>
  <c r="AS160" i="15"/>
  <c r="L160" i="15"/>
  <c r="F177" i="13"/>
  <c r="BD160" i="15"/>
  <c r="Q177" i="14"/>
  <c r="AI160" i="15"/>
  <c r="G177" i="14"/>
  <c r="D219" i="1"/>
  <c r="D220" i="1" s="1"/>
  <c r="D213" i="1"/>
  <c r="D214" i="1" s="1"/>
  <c r="D217" i="1"/>
  <c r="D218" i="1" s="1"/>
  <c r="D211" i="1"/>
  <c r="D212" i="1" s="1"/>
  <c r="D215" i="1"/>
  <c r="D216" i="1" s="1"/>
  <c r="B227" i="1"/>
  <c r="B228" i="1" s="1"/>
  <c r="B225" i="1"/>
  <c r="B226" i="1" s="1"/>
  <c r="B223" i="1"/>
  <c r="B224" i="1" s="1"/>
  <c r="B231" i="1"/>
  <c r="B232" i="1" s="1"/>
  <c r="B229" i="1"/>
  <c r="B230" i="1" s="1"/>
  <c r="N262" i="1"/>
  <c r="N263" i="1" s="1"/>
  <c r="N264" i="1"/>
  <c r="N265" i="1" s="1"/>
  <c r="AL260" i="15"/>
  <c r="AF156" i="13"/>
  <c r="AF155" i="13"/>
  <c r="G156" i="14"/>
  <c r="G155" i="14"/>
  <c r="R227" i="1"/>
  <c r="R228" i="1" s="1"/>
  <c r="R225" i="1"/>
  <c r="R226" i="1" s="1"/>
  <c r="R223" i="1"/>
  <c r="R224" i="1" s="1"/>
  <c r="R274" i="1" s="1"/>
  <c r="R229" i="1"/>
  <c r="R230" i="1" s="1"/>
  <c r="R231" i="1"/>
  <c r="R232" i="1" s="1"/>
  <c r="I221" i="1"/>
  <c r="I222" i="1" s="1"/>
  <c r="I233" i="1" s="1"/>
  <c r="I234" i="1" s="1"/>
  <c r="I209" i="1"/>
  <c r="P241" i="1"/>
  <c r="P242" i="1" s="1"/>
  <c r="P237" i="1"/>
  <c r="P238" i="1" s="1"/>
  <c r="P243" i="1"/>
  <c r="P244" i="1" s="1"/>
  <c r="P239" i="1"/>
  <c r="P240" i="1" s="1"/>
  <c r="P235" i="1"/>
  <c r="P236" i="1" s="1"/>
  <c r="D153" i="1"/>
  <c r="D152" i="1"/>
  <c r="U156" i="13"/>
  <c r="U155" i="13"/>
  <c r="AM260" i="15"/>
  <c r="G223" i="1"/>
  <c r="G224" i="1" s="1"/>
  <c r="G227" i="1"/>
  <c r="G228" i="1" s="1"/>
  <c r="G231" i="1"/>
  <c r="G232" i="1" s="1"/>
  <c r="G229" i="1"/>
  <c r="G230" i="1" s="1"/>
  <c r="G225" i="1"/>
  <c r="G226" i="1" s="1"/>
  <c r="I248" i="1"/>
  <c r="I249" i="1" s="1"/>
  <c r="I250" i="1"/>
  <c r="I251" i="1" s="1"/>
  <c r="N250" i="1"/>
  <c r="N251" i="1" s="1"/>
  <c r="N248" i="1"/>
  <c r="N249" i="1" s="1"/>
  <c r="F158" i="13"/>
  <c r="F190" i="13" s="1"/>
  <c r="F191" i="13" s="1"/>
  <c r="F171" i="13" s="1"/>
  <c r="F157" i="13"/>
  <c r="F169" i="13"/>
  <c r="F186" i="13"/>
  <c r="F187" i="13" s="1"/>
  <c r="B211" i="1"/>
  <c r="B212" i="1" s="1"/>
  <c r="B215" i="1"/>
  <c r="B216" i="1" s="1"/>
  <c r="B219" i="1"/>
  <c r="B220" i="1" s="1"/>
  <c r="B217" i="1"/>
  <c r="B218" i="1" s="1"/>
  <c r="B213" i="1"/>
  <c r="B214" i="1" s="1"/>
  <c r="D221" i="1"/>
  <c r="D222" i="1" s="1"/>
  <c r="D209" i="1"/>
  <c r="D233" i="1"/>
  <c r="D234" i="1" s="1"/>
  <c r="R243" i="1"/>
  <c r="R244" i="1" s="1"/>
  <c r="R235" i="1"/>
  <c r="R236" i="1" s="1"/>
  <c r="R241" i="1"/>
  <c r="R242" i="1" s="1"/>
  <c r="R239" i="1"/>
  <c r="R240" i="1" s="1"/>
  <c r="R237" i="1"/>
  <c r="R238" i="1" s="1"/>
  <c r="D255" i="1"/>
  <c r="D256" i="1" s="1"/>
  <c r="D257" i="1"/>
  <c r="D258" i="1" s="1"/>
  <c r="D253" i="1"/>
  <c r="D254" i="1" s="1"/>
  <c r="I153" i="1"/>
  <c r="I152" i="1"/>
  <c r="AC156" i="13"/>
  <c r="AC155" i="13"/>
  <c r="BH156" i="13"/>
  <c r="BH155" i="13"/>
  <c r="F233" i="1"/>
  <c r="F234" i="1" s="1"/>
  <c r="F209" i="1"/>
  <c r="F221" i="1"/>
  <c r="F222" i="1" s="1"/>
  <c r="D271" i="1"/>
  <c r="D272" i="1" s="1"/>
  <c r="D269" i="1"/>
  <c r="D270" i="1" s="1"/>
  <c r="D267" i="1"/>
  <c r="D268" i="1" s="1"/>
  <c r="F269" i="1"/>
  <c r="F270" i="1" s="1"/>
  <c r="F267" i="1"/>
  <c r="F268" i="1" s="1"/>
  <c r="F271" i="1"/>
  <c r="F272" i="1" s="1"/>
  <c r="H231" i="1"/>
  <c r="H232" i="1" s="1"/>
  <c r="H225" i="1"/>
  <c r="H226" i="1" s="1"/>
  <c r="H229" i="1"/>
  <c r="H230" i="1" s="1"/>
  <c r="H223" i="1"/>
  <c r="H224" i="1" s="1"/>
  <c r="H227" i="1"/>
  <c r="H228" i="1" s="1"/>
  <c r="H233" i="1"/>
  <c r="H234" i="1" s="1"/>
  <c r="F183" i="13"/>
  <c r="G233" i="1"/>
  <c r="G234" i="1" s="1"/>
  <c r="F153" i="1"/>
  <c r="F152" i="1"/>
  <c r="Q271" i="1"/>
  <c r="Q272" i="1" s="1"/>
  <c r="Q267" i="1"/>
  <c r="Q268" i="1" s="1"/>
  <c r="Q269" i="1"/>
  <c r="Q270" i="1" s="1"/>
  <c r="B233" i="1"/>
  <c r="B234" i="1" s="1"/>
  <c r="F213" i="1"/>
  <c r="F214" i="1" s="1"/>
  <c r="F217" i="1"/>
  <c r="F218" i="1" s="1"/>
  <c r="F211" i="1"/>
  <c r="F212" i="1" s="1"/>
  <c r="F215" i="1"/>
  <c r="F216" i="1" s="1"/>
  <c r="F219" i="1"/>
  <c r="F220" i="1" s="1"/>
  <c r="AG260" i="15"/>
  <c r="Q156" i="14"/>
  <c r="Q155" i="14"/>
  <c r="D264" i="1"/>
  <c r="D265" i="1" s="1"/>
  <c r="D262" i="1"/>
  <c r="D263" i="1" s="1"/>
  <c r="F262" i="1"/>
  <c r="F263" i="1" s="1"/>
  <c r="F264" i="1"/>
  <c r="F265" i="1" s="1"/>
  <c r="E255" i="1"/>
  <c r="E256" i="1" s="1"/>
  <c r="E257" i="1"/>
  <c r="E258" i="1" s="1"/>
  <c r="E253" i="1"/>
  <c r="E254" i="1" s="1"/>
  <c r="E262" i="1"/>
  <c r="E263" i="1" s="1"/>
  <c r="E264" i="1"/>
  <c r="E265" i="1" s="1"/>
  <c r="I262" i="1"/>
  <c r="I263" i="1" s="1"/>
  <c r="I264" i="1"/>
  <c r="I265" i="1" s="1"/>
  <c r="Q250" i="1"/>
  <c r="Q251" i="1" s="1"/>
  <c r="Q248" i="1"/>
  <c r="Q249" i="1" s="1"/>
  <c r="Q262" i="1"/>
  <c r="Q263" i="1" s="1"/>
  <c r="Q264" i="1"/>
  <c r="Q265" i="1" s="1"/>
  <c r="C235" i="1"/>
  <c r="C236" i="1" s="1"/>
  <c r="C274" i="1" s="1"/>
  <c r="C241" i="1"/>
  <c r="C242" i="1" s="1"/>
  <c r="C237" i="1"/>
  <c r="C238" i="1" s="1"/>
  <c r="C239" i="1"/>
  <c r="C240" i="1" s="1"/>
  <c r="C243" i="1"/>
  <c r="C244" i="1" s="1"/>
  <c r="AG158" i="13"/>
  <c r="AG190" i="13" s="1"/>
  <c r="AG191" i="13" s="1"/>
  <c r="AG171" i="13" s="1"/>
  <c r="AG157" i="13"/>
  <c r="AG169" i="13"/>
  <c r="AG186" i="13"/>
  <c r="AG187" i="13" s="1"/>
  <c r="D250" i="1"/>
  <c r="D251" i="1" s="1"/>
  <c r="D248" i="1"/>
  <c r="D249" i="1" s="1"/>
  <c r="AB156" i="13"/>
  <c r="AB155" i="13"/>
  <c r="U158" i="14"/>
  <c r="U190" i="14" s="1"/>
  <c r="U191" i="14" s="1"/>
  <c r="U171" i="14" s="1"/>
  <c r="U157" i="14"/>
  <c r="U169" i="14"/>
  <c r="U186" i="14"/>
  <c r="U187" i="14" s="1"/>
  <c r="Q255" i="1"/>
  <c r="Q256" i="1" s="1"/>
  <c r="Q253" i="1"/>
  <c r="Q254" i="1" s="1"/>
  <c r="Q257" i="1"/>
  <c r="Q258" i="1" s="1"/>
  <c r="Q153" i="1"/>
  <c r="Q152" i="1"/>
  <c r="I211" i="1"/>
  <c r="I212" i="1" s="1"/>
  <c r="I215" i="1"/>
  <c r="I216" i="1" s="1"/>
  <c r="I219" i="1"/>
  <c r="I220" i="1" s="1"/>
  <c r="I213" i="1"/>
  <c r="I214" i="1" s="1"/>
  <c r="I217" i="1"/>
  <c r="I218" i="1" s="1"/>
  <c r="AL156" i="13"/>
  <c r="AL155" i="13"/>
  <c r="J156" i="13"/>
  <c r="J155" i="13"/>
  <c r="F257" i="1"/>
  <c r="F258" i="1" s="1"/>
  <c r="F255" i="1"/>
  <c r="F256" i="1" s="1"/>
  <c r="F253" i="1"/>
  <c r="F254" i="1" s="1"/>
  <c r="E250" i="1"/>
  <c r="E251" i="1" s="1"/>
  <c r="E248" i="1"/>
  <c r="E249" i="1" s="1"/>
  <c r="I269" i="1"/>
  <c r="I270" i="1" s="1"/>
  <c r="I267" i="1"/>
  <c r="I268" i="1" s="1"/>
  <c r="I271" i="1"/>
  <c r="I272" i="1" s="1"/>
  <c r="E219" i="1"/>
  <c r="E220" i="1" s="1"/>
  <c r="E213" i="1"/>
  <c r="E214" i="1" s="1"/>
  <c r="E217" i="1"/>
  <c r="E218" i="1" s="1"/>
  <c r="E211" i="1"/>
  <c r="E212" i="1" s="1"/>
  <c r="E215" i="1"/>
  <c r="E216" i="1" s="1"/>
  <c r="F248" i="1"/>
  <c r="F249" i="1" s="1"/>
  <c r="F250" i="1"/>
  <c r="F251" i="1" s="1"/>
  <c r="E153" i="1"/>
  <c r="E152" i="1"/>
  <c r="N221" i="1"/>
  <c r="N222" i="1" s="1"/>
  <c r="N233" i="1" s="1"/>
  <c r="N234" i="1" s="1"/>
  <c r="N209" i="1"/>
  <c r="P227" i="1"/>
  <c r="P228" i="1" s="1"/>
  <c r="P274" i="1" s="1"/>
  <c r="P229" i="1"/>
  <c r="P230" i="1" s="1"/>
  <c r="P225" i="1"/>
  <c r="P226" i="1" s="1"/>
  <c r="P223" i="1"/>
  <c r="P224" i="1" s="1"/>
  <c r="P231" i="1"/>
  <c r="P232" i="1" s="1"/>
  <c r="O239" i="1"/>
  <c r="O240" i="1" s="1"/>
  <c r="O235" i="1"/>
  <c r="O236" i="1" s="1"/>
  <c r="O274" i="1" s="1"/>
  <c r="O237" i="1"/>
  <c r="O238" i="1" s="1"/>
  <c r="O243" i="1"/>
  <c r="O244" i="1" s="1"/>
  <c r="O241" i="1"/>
  <c r="O242" i="1" s="1"/>
  <c r="N211" i="1"/>
  <c r="N212" i="1" s="1"/>
  <c r="N215" i="1"/>
  <c r="N216" i="1" s="1"/>
  <c r="N219" i="1"/>
  <c r="N220" i="1" s="1"/>
  <c r="N213" i="1"/>
  <c r="N214" i="1" s="1"/>
  <c r="N217" i="1"/>
  <c r="N218" i="1" s="1"/>
  <c r="I257" i="1"/>
  <c r="I258" i="1" s="1"/>
  <c r="I255" i="1"/>
  <c r="I256" i="1" s="1"/>
  <c r="I253" i="1"/>
  <c r="I254" i="1" s="1"/>
  <c r="Q209" i="1"/>
  <c r="Q233" i="1"/>
  <c r="Q234" i="1" s="1"/>
  <c r="Q221" i="1"/>
  <c r="Q222" i="1" s="1"/>
  <c r="E269" i="1"/>
  <c r="E270" i="1" s="1"/>
  <c r="E271" i="1"/>
  <c r="E272" i="1" s="1"/>
  <c r="E267" i="1"/>
  <c r="E268" i="1" s="1"/>
  <c r="BH260" i="15"/>
  <c r="AB260" i="15"/>
  <c r="U183" i="14"/>
  <c r="Q210" i="1"/>
  <c r="E209" i="1"/>
  <c r="E221" i="1"/>
  <c r="E222" i="1" s="1"/>
  <c r="E233" i="1" s="1"/>
  <c r="E234" i="1" s="1"/>
  <c r="N257" i="1"/>
  <c r="N258" i="1" s="1"/>
  <c r="N255" i="1"/>
  <c r="N256" i="1" s="1"/>
  <c r="N253" i="1"/>
  <c r="N254" i="1" s="1"/>
  <c r="N269" i="1"/>
  <c r="N270" i="1" s="1"/>
  <c r="N267" i="1"/>
  <c r="N268" i="1" s="1"/>
  <c r="N271" i="1"/>
  <c r="N272" i="1" s="1"/>
  <c r="N153" i="1"/>
  <c r="N152" i="1"/>
  <c r="BM260" i="15"/>
  <c r="P260" i="15"/>
  <c r="B260" i="15"/>
  <c r="T260" i="15"/>
  <c r="E260" i="15"/>
  <c r="C229" i="15"/>
  <c r="C230" i="15" s="1"/>
  <c r="C227" i="15"/>
  <c r="C228" i="15" s="1"/>
  <c r="C225" i="15"/>
  <c r="C226" i="15" s="1"/>
  <c r="C223" i="15"/>
  <c r="C224" i="15" s="1"/>
  <c r="C221" i="15"/>
  <c r="C222" i="15" s="1"/>
  <c r="AL262" i="15"/>
  <c r="BH262" i="15"/>
  <c r="B262" i="15"/>
  <c r="AM262" i="15"/>
  <c r="AB262" i="15"/>
  <c r="AG262" i="15"/>
  <c r="C276" i="1"/>
  <c r="P276" i="1"/>
  <c r="T262" i="15"/>
  <c r="E262" i="15"/>
  <c r="R276" i="1"/>
  <c r="O276" i="1"/>
  <c r="BM262" i="15"/>
  <c r="P262" i="15"/>
  <c r="S277" i="1"/>
  <c r="G263" i="15"/>
  <c r="Z263" i="15"/>
  <c r="BE263" i="15"/>
  <c r="T277" i="1"/>
  <c r="S263" i="15"/>
  <c r="AO263" i="15"/>
  <c r="V263" i="15"/>
  <c r="AN263" i="15"/>
  <c r="AP263" i="15"/>
  <c r="K263" i="15"/>
  <c r="AH263" i="15"/>
  <c r="BJ263" i="15"/>
  <c r="N263" i="15"/>
  <c r="AT263" i="15"/>
  <c r="AE263" i="15"/>
  <c r="Y263" i="15"/>
  <c r="D263" i="15"/>
  <c r="BC263" i="15"/>
  <c r="AY263" i="15"/>
  <c r="J277" i="1"/>
  <c r="BA263" i="15"/>
  <c r="U280" i="14"/>
  <c r="P280" i="14"/>
  <c r="J263" i="15"/>
  <c r="AU263" i="15"/>
  <c r="AC263" i="15"/>
  <c r="W263" i="15"/>
  <c r="Q263" i="15"/>
  <c r="BF263" i="15"/>
  <c r="M277" i="1"/>
  <c r="AF263" i="15"/>
  <c r="H263" i="15"/>
  <c r="R263" i="15"/>
  <c r="I155" i="13" l="1"/>
  <c r="I156" i="13"/>
  <c r="H160" i="15"/>
  <c r="AY160" i="15"/>
  <c r="S160" i="15"/>
  <c r="K160" i="15"/>
  <c r="U177" i="14"/>
  <c r="BF160" i="15"/>
  <c r="N160" i="15"/>
  <c r="G160" i="15"/>
  <c r="P177" i="14"/>
  <c r="M174" i="1"/>
  <c r="J174" i="1"/>
  <c r="D160" i="15"/>
  <c r="AU160" i="15"/>
  <c r="R160" i="15"/>
  <c r="Q160" i="15"/>
  <c r="BC160" i="15"/>
  <c r="T174" i="1"/>
  <c r="J160" i="15"/>
  <c r="AH160" i="15"/>
  <c r="S174" i="1"/>
  <c r="I243" i="1"/>
  <c r="I244" i="1" s="1"/>
  <c r="I241" i="1"/>
  <c r="I242" i="1" s="1"/>
  <c r="I235" i="1"/>
  <c r="I236" i="1" s="1"/>
  <c r="I239" i="1"/>
  <c r="I240" i="1" s="1"/>
  <c r="I237" i="1"/>
  <c r="I238" i="1" s="1"/>
  <c r="E243" i="1"/>
  <c r="E244" i="1" s="1"/>
  <c r="E239" i="1"/>
  <c r="E240" i="1" s="1"/>
  <c r="E235" i="1"/>
  <c r="E236" i="1" s="1"/>
  <c r="E241" i="1"/>
  <c r="E242" i="1" s="1"/>
  <c r="E237" i="1"/>
  <c r="E238" i="1" s="1"/>
  <c r="N235" i="1"/>
  <c r="N236" i="1" s="1"/>
  <c r="N243" i="1"/>
  <c r="N244" i="1" s="1"/>
  <c r="N239" i="1"/>
  <c r="N240" i="1" s="1"/>
  <c r="N241" i="1"/>
  <c r="N242" i="1" s="1"/>
  <c r="N237" i="1"/>
  <c r="N238" i="1" s="1"/>
  <c r="Q231" i="1"/>
  <c r="Q232" i="1" s="1"/>
  <c r="Q229" i="1"/>
  <c r="Q230" i="1" s="1"/>
  <c r="Q225" i="1"/>
  <c r="Q226" i="1" s="1"/>
  <c r="Q227" i="1"/>
  <c r="Q228" i="1" s="1"/>
  <c r="Q223" i="1"/>
  <c r="Q224" i="1" s="1"/>
  <c r="G235" i="1"/>
  <c r="G236" i="1" s="1"/>
  <c r="G274" i="1" s="1"/>
  <c r="G239" i="1"/>
  <c r="G240" i="1" s="1"/>
  <c r="G241" i="1"/>
  <c r="G242" i="1" s="1"/>
  <c r="G243" i="1"/>
  <c r="G244" i="1" s="1"/>
  <c r="G237" i="1"/>
  <c r="G238" i="1" s="1"/>
  <c r="D223" i="1"/>
  <c r="D224" i="1" s="1"/>
  <c r="D274" i="1" s="1"/>
  <c r="D227" i="1"/>
  <c r="D228" i="1" s="1"/>
  <c r="D231" i="1"/>
  <c r="D232" i="1" s="1"/>
  <c r="D225" i="1"/>
  <c r="D226" i="1" s="1"/>
  <c r="D229" i="1"/>
  <c r="D230" i="1" s="1"/>
  <c r="Q219" i="1"/>
  <c r="Q220" i="1" s="1"/>
  <c r="Q217" i="1"/>
  <c r="Q218" i="1" s="1"/>
  <c r="Q213" i="1"/>
  <c r="Q214" i="1" s="1"/>
  <c r="Q215" i="1"/>
  <c r="Q216" i="1" s="1"/>
  <c r="Q211" i="1"/>
  <c r="Q212" i="1" s="1"/>
  <c r="Q274" i="1" s="1"/>
  <c r="U156" i="14"/>
  <c r="U155" i="14"/>
  <c r="B243" i="1"/>
  <c r="B244" i="1" s="1"/>
  <c r="B235" i="1"/>
  <c r="B236" i="1" s="1"/>
  <c r="B239" i="1"/>
  <c r="B240" i="1" s="1"/>
  <c r="B237" i="1"/>
  <c r="B238" i="1" s="1"/>
  <c r="B241" i="1"/>
  <c r="B242" i="1" s="1"/>
  <c r="B274" i="1" s="1"/>
  <c r="F223" i="1"/>
  <c r="F224" i="1" s="1"/>
  <c r="F227" i="1"/>
  <c r="F228" i="1" s="1"/>
  <c r="F231" i="1"/>
  <c r="F232" i="1" s="1"/>
  <c r="F229" i="1"/>
  <c r="F230" i="1" s="1"/>
  <c r="F225" i="1"/>
  <c r="F226" i="1" s="1"/>
  <c r="D235" i="1"/>
  <c r="D236" i="1" s="1"/>
  <c r="D243" i="1"/>
  <c r="D244" i="1" s="1"/>
  <c r="D237" i="1"/>
  <c r="D238" i="1" s="1"/>
  <c r="D239" i="1"/>
  <c r="D240" i="1" s="1"/>
  <c r="D241" i="1"/>
  <c r="D242" i="1" s="1"/>
  <c r="H239" i="1"/>
  <c r="H240" i="1" s="1"/>
  <c r="H243" i="1"/>
  <c r="H244" i="1" s="1"/>
  <c r="H237" i="1"/>
  <c r="H238" i="1" s="1"/>
  <c r="H241" i="1"/>
  <c r="H242" i="1" s="1"/>
  <c r="H235" i="1"/>
  <c r="H236" i="1" s="1"/>
  <c r="Q239" i="1"/>
  <c r="Q240" i="1" s="1"/>
  <c r="Q235" i="1"/>
  <c r="Q236" i="1" s="1"/>
  <c r="Q243" i="1"/>
  <c r="Q244" i="1" s="1"/>
  <c r="Q241" i="1"/>
  <c r="Q242" i="1" s="1"/>
  <c r="Q237" i="1"/>
  <c r="Q238" i="1" s="1"/>
  <c r="N225" i="1"/>
  <c r="N226" i="1" s="1"/>
  <c r="N223" i="1"/>
  <c r="N224" i="1" s="1"/>
  <c r="N231" i="1"/>
  <c r="N232" i="1" s="1"/>
  <c r="N229" i="1"/>
  <c r="N230" i="1" s="1"/>
  <c r="N274" i="1" s="1"/>
  <c r="N227" i="1"/>
  <c r="N228" i="1" s="1"/>
  <c r="F156" i="13"/>
  <c r="F155" i="13"/>
  <c r="AG156" i="13"/>
  <c r="AG155" i="13"/>
  <c r="F274" i="1"/>
  <c r="I225" i="1"/>
  <c r="I226" i="1" s="1"/>
  <c r="I231" i="1"/>
  <c r="I232" i="1" s="1"/>
  <c r="I229" i="1"/>
  <c r="I230" i="1" s="1"/>
  <c r="I227" i="1"/>
  <c r="I228" i="1" s="1"/>
  <c r="I274" i="1" s="1"/>
  <c r="I223" i="1"/>
  <c r="I224" i="1" s="1"/>
  <c r="E225" i="1"/>
  <c r="E226" i="1" s="1"/>
  <c r="E229" i="1"/>
  <c r="E230" i="1" s="1"/>
  <c r="E231" i="1"/>
  <c r="E232" i="1" s="1"/>
  <c r="E223" i="1"/>
  <c r="E224" i="1" s="1"/>
  <c r="E274" i="1" s="1"/>
  <c r="E227" i="1"/>
  <c r="E228" i="1" s="1"/>
  <c r="F239" i="1"/>
  <c r="F240" i="1" s="1"/>
  <c r="F243" i="1"/>
  <c r="F244" i="1" s="1"/>
  <c r="F235" i="1"/>
  <c r="F236" i="1" s="1"/>
  <c r="F237" i="1"/>
  <c r="F238" i="1" s="1"/>
  <c r="F241" i="1"/>
  <c r="F242" i="1" s="1"/>
  <c r="AN160" i="15"/>
  <c r="BE160" i="15"/>
  <c r="BA160" i="15"/>
  <c r="W160" i="15"/>
  <c r="AO160" i="15"/>
  <c r="BJ160" i="15"/>
  <c r="AF160" i="15"/>
  <c r="AE160" i="15"/>
  <c r="Y160" i="15"/>
  <c r="V160" i="15"/>
  <c r="AP160" i="15"/>
  <c r="AT160" i="15"/>
  <c r="Z160" i="15"/>
  <c r="AC160" i="15"/>
  <c r="C260" i="15"/>
  <c r="C262" i="15"/>
  <c r="F276" i="1"/>
  <c r="G276" i="1"/>
  <c r="E276" i="1"/>
  <c r="B276" i="1"/>
  <c r="Q276" i="1"/>
  <c r="D276" i="1"/>
  <c r="N276" i="1"/>
  <c r="I276" i="1"/>
  <c r="AG263" i="15"/>
  <c r="P263" i="15"/>
  <c r="BM263" i="15"/>
  <c r="P277" i="1"/>
  <c r="C277" i="1"/>
  <c r="E263" i="15"/>
  <c r="T263" i="15"/>
  <c r="BH263" i="15"/>
  <c r="O277" i="1"/>
  <c r="R277" i="1"/>
  <c r="B263" i="15"/>
  <c r="AB263" i="15"/>
  <c r="AM263" i="15"/>
  <c r="AL263" i="15"/>
  <c r="C174" i="1" l="1"/>
  <c r="AM160" i="15"/>
  <c r="P174" i="1"/>
  <c r="BH160" i="15"/>
  <c r="AB160" i="15"/>
  <c r="T160" i="15"/>
  <c r="B160" i="15"/>
  <c r="E160" i="15"/>
  <c r="AG160" i="15"/>
  <c r="AL160" i="15"/>
  <c r="R174" i="1"/>
  <c r="O174" i="1"/>
  <c r="BM160" i="15"/>
  <c r="P160" i="15"/>
  <c r="H274" i="1"/>
  <c r="H276" i="1"/>
  <c r="E277" i="1"/>
  <c r="N277" i="1"/>
  <c r="D277" i="1"/>
  <c r="G277" i="1"/>
  <c r="F277" i="1"/>
  <c r="C263" i="15"/>
  <c r="B277" i="1"/>
  <c r="I277" i="1"/>
  <c r="Q277" i="1"/>
  <c r="B174" i="1" l="1"/>
  <c r="C160" i="15"/>
  <c r="F174" i="1"/>
  <c r="G174" i="1"/>
  <c r="E174" i="1"/>
  <c r="Q174" i="1"/>
  <c r="D174" i="1"/>
  <c r="N174" i="1"/>
  <c r="I174" i="1"/>
  <c r="H277" i="1"/>
  <c r="H174" i="1" l="1"/>
</calcChain>
</file>

<file path=xl/sharedStrings.xml><?xml version="1.0" encoding="utf-8"?>
<sst xmlns="http://schemas.openxmlformats.org/spreadsheetml/2006/main" count="1435" uniqueCount="450">
  <si>
    <t>3. NaM4 &gt; 0.67 but  &lt; 1.34)</t>
  </si>
  <si>
    <t xml:space="preserve">   </t>
  </si>
  <si>
    <t>Hastingsitic Hbl</t>
  </si>
  <si>
    <t>Hastingsite</t>
  </si>
  <si>
    <t xml:space="preserve"> </t>
  </si>
  <si>
    <t xml:space="preserve">  </t>
  </si>
  <si>
    <t>Taramite</t>
  </si>
  <si>
    <t>Eckermannite</t>
  </si>
  <si>
    <t>Ferro-Eckermannite</t>
  </si>
  <si>
    <t>Magnesio-Arfvensonite</t>
  </si>
  <si>
    <t>6 = Ca &gt; 2</t>
  </si>
  <si>
    <t xml:space="preserve"> 7 = Al4(tot) - Ed - Plag &lt; 0</t>
  </si>
  <si>
    <t>Tschermaks (Al6+Cr+Fe3R+2*Ti)</t>
  </si>
  <si>
    <t>AMPHIBOLE CAMP NORM (stoichiometric, Sum(Cations) = 15+Na+K, I.e. no Na on M4)</t>
  </si>
  <si>
    <t>Cations all Fe2+ (Cations = 15+Na+K) (CAMP)</t>
  </si>
  <si>
    <t>AMPHIBOLE NAMP NORM (stoichiometric, Sum(Cations) = 13+Na+K+Ca, I.e. no Mg/Fe/Mn on M4)</t>
  </si>
  <si>
    <t>AMPHIBOLE CAMP NORM (stoichiometric, Sum(Cations) = 15+K, I.e. no Na on A-site)</t>
  </si>
  <si>
    <t>Cations all Fe2+ (Cations = 15K) (KAMP)</t>
  </si>
  <si>
    <t>14 = Charge inbalance</t>
  </si>
  <si>
    <t>Xfe3 for RAMP</t>
  </si>
  <si>
    <t>1 = Al4&gt;8-Si</t>
  </si>
  <si>
    <t>Edenite (Na+K on A)</t>
  </si>
  <si>
    <t>2 = Total Cat &lt; 15</t>
  </si>
  <si>
    <t>Tschermakitic Hbl</t>
  </si>
  <si>
    <t>Tschermakite</t>
  </si>
  <si>
    <t>Edenitic Hbl</t>
  </si>
  <si>
    <t>FeR (change if oxicompont &lt;&gt;0)</t>
  </si>
  <si>
    <t>2.2.3.1 xMg 0.5</t>
  </si>
  <si>
    <t>2.2.4 6.25 &lt; Si &lt; 6.5</t>
  </si>
  <si>
    <t>2.2.4.1 xMg 0.5</t>
  </si>
  <si>
    <t>2.2.5 Si &lt; 6.25</t>
  </si>
  <si>
    <t>2.2.5.1 xMg 0.5</t>
  </si>
  <si>
    <t>2.1.1 xMg 0.5 (Kaer)</t>
  </si>
  <si>
    <t>2.3 Fe3/Al &gt; 0.5</t>
  </si>
  <si>
    <t>2.3.1 Si &gt; 7.25</t>
  </si>
  <si>
    <t>2.3.2 Si =  6.75-7.25</t>
  </si>
  <si>
    <t>2.3.1.1 xMg 0.5</t>
  </si>
  <si>
    <t>2.3.2.1 xMg 0.5</t>
  </si>
  <si>
    <t>2.3.3 Si = 6.5 - 6.75</t>
  </si>
  <si>
    <t>2.3.3.1 xMg 0.5</t>
  </si>
  <si>
    <t>2.3.4 Si = 6.25 - 6.5</t>
  </si>
  <si>
    <t>2.3.4.1 xMg 0.7, 0.3</t>
  </si>
  <si>
    <t>2.3.5 Si &lt; 6.25</t>
  </si>
  <si>
    <t>2.3.5.1 xMg 0.7 0.3</t>
  </si>
  <si>
    <t>2.4 Other Calcic Amphiboles</t>
  </si>
  <si>
    <t>Pevious</t>
  </si>
  <si>
    <t>2.4.1 Si &gt; 7.25</t>
  </si>
  <si>
    <t>2.2.1.1 xMg 0.9 / 0.5</t>
  </si>
  <si>
    <t>2.2.2 7.25 &lt; Si &lt; 7.5</t>
  </si>
  <si>
    <t>2.2.2.1 xMg 09/ 0.5</t>
  </si>
  <si>
    <t>2.2.3 6.5 &lt; Si &lt; 7.25</t>
  </si>
  <si>
    <t>3.2.1.1 xMg 0.5</t>
  </si>
  <si>
    <t>3.2.2 Si = 6.5 - 7.5</t>
  </si>
  <si>
    <t>3.2.2.1 xMg 0.5</t>
  </si>
  <si>
    <t>3.2.3 Si &lt; 6.5</t>
  </si>
  <si>
    <t>9 = Ti-Tschermaks &gt; Al4tot/2</t>
  </si>
  <si>
    <t>SumFM</t>
  </si>
  <si>
    <t>Fe2+ &lt;-&gt; Mg</t>
  </si>
  <si>
    <t>Mn &lt;-&gt; Mg</t>
  </si>
  <si>
    <t>K(A) &lt;-&gt; Na(A)</t>
  </si>
  <si>
    <t>FM(M4) &lt;-&gt; Ca(M4)</t>
  </si>
  <si>
    <t>F3+/Fetot</t>
  </si>
  <si>
    <t>2.4.4.1 xMg 0.7, 0.3</t>
  </si>
  <si>
    <t>2.4.5. Si &lt; 6.25</t>
  </si>
  <si>
    <t>2.4.5.1 xMg 0.7, 0.3</t>
  </si>
  <si>
    <t>Calcic-Sodic Amph (0.67&lt;NaM4&lt;1.34)</t>
  </si>
  <si>
    <t>3.1 NaK(A) &lt; 0.5</t>
  </si>
  <si>
    <t>3.1.1. Si &gt; 7.5</t>
  </si>
  <si>
    <t>3.1.1.1 xMg 0.5</t>
  </si>
  <si>
    <t>3.1.2 Si &lt; 7.5</t>
  </si>
  <si>
    <t>3.1.2.1 xMg 0.5</t>
  </si>
  <si>
    <t>3.2 NaK(A) &gt; 0.5</t>
  </si>
  <si>
    <t>3.2.1 Si &gt; 7.5</t>
  </si>
  <si>
    <t>Ratios and Site activities</t>
  </si>
  <si>
    <t>Al4</t>
  </si>
  <si>
    <t>Al6</t>
  </si>
  <si>
    <t>xMg(Fe2+)</t>
  </si>
  <si>
    <t>xMg(Fetot)</t>
  </si>
  <si>
    <t>Al4R</t>
  </si>
  <si>
    <t>Average</t>
  </si>
  <si>
    <t>Std</t>
  </si>
  <si>
    <t>Cat mult</t>
  </si>
  <si>
    <t>Input</t>
  </si>
  <si>
    <t>pu380</t>
  </si>
  <si>
    <t>amph</t>
  </si>
  <si>
    <t>H2O</t>
  </si>
  <si>
    <t>F</t>
  </si>
  <si>
    <t>Cl</t>
  </si>
  <si>
    <t>Cations all Fe2+ (Cations = 13+Na+Ca+K) (NAMP)</t>
  </si>
  <si>
    <t>H</t>
  </si>
  <si>
    <t>F,Cl=O</t>
  </si>
  <si>
    <t>xFe3+</t>
  </si>
  <si>
    <t>NaM4</t>
  </si>
  <si>
    <t>NaA</t>
  </si>
  <si>
    <t>Vectors</t>
  </si>
  <si>
    <t>Error Codes</t>
  </si>
  <si>
    <t>Arfvensonite</t>
  </si>
  <si>
    <t>Glaucophane</t>
  </si>
  <si>
    <t xml:space="preserve">Ferro-Glaucophane </t>
  </si>
  <si>
    <t>Crossite</t>
  </si>
  <si>
    <t>Magnesio-Riebeckite</t>
  </si>
  <si>
    <t>Riebeckite</t>
  </si>
  <si>
    <t>Amphibole Names</t>
  </si>
  <si>
    <t>Na2O</t>
  </si>
  <si>
    <t>FeO</t>
  </si>
  <si>
    <t>Al2O3</t>
  </si>
  <si>
    <t>MgO</t>
  </si>
  <si>
    <t>MnO</t>
  </si>
  <si>
    <t>CaO</t>
  </si>
  <si>
    <t>TiO2</t>
  </si>
  <si>
    <t>Atoms</t>
  </si>
  <si>
    <t>Ox weight</t>
  </si>
  <si>
    <t>charge</t>
  </si>
  <si>
    <t>Cr2O3</t>
  </si>
  <si>
    <t>NiO</t>
  </si>
  <si>
    <t>Total</t>
  </si>
  <si>
    <t>Si</t>
  </si>
  <si>
    <t>Ti</t>
  </si>
  <si>
    <t>Cr</t>
  </si>
  <si>
    <t>Al</t>
  </si>
  <si>
    <t>Fe</t>
  </si>
  <si>
    <t>Mn</t>
  </si>
  <si>
    <t>Ni</t>
  </si>
  <si>
    <t>Mg</t>
  </si>
  <si>
    <t>Ca</t>
  </si>
  <si>
    <t>Na</t>
  </si>
  <si>
    <t>K</t>
  </si>
  <si>
    <t>Charges</t>
  </si>
  <si>
    <t>Charge Def.</t>
  </si>
  <si>
    <t>Cations (Fe2+/Fe3+ charge balance)</t>
  </si>
  <si>
    <t>Fe2+</t>
  </si>
  <si>
    <t>Fe3+</t>
  </si>
  <si>
    <t>Wt.% Recalculated</t>
  </si>
  <si>
    <t>Fe2O3</t>
  </si>
  <si>
    <t>NAMP</t>
  </si>
  <si>
    <t>4.1.1 Fe3/Al &lt; 0.5</t>
  </si>
  <si>
    <t>4.1.2.1 xMg 0.5</t>
  </si>
  <si>
    <t>4.2 NaK(A) &lt; 0.5</t>
  </si>
  <si>
    <t>4.2.1 Fe3/Al &gt;0.3</t>
  </si>
  <si>
    <t>4.2.1.1 xMg = 0.5</t>
  </si>
  <si>
    <t>4.2.2 Fe3/Al = 0.3 - 0.7</t>
  </si>
  <si>
    <t>4.2.2.1 independent of xMg</t>
  </si>
  <si>
    <t>4.2.3 Fe/Al &gt; 0.7</t>
  </si>
  <si>
    <t>4.2.3.1 xMg 0.5</t>
  </si>
  <si>
    <t>Selected Amph</t>
  </si>
  <si>
    <t>Name</t>
  </si>
  <si>
    <t>Column Number</t>
  </si>
  <si>
    <t>3.2.3.1 xMg 0.5</t>
  </si>
  <si>
    <t>Sodic Amphiboles (NaM4 &gt; 1.34)</t>
  </si>
  <si>
    <t>4.1 NaK(A) &gt; 0.5</t>
  </si>
  <si>
    <t>4.1.1.1 xMg 0.5</t>
  </si>
  <si>
    <t>4.1.2 Fe3/Al &lt; 0.5</t>
  </si>
  <si>
    <t>Magnesio-Hastingsitic Hbl</t>
  </si>
  <si>
    <t>Magnesian Hastingsitic Hbl</t>
  </si>
  <si>
    <t>Magnesio-Hastingsite</t>
  </si>
  <si>
    <t>Magnesian Hastingsite</t>
  </si>
  <si>
    <t xml:space="preserve">Winchite </t>
  </si>
  <si>
    <t>Ferro-Winchite</t>
  </si>
  <si>
    <t>NaK(A)</t>
  </si>
  <si>
    <t>NaK (A)</t>
  </si>
  <si>
    <t xml:space="preserve">Ferro-Edenitic Hbl </t>
  </si>
  <si>
    <t xml:space="preserve">Paragasitic Hbl </t>
  </si>
  <si>
    <t>Ferroan Paragasitic Hbl</t>
  </si>
  <si>
    <t>Ferro-Paragasitic Hbl</t>
  </si>
  <si>
    <t>Paragasite</t>
  </si>
  <si>
    <t>Ferroan Paragasite</t>
  </si>
  <si>
    <t>Ferro-Paragasite</t>
  </si>
  <si>
    <t xml:space="preserve">Edenite </t>
  </si>
  <si>
    <t xml:space="preserve">Ferro-Edenite </t>
  </si>
  <si>
    <t>Ferro-Edenitic Hbl</t>
  </si>
  <si>
    <t>4. NaM4 &gt; 1.34</t>
  </si>
  <si>
    <t>1. Ca+Na(M4)&lt;1.34</t>
  </si>
  <si>
    <t>Low Ca-Na Mkl*orh amphiboles</t>
  </si>
  <si>
    <t>Barroisite</t>
  </si>
  <si>
    <t>Ferro-Barroisite</t>
  </si>
  <si>
    <t>Richterite</t>
  </si>
  <si>
    <t>Ferro-Richterite</t>
  </si>
  <si>
    <t>Magnesio-Katophyrite</t>
  </si>
  <si>
    <t>Katophyrite</t>
  </si>
  <si>
    <t>Magnesio-Taramite</t>
  </si>
  <si>
    <t>Amphibole Name</t>
  </si>
  <si>
    <t>Na(K)M4</t>
  </si>
  <si>
    <t>2. NaK(M4) &lt;0.67</t>
  </si>
  <si>
    <t>1.1 Si&gt;7 (Antho/Cumm)</t>
  </si>
  <si>
    <t>1.1.1 xMg 0.9, 0.3</t>
  </si>
  <si>
    <t>1.2 Si&lt;7</t>
  </si>
  <si>
    <t>1.2.1 xMg 0.9, 0.3</t>
  </si>
  <si>
    <t xml:space="preserve">Mg-Anth/Cumm </t>
  </si>
  <si>
    <t xml:space="preserve">Anth/Cumm </t>
  </si>
  <si>
    <t>Ferro-Anth/Grunerite</t>
  </si>
  <si>
    <t>Mg-Gedrite/Cumm</t>
  </si>
  <si>
    <t>Gedrite/Cumm</t>
  </si>
  <si>
    <t>Ferro-Gedrite/Cumm</t>
  </si>
  <si>
    <t>Kaersutite</t>
  </si>
  <si>
    <t>Ferro-Kaersutite</t>
  </si>
  <si>
    <t>Tremolite</t>
  </si>
  <si>
    <t>Actinolite</t>
  </si>
  <si>
    <t>Ferro-Actinolite</t>
  </si>
  <si>
    <t>Tremolitic Hbl</t>
  </si>
  <si>
    <t>Actinolitic Hbl</t>
  </si>
  <si>
    <t>Ferro-Act Hbl</t>
  </si>
  <si>
    <t xml:space="preserve">Magnesio-Hbl </t>
  </si>
  <si>
    <t>Ferro-Hbl</t>
  </si>
  <si>
    <t>Ferro-Tschermakitic Hbl</t>
  </si>
  <si>
    <t>Ferro-Tschermakite</t>
  </si>
  <si>
    <t>Silicic Edenite</t>
  </si>
  <si>
    <t>Silicic Ferro-Edenite</t>
  </si>
  <si>
    <t>Edenite</t>
  </si>
  <si>
    <t>Ferro-Edenite</t>
  </si>
  <si>
    <t>3 = (Na+K)A &gt; Na+K</t>
  </si>
  <si>
    <t>4 = (Na+K)A &gt; K</t>
  </si>
  <si>
    <t>Plag = Na + Ca - (Na,K)A</t>
  </si>
  <si>
    <t>NaK_Rest</t>
  </si>
  <si>
    <t>Residuals &amp; testvalues</t>
  </si>
  <si>
    <t>M4</t>
  </si>
  <si>
    <t>5 = Ca+(Na+K)M4 &gt; 2</t>
  </si>
  <si>
    <t>Sample</t>
  </si>
  <si>
    <t xml:space="preserve">pu397 amp1          </t>
  </si>
  <si>
    <t xml:space="preserve">pu397 amp2          </t>
  </si>
  <si>
    <t xml:space="preserve">pu397 amp3          </t>
  </si>
  <si>
    <t xml:space="preserve">pu397 amp4          </t>
  </si>
  <si>
    <t xml:space="preserve">pu397 amp5          </t>
  </si>
  <si>
    <t xml:space="preserve">pu397 amph6         </t>
  </si>
  <si>
    <t xml:space="preserve">SiO2  </t>
  </si>
  <si>
    <t xml:space="preserve">TiO2  </t>
  </si>
  <si>
    <t xml:space="preserve">Cr2O3 </t>
  </si>
  <si>
    <t xml:space="preserve">Al2O3 </t>
  </si>
  <si>
    <t xml:space="preserve">FeO   </t>
  </si>
  <si>
    <t xml:space="preserve">MnO   </t>
  </si>
  <si>
    <t xml:space="preserve">MgO   </t>
  </si>
  <si>
    <t xml:space="preserve">CaO   </t>
  </si>
  <si>
    <t xml:space="preserve">Na2O  </t>
  </si>
  <si>
    <t xml:space="preserve">K2O   </t>
  </si>
  <si>
    <t>AMPHIBOLE RAMP NORM 46 charges fixed Fe3+/Fetot ratio provided by input)</t>
  </si>
  <si>
    <t>Cations (Fe2+/Fe3+ fixed)</t>
  </si>
  <si>
    <t>Ts</t>
  </si>
  <si>
    <t>Al6R (Al6+Fe3+Cr - Plag)</t>
  </si>
  <si>
    <t>SumCAT</t>
  </si>
  <si>
    <t>Amphibole Nomenclature</t>
  </si>
  <si>
    <t>1. Subgroups</t>
  </si>
  <si>
    <t>Fe-Mg-Mn Amphiboles (mkl/orh)</t>
  </si>
  <si>
    <t>CaNam4</t>
  </si>
  <si>
    <t>xMg</t>
  </si>
  <si>
    <t>yFe3</t>
  </si>
  <si>
    <t>2.4.1.1 xMg 0.5</t>
  </si>
  <si>
    <t>2.4.2 Si = 6.75 - 7.25</t>
  </si>
  <si>
    <t>2.4.2.1 xMg 0.5</t>
  </si>
  <si>
    <t>2.4.3 Si = 6.5 - 6.75</t>
  </si>
  <si>
    <t>2.4.3.1 xMg 0.5</t>
  </si>
  <si>
    <t>2.4.4. Si = 6.25 - 6.5</t>
  </si>
  <si>
    <t>8 = Al6+Cr+Fe3+2*Ti &gt; Al4Rest</t>
  </si>
  <si>
    <t>Cr &lt;-&gt; Al6</t>
  </si>
  <si>
    <t>Fe3+ &lt;-&gt; Al6</t>
  </si>
  <si>
    <t>Ti-Tschermaks</t>
  </si>
  <si>
    <t>Calcic Amphiboles (low NaK(M4)</t>
  </si>
  <si>
    <t>2.1 Ti&gt;0.5</t>
  </si>
  <si>
    <t>2.2 NaK(A) &lt;0.5</t>
  </si>
  <si>
    <t>2.2.1 Si &gt; 7.5</t>
  </si>
  <si>
    <t>SUMFM</t>
  </si>
  <si>
    <t>SUMM13</t>
  </si>
  <si>
    <t>10 = Diff 5 M1-3</t>
  </si>
  <si>
    <t>12 = Sum Cations &gt; 16</t>
  </si>
  <si>
    <t>11 = Sum 3/4+ on M1-3 &lt; 2)</t>
  </si>
  <si>
    <t>13 = Si &lt; 5</t>
  </si>
  <si>
    <t>SIO2</t>
  </si>
  <si>
    <t>TIO2</t>
  </si>
  <si>
    <t>AL2O3</t>
  </si>
  <si>
    <t>FE2O3</t>
  </si>
  <si>
    <t>FEO</t>
  </si>
  <si>
    <t>MNO</t>
  </si>
  <si>
    <t>MGO</t>
  </si>
  <si>
    <t>CAO</t>
  </si>
  <si>
    <t>NA2O</t>
  </si>
  <si>
    <t>K2O</t>
  </si>
  <si>
    <t>SiO2</t>
  </si>
  <si>
    <t xml:space="preserve">36 / 1 . </t>
  </si>
  <si>
    <t xml:space="preserve">37 / 1 . </t>
  </si>
  <si>
    <t xml:space="preserve">38 / 1 . </t>
  </si>
  <si>
    <t xml:space="preserve">41 / 1 . </t>
  </si>
  <si>
    <t xml:space="preserve">55 / 1 . </t>
  </si>
  <si>
    <t>DataSet/Point</t>
  </si>
  <si>
    <t xml:space="preserve">1 / 1 . </t>
  </si>
  <si>
    <t xml:space="preserve">10 / 1 . </t>
  </si>
  <si>
    <t xml:space="preserve">17 / 1 . </t>
  </si>
  <si>
    <t xml:space="preserve">22 / 1 . </t>
  </si>
  <si>
    <t xml:space="preserve">26 / 1 . </t>
  </si>
  <si>
    <t xml:space="preserve">28 / 1 . </t>
  </si>
  <si>
    <t xml:space="preserve">29 / 1 . </t>
  </si>
  <si>
    <t xml:space="preserve">30 / 1 . </t>
  </si>
  <si>
    <t xml:space="preserve">31 / 1 . </t>
  </si>
  <si>
    <t xml:space="preserve">34 / 1 . </t>
  </si>
  <si>
    <t xml:space="preserve">35 / 1 . </t>
  </si>
  <si>
    <t xml:space="preserve">42 / 1 . </t>
  </si>
  <si>
    <t xml:space="preserve">43 / 1 . </t>
  </si>
  <si>
    <t xml:space="preserve">44 / 1 . </t>
  </si>
  <si>
    <t xml:space="preserve">49 / 1 . </t>
  </si>
  <si>
    <t xml:space="preserve">2 / 1 . </t>
  </si>
  <si>
    <t xml:space="preserve">3 / 1 . </t>
  </si>
  <si>
    <t xml:space="preserve">9 / 1 . </t>
  </si>
  <si>
    <t xml:space="preserve">15 / 1 . </t>
  </si>
  <si>
    <t xml:space="preserve">16 / 1 . </t>
  </si>
  <si>
    <t xml:space="preserve">25 / 1 . </t>
  </si>
  <si>
    <t xml:space="preserve">46 / 1 . </t>
  </si>
  <si>
    <t xml:space="preserve">47 / 1 . </t>
  </si>
  <si>
    <t xml:space="preserve">51 / 1 . </t>
  </si>
  <si>
    <t xml:space="preserve">57 / 1 . </t>
  </si>
  <si>
    <t>X</t>
  </si>
  <si>
    <t>Y</t>
  </si>
  <si>
    <t>Z</t>
  </si>
  <si>
    <t>Comment</t>
  </si>
  <si>
    <t>CO1423-2b-amph</t>
  </si>
  <si>
    <t>CO1423-2a-10amph</t>
  </si>
  <si>
    <t>CO1423-2a-rep10</t>
  </si>
  <si>
    <t>CO1423-4-21amph</t>
  </si>
  <si>
    <t>CO1418-4coeurband</t>
  </si>
  <si>
    <t>CO1418-4-amphcoeur</t>
  </si>
  <si>
    <t>CO1418-4-amphbord</t>
  </si>
  <si>
    <t>CO1418-4-chl</t>
  </si>
  <si>
    <t>CO1418-3b-amph</t>
  </si>
  <si>
    <t>CO1418-3b-amphbord</t>
  </si>
  <si>
    <t>CO1418-3b-amphcoeur</t>
  </si>
  <si>
    <t>CO1418-1-amph</t>
  </si>
  <si>
    <t>CO1429-1a-amph</t>
  </si>
  <si>
    <t>CO1429-2a-amph</t>
  </si>
  <si>
    <t>CO1411-2a-amph</t>
  </si>
  <si>
    <t>CO1411-2a-amphcoeur</t>
  </si>
  <si>
    <t>CO1411-2a-amphbord</t>
  </si>
  <si>
    <t>CO1411-1b-amph</t>
  </si>
  <si>
    <t>CO1414-2b-amph</t>
  </si>
  <si>
    <t>CO1410-5-amph</t>
  </si>
  <si>
    <t>CO1421-1-amph</t>
  </si>
  <si>
    <t>CO1421-2c-amphbord</t>
  </si>
  <si>
    <t>CO1421-3b-amph</t>
  </si>
  <si>
    <t>CO1421-3a-amph</t>
  </si>
  <si>
    <t>Point#</t>
  </si>
  <si>
    <t>Date</t>
  </si>
  <si>
    <t xml:space="preserve">18 / 1 . </t>
  </si>
  <si>
    <t xml:space="preserve">33 / 1 . </t>
  </si>
  <si>
    <t xml:space="preserve">6 / 1 . </t>
  </si>
  <si>
    <t xml:space="preserve">19 / 1 . </t>
  </si>
  <si>
    <t xml:space="preserve">27 / 1 . </t>
  </si>
  <si>
    <t xml:space="preserve">56 / 1 . </t>
  </si>
  <si>
    <t xml:space="preserve">61 / 1 . </t>
  </si>
  <si>
    <t xml:space="preserve">64 / 1 . </t>
  </si>
  <si>
    <t xml:space="preserve">65 / 1 . </t>
  </si>
  <si>
    <t xml:space="preserve">69 / 1 . </t>
  </si>
  <si>
    <t xml:space="preserve">70 / 1 . </t>
  </si>
  <si>
    <t xml:space="preserve">73 / 1 . </t>
  </si>
  <si>
    <t xml:space="preserve">75 / 1 . </t>
  </si>
  <si>
    <t xml:space="preserve">76 / 1 . </t>
  </si>
  <si>
    <t xml:space="preserve">78 / 1 . </t>
  </si>
  <si>
    <t xml:space="preserve">82 / 1 . </t>
  </si>
  <si>
    <t xml:space="preserve">83 / 1 . </t>
  </si>
  <si>
    <t xml:space="preserve">84 / 1 . </t>
  </si>
  <si>
    <t xml:space="preserve">87 / 1 . </t>
  </si>
  <si>
    <t xml:space="preserve">89 / 1 . </t>
  </si>
  <si>
    <t xml:space="preserve">94 / 1 . </t>
  </si>
  <si>
    <t xml:space="preserve">95 / 1 . </t>
  </si>
  <si>
    <t xml:space="preserve">99 / 1 . </t>
  </si>
  <si>
    <t xml:space="preserve">101 / 1 . </t>
  </si>
  <si>
    <t>19NC11C_2_AmpC</t>
  </si>
  <si>
    <t>19NC11C_2_AmpB</t>
  </si>
  <si>
    <t xml:space="preserve">4 / 1 . </t>
  </si>
  <si>
    <t xml:space="preserve">5 / 1 . </t>
  </si>
  <si>
    <t xml:space="preserve">20 / 1 . </t>
  </si>
  <si>
    <t xml:space="preserve">50 / 1 . </t>
  </si>
  <si>
    <t xml:space="preserve">52 / 1 . </t>
  </si>
  <si>
    <t xml:space="preserve">58 / 1 . </t>
  </si>
  <si>
    <t xml:space="preserve">59 / 1 . </t>
  </si>
  <si>
    <t xml:space="preserve">60 / 1 . </t>
  </si>
  <si>
    <t xml:space="preserve">72 / 1 . </t>
  </si>
  <si>
    <t xml:space="preserve">77 / 1 . </t>
  </si>
  <si>
    <t xml:space="preserve">79 / 1 . </t>
  </si>
  <si>
    <t xml:space="preserve">85 / 1 . </t>
  </si>
  <si>
    <t xml:space="preserve">86 / 1 . </t>
  </si>
  <si>
    <t xml:space="preserve">90 / 1 . </t>
  </si>
  <si>
    <t xml:space="preserve">91 / 1 . </t>
  </si>
  <si>
    <t xml:space="preserve">92 / 1 . </t>
  </si>
  <si>
    <t xml:space="preserve">97 / 1 . </t>
  </si>
  <si>
    <t xml:space="preserve">98 / 1 . </t>
  </si>
  <si>
    <t xml:space="preserve">102 / 1 . </t>
  </si>
  <si>
    <t xml:space="preserve">108 / 1 . </t>
  </si>
  <si>
    <t xml:space="preserve">109 / 1 . </t>
  </si>
  <si>
    <t xml:space="preserve">110 / 1 . </t>
  </si>
  <si>
    <t xml:space="preserve">111 / 1 . </t>
  </si>
  <si>
    <t xml:space="preserve">114 / 1 . </t>
  </si>
  <si>
    <t xml:space="preserve">115 / 1 . </t>
  </si>
  <si>
    <t xml:space="preserve">117 / 1 . </t>
  </si>
  <si>
    <t xml:space="preserve">118 / 1 . </t>
  </si>
  <si>
    <t>YG182_test amph</t>
  </si>
  <si>
    <t>YG182_1_AmphC</t>
  </si>
  <si>
    <t>YG182_1_AmphB</t>
  </si>
  <si>
    <t>YG182_2_AmphC</t>
  </si>
  <si>
    <t>YG182_2_AmphB</t>
  </si>
  <si>
    <t>YG182_3_AmphC</t>
  </si>
  <si>
    <t>YG182_3_AmphB</t>
  </si>
  <si>
    <t>YG182_4_AmpC</t>
  </si>
  <si>
    <t>YG182_4_AmpB</t>
  </si>
  <si>
    <t>19NC11C_1_AmphC</t>
  </si>
  <si>
    <t>19NC11C_1_AmphB</t>
  </si>
  <si>
    <t>19NC11C_2_AmphC</t>
  </si>
  <si>
    <t>19NC11C_2_AmphB</t>
  </si>
  <si>
    <t>19NC11C_3_AmphC</t>
  </si>
  <si>
    <t>19NC11C_3_AmphB</t>
  </si>
  <si>
    <t>19NC11C_4_AmphC</t>
  </si>
  <si>
    <t>19NC11C_4_AmphB</t>
  </si>
  <si>
    <t>SL59_1_AmphC</t>
  </si>
  <si>
    <t>SL59_1_AmphB</t>
  </si>
  <si>
    <t>SL59_2_AmphC</t>
  </si>
  <si>
    <t>SL59_2_AmphB</t>
  </si>
  <si>
    <t>SL59_3_AmphC</t>
  </si>
  <si>
    <t>SL59_3_AmphB</t>
  </si>
  <si>
    <t>SL59_4_AmphC</t>
  </si>
  <si>
    <t>SL59_4_AmphB</t>
  </si>
  <si>
    <t>19NC6D_4_AmphC</t>
  </si>
  <si>
    <t>19NC6D_3_AmphC</t>
  </si>
  <si>
    <t>19NC6D_3_AmphB</t>
  </si>
  <si>
    <t>YG41_1_AmphC</t>
  </si>
  <si>
    <t>YG41_1_AmphB</t>
  </si>
  <si>
    <t>YG41_2_AmphC</t>
  </si>
  <si>
    <t>YG41_3_AmphB</t>
  </si>
  <si>
    <t>YG41_4_AmphC</t>
  </si>
  <si>
    <t>YG41_4_AmphB</t>
  </si>
  <si>
    <t>19NC04_X_AmphC</t>
  </si>
  <si>
    <t>19NC04_X_AmphB</t>
  </si>
  <si>
    <t>19NC04_X_Amph</t>
  </si>
  <si>
    <t>19NC08B_1_Amph</t>
  </si>
  <si>
    <t>19NC08B_X_AmphC</t>
  </si>
  <si>
    <t>19NC08B_X_AmphB</t>
  </si>
  <si>
    <t>19NC08B_X_Amph</t>
  </si>
  <si>
    <t>Cluzel Fig 6</t>
  </si>
  <si>
    <t>Na in A (range 0 - 1)</t>
  </si>
  <si>
    <t>Si pfu range 8 - 6</t>
  </si>
  <si>
    <t>TiO2 wt%</t>
  </si>
  <si>
    <t>Al2O3 wt%</t>
  </si>
  <si>
    <t>Cluzel Fig 7</t>
  </si>
  <si>
    <t>Sample Nr</t>
  </si>
  <si>
    <t>Soret Fig. 9A</t>
  </si>
  <si>
    <t>Si pfu range 6 - 8</t>
  </si>
  <si>
    <t>Mg# range 0.5-1</t>
  </si>
  <si>
    <t>Soret Fig. 9B</t>
  </si>
  <si>
    <t>Na and K (A) range 0 - 1</t>
  </si>
  <si>
    <t>Soret Fig. 9C</t>
  </si>
  <si>
    <t>Ti (0 - 0.3)</t>
  </si>
  <si>
    <t>Xu 2021 Fig. 6C</t>
  </si>
  <si>
    <t>CaO wt % (range 10 - 12.5)</t>
  </si>
  <si>
    <t>TiO2 wt% (0 - 1.4)</t>
  </si>
  <si>
    <t>Xu 2021 Fig. 6B</t>
  </si>
  <si>
    <t>Al4 range 0 - 1.5</t>
  </si>
  <si>
    <t>Na and K (A) range 0 - 0.4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</si>
</sst>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0"/>
      <name val="Times"/>
    </font>
    <font>
      <sz val="10"/>
      <name val="Arial"/>
      <family val="2"/>
    </font>
    <font>
      <sz val="8"/>
      <name val="Times"/>
      <family val="1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53"/>
      <name val="Times"/>
      <family val="1"/>
    </font>
    <font>
      <sz val="10"/>
      <color indexed="52"/>
      <name val="Arial"/>
      <family val="2"/>
    </font>
    <font>
      <sz val="10"/>
      <color indexed="8"/>
      <name val="Arial"/>
      <family val="2"/>
    </font>
    <font>
      <sz val="10"/>
      <color indexed="14"/>
      <name val="Arial"/>
      <family val="2"/>
    </font>
    <font>
      <sz val="12"/>
      <color rgb="FF3366FF"/>
      <name val="Calibri"/>
      <family val="2"/>
      <scheme val="minor"/>
    </font>
    <font>
      <sz val="10"/>
      <color theme="1"/>
      <name val="Times"/>
      <family val="1"/>
    </font>
    <font>
      <sz val="10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4" fontId="1" fillId="3" borderId="0" xfId="0" applyNumberFormat="1" applyFont="1" applyFill="1"/>
    <xf numFmtId="164" fontId="1" fillId="2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0" fillId="4" borderId="0" xfId="0" applyFill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164" fontId="1" fillId="4" borderId="3" xfId="0" applyNumberFormat="1" applyFont="1" applyFill="1" applyBorder="1"/>
    <xf numFmtId="164" fontId="1" fillId="4" borderId="4" xfId="0" applyNumberFormat="1" applyFont="1" applyFill="1" applyBorder="1"/>
    <xf numFmtId="164" fontId="1" fillId="4" borderId="5" xfId="0" applyNumberFormat="1" applyFont="1" applyFill="1" applyBorder="1"/>
    <xf numFmtId="164" fontId="1" fillId="4" borderId="6" xfId="0" applyNumberFormat="1" applyFont="1" applyFill="1" applyBorder="1"/>
    <xf numFmtId="164" fontId="1" fillId="4" borderId="7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2" borderId="1" xfId="0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2" borderId="2" xfId="0" applyFill="1" applyBorder="1"/>
    <xf numFmtId="164" fontId="1" fillId="4" borderId="8" xfId="0" applyNumberFormat="1" applyFont="1" applyFill="1" applyBorder="1"/>
    <xf numFmtId="164" fontId="1" fillId="3" borderId="8" xfId="0" applyNumberFormat="1" applyFont="1" applyFill="1" applyBorder="1"/>
    <xf numFmtId="164" fontId="1" fillId="3" borderId="9" xfId="0" applyNumberFormat="1" applyFont="1" applyFill="1" applyBorder="1"/>
    <xf numFmtId="164" fontId="1" fillId="3" borderId="3" xfId="0" applyNumberFormat="1" applyFont="1" applyFill="1" applyBorder="1"/>
    <xf numFmtId="164" fontId="1" fillId="3" borderId="5" xfId="0" applyNumberFormat="1" applyFont="1" applyFill="1" applyBorder="1"/>
    <xf numFmtId="164" fontId="1" fillId="3" borderId="4" xfId="0" applyNumberFormat="1" applyFont="1" applyFill="1" applyBorder="1"/>
    <xf numFmtId="164" fontId="1" fillId="3" borderId="6" xfId="0" applyNumberFormat="1" applyFont="1" applyFill="1" applyBorder="1"/>
    <xf numFmtId="164" fontId="1" fillId="3" borderId="10" xfId="0" applyNumberFormat="1" applyFont="1" applyFill="1" applyBorder="1"/>
    <xf numFmtId="164" fontId="1" fillId="3" borderId="7" xfId="0" applyNumberFormat="1" applyFont="1" applyFill="1" applyBorder="1"/>
    <xf numFmtId="164" fontId="3" fillId="3" borderId="0" xfId="0" applyNumberFormat="1" applyFont="1" applyFill="1"/>
    <xf numFmtId="0" fontId="4" fillId="0" borderId="0" xfId="0" applyFont="1"/>
    <xf numFmtId="0" fontId="5" fillId="0" borderId="0" xfId="0" applyFont="1"/>
    <xf numFmtId="164" fontId="1" fillId="0" borderId="0" xfId="0" quotePrefix="1" applyNumberFormat="1" applyFont="1"/>
    <xf numFmtId="2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9" fontId="1" fillId="0" borderId="0" xfId="0" applyNumberFormat="1" applyFont="1"/>
    <xf numFmtId="0" fontId="11" fillId="0" borderId="0" xfId="0" applyFont="1"/>
    <xf numFmtId="22" fontId="0" fillId="0" borderId="0" xfId="0" applyNumberFormat="1"/>
    <xf numFmtId="0" fontId="12" fillId="0" borderId="0" xfId="0" applyFont="1"/>
    <xf numFmtId="0" fontId="13" fillId="0" borderId="0" xfId="0" applyFont="1"/>
    <xf numFmtId="164" fontId="1" fillId="5" borderId="0" xfId="0" applyNumberFormat="1" applyFont="1" applyFill="1"/>
    <xf numFmtId="164" fontId="1" fillId="5" borderId="1" xfId="0" applyNumberFormat="1" applyFont="1" applyFill="1" applyBorder="1"/>
    <xf numFmtId="164" fontId="1" fillId="5" borderId="2" xfId="0" applyNumberFormat="1" applyFont="1" applyFill="1" applyBorder="1"/>
    <xf numFmtId="164" fontId="1" fillId="5" borderId="0" xfId="0" applyNumberFormat="1" applyFont="1" applyFill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6" fillId="5" borderId="0" xfId="0" applyNumberFormat="1" applyFont="1" applyFill="1"/>
    <xf numFmtId="164" fontId="0" fillId="5" borderId="0" xfId="0" applyNumberFormat="1" applyFill="1"/>
    <xf numFmtId="2" fontId="1" fillId="5" borderId="0" xfId="0" applyNumberFormat="1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Cluzel Fig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CAMP!$B$283:$O$283</c:f>
              <c:numCache>
                <c:formatCode>0.000</c:formatCode>
                <c:ptCount val="14"/>
                <c:pt idx="0">
                  <c:v>6.9652353565930447</c:v>
                </c:pt>
                <c:pt idx="1">
                  <c:v>6.6837152242999096</c:v>
                </c:pt>
                <c:pt idx="2">
                  <c:v>6.6423676371622884</c:v>
                </c:pt>
                <c:pt idx="3">
                  <c:v>6.6085253947325615</c:v>
                </c:pt>
                <c:pt idx="4">
                  <c:v>6.6623462580023158</c:v>
                </c:pt>
                <c:pt idx="5">
                  <c:v>6.5578597978313091</c:v>
                </c:pt>
                <c:pt idx="6">
                  <c:v>6.6574804490621045</c:v>
                </c:pt>
                <c:pt idx="7">
                  <c:v>6.6711583234159066</c:v>
                </c:pt>
                <c:pt idx="8">
                  <c:v>6.7838870247190917</c:v>
                </c:pt>
                <c:pt idx="9">
                  <c:v>6.9016988492412024</c:v>
                </c:pt>
                <c:pt idx="10">
                  <c:v>6.7022459177058282</c:v>
                </c:pt>
                <c:pt idx="11">
                  <c:v>6.6381296765326407</c:v>
                </c:pt>
                <c:pt idx="12">
                  <c:v>6.8014215378502163</c:v>
                </c:pt>
                <c:pt idx="13">
                  <c:v>6.5372792466230063</c:v>
                </c:pt>
              </c:numCache>
            </c:numRef>
          </c:xVal>
          <c:yVal>
            <c:numRef>
              <c:f>CAMP!$B$284:$O$284</c:f>
              <c:numCache>
                <c:formatCode>0.000</c:formatCode>
                <c:ptCount val="14"/>
                <c:pt idx="0">
                  <c:v>0.39252894522275983</c:v>
                </c:pt>
                <c:pt idx="1">
                  <c:v>0.40115272722834699</c:v>
                </c:pt>
                <c:pt idx="2">
                  <c:v>0.43228955191115565</c:v>
                </c:pt>
                <c:pt idx="3">
                  <c:v>0.40445016038159048</c:v>
                </c:pt>
                <c:pt idx="4">
                  <c:v>0.3993986921397884</c:v>
                </c:pt>
                <c:pt idx="5">
                  <c:v>0.42252932597911136</c:v>
                </c:pt>
                <c:pt idx="6">
                  <c:v>0.3932769546816271</c:v>
                </c:pt>
                <c:pt idx="7">
                  <c:v>0.40228049443378033</c:v>
                </c:pt>
                <c:pt idx="8">
                  <c:v>0.40355853584198875</c:v>
                </c:pt>
                <c:pt idx="9">
                  <c:v>0.39058543823748787</c:v>
                </c:pt>
                <c:pt idx="10">
                  <c:v>0.43566799284592356</c:v>
                </c:pt>
                <c:pt idx="11">
                  <c:v>0.41716625453069955</c:v>
                </c:pt>
                <c:pt idx="12">
                  <c:v>0.47008393440268598</c:v>
                </c:pt>
                <c:pt idx="13">
                  <c:v>0.43188345591574112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D-354C-BA5D-7117EAE11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76399"/>
        <c:axId val="850681327"/>
      </c:scatterChart>
      <c:valAx>
        <c:axId val="850576399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850681327"/>
        <c:crosses val="autoZero"/>
        <c:crossBetween val="midCat"/>
      </c:valAx>
      <c:valAx>
        <c:axId val="8506813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85057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Cluzel Fig.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CAMP!$B$283:$BJ$283</c:f>
              <c:numCache>
                <c:formatCode>0.000</c:formatCode>
                <c:ptCount val="61"/>
                <c:pt idx="0">
                  <c:v>6.9652353565930447</c:v>
                </c:pt>
                <c:pt idx="1">
                  <c:v>6.6837152242999096</c:v>
                </c:pt>
                <c:pt idx="2">
                  <c:v>6.6423676371622884</c:v>
                </c:pt>
                <c:pt idx="3">
                  <c:v>6.6085253947325615</c:v>
                </c:pt>
                <c:pt idx="4">
                  <c:v>6.6623462580023158</c:v>
                </c:pt>
                <c:pt idx="5">
                  <c:v>6.5578597978313091</c:v>
                </c:pt>
                <c:pt idx="6">
                  <c:v>6.6574804490621045</c:v>
                </c:pt>
                <c:pt idx="7">
                  <c:v>6.6711583234159066</c:v>
                </c:pt>
                <c:pt idx="8">
                  <c:v>6.7838870247190917</c:v>
                </c:pt>
                <c:pt idx="9">
                  <c:v>6.9016988492412024</c:v>
                </c:pt>
                <c:pt idx="10">
                  <c:v>6.7022459177058282</c:v>
                </c:pt>
                <c:pt idx="11">
                  <c:v>6.6381296765326407</c:v>
                </c:pt>
                <c:pt idx="12">
                  <c:v>6.8014215378502163</c:v>
                </c:pt>
                <c:pt idx="13">
                  <c:v>6.5372792466230063</c:v>
                </c:pt>
                <c:pt idx="14">
                  <c:v>6.7170276773346744</c:v>
                </c:pt>
                <c:pt idx="15">
                  <c:v>7.4090738449357598</c:v>
                </c:pt>
                <c:pt idx="16">
                  <c:v>6.444872955650121</c:v>
                </c:pt>
                <c:pt idx="17">
                  <c:v>6.4330050852645044</c:v>
                </c:pt>
                <c:pt idx="18">
                  <c:v>6.3867486209684978</c:v>
                </c:pt>
                <c:pt idx="19">
                  <c:v>6.3669675314954324</c:v>
                </c:pt>
                <c:pt idx="20">
                  <c:v>6.3636164280662388</c:v>
                </c:pt>
                <c:pt idx="21">
                  <c:v>6.8734171942116742</c:v>
                </c:pt>
                <c:pt idx="22">
                  <c:v>6.6386085997179798</c:v>
                </c:pt>
                <c:pt idx="23">
                  <c:v>6.1865842275656613</c:v>
                </c:pt>
                <c:pt idx="24">
                  <c:v>6.6235959111232603</c:v>
                </c:pt>
                <c:pt idx="25">
                  <c:v>6.9175458595945507</c:v>
                </c:pt>
                <c:pt idx="26">
                  <c:v>6.5135954925372559</c:v>
                </c:pt>
                <c:pt idx="27">
                  <c:v>6.4454951444857951</c:v>
                </c:pt>
                <c:pt idx="28">
                  <c:v>6.3674096536116132</c:v>
                </c:pt>
                <c:pt idx="29">
                  <c:v>6.330908861987953</c:v>
                </c:pt>
                <c:pt idx="30">
                  <c:v>6.417591369061558</c:v>
                </c:pt>
                <c:pt idx="31">
                  <c:v>6.3080405921295721</c:v>
                </c:pt>
                <c:pt idx="32">
                  <c:v>6.3810543485178064</c:v>
                </c:pt>
                <c:pt idx="33">
                  <c:v>6.3413466376698606</c:v>
                </c:pt>
                <c:pt idx="34">
                  <c:v>6.4412970261427143</c:v>
                </c:pt>
                <c:pt idx="35">
                  <c:v>6.5755733896942576</c:v>
                </c:pt>
                <c:pt idx="36">
                  <c:v>6.5461011384334009</c:v>
                </c:pt>
                <c:pt idx="37">
                  <c:v>6.5916847719781924</c:v>
                </c:pt>
                <c:pt idx="38">
                  <c:v>6.6312719796454731</c:v>
                </c:pt>
                <c:pt idx="39">
                  <c:v>6.6304090671704472</c:v>
                </c:pt>
                <c:pt idx="40">
                  <c:v>6.6637433709797529</c:v>
                </c:pt>
                <c:pt idx="41">
                  <c:v>6.6960140529549514</c:v>
                </c:pt>
                <c:pt idx="42">
                  <c:v>6.6501998799732354</c:v>
                </c:pt>
                <c:pt idx="43">
                  <c:v>6.6185697165653643</c:v>
                </c:pt>
                <c:pt idx="44">
                  <c:v>6.6679159480250352</c:v>
                </c:pt>
                <c:pt idx="45">
                  <c:v>6.8741088547155211</c:v>
                </c:pt>
                <c:pt idx="46">
                  <c:v>6.6403153165243092</c:v>
                </c:pt>
                <c:pt idx="47">
                  <c:v>6.5307000497222534</c:v>
                </c:pt>
                <c:pt idx="48">
                  <c:v>6.6150800865170014</c:v>
                </c:pt>
                <c:pt idx="49">
                  <c:v>6.6514781857241196</c:v>
                </c:pt>
                <c:pt idx="50">
                  <c:v>6.6633714359893776</c:v>
                </c:pt>
                <c:pt idx="51">
                  <c:v>6.4670845458298336</c:v>
                </c:pt>
                <c:pt idx="52">
                  <c:v>6.4626179580726424</c:v>
                </c:pt>
                <c:pt idx="53">
                  <c:v>6.4172113472028762</c:v>
                </c:pt>
                <c:pt idx="54">
                  <c:v>6.4296303215457016</c:v>
                </c:pt>
                <c:pt idx="55">
                  <c:v>6.3777038931904899</c:v>
                </c:pt>
                <c:pt idx="56">
                  <c:v>6.3645422403178822</c:v>
                </c:pt>
                <c:pt idx="57">
                  <c:v>6.3170317431475143</c:v>
                </c:pt>
                <c:pt idx="58">
                  <c:v>6.4683496398672791</c:v>
                </c:pt>
                <c:pt idx="59">
                  <c:v>6.3570341575278535</c:v>
                </c:pt>
                <c:pt idx="60">
                  <c:v>6.377713807026149</c:v>
                </c:pt>
              </c:numCache>
            </c:numRef>
          </c:xVal>
          <c:yVal>
            <c:numRef>
              <c:f>CAMP!$B$284:$BJ$284</c:f>
              <c:numCache>
                <c:formatCode>0.000</c:formatCode>
                <c:ptCount val="61"/>
                <c:pt idx="0">
                  <c:v>0.39252894522275983</c:v>
                </c:pt>
                <c:pt idx="1">
                  <c:v>0.40115272722834699</c:v>
                </c:pt>
                <c:pt idx="2">
                  <c:v>0.43228955191115565</c:v>
                </c:pt>
                <c:pt idx="3">
                  <c:v>0.40445016038159048</c:v>
                </c:pt>
                <c:pt idx="4">
                  <c:v>0.3993986921397884</c:v>
                </c:pt>
                <c:pt idx="5">
                  <c:v>0.42252932597911136</c:v>
                </c:pt>
                <c:pt idx="6">
                  <c:v>0.3932769546816271</c:v>
                </c:pt>
                <c:pt idx="7">
                  <c:v>0.40228049443378033</c:v>
                </c:pt>
                <c:pt idx="8">
                  <c:v>0.40355853584198875</c:v>
                </c:pt>
                <c:pt idx="9">
                  <c:v>0.39058543823748787</c:v>
                </c:pt>
                <c:pt idx="10">
                  <c:v>0.43566799284592356</c:v>
                </c:pt>
                <c:pt idx="11">
                  <c:v>0.41716625453069955</c:v>
                </c:pt>
                <c:pt idx="12">
                  <c:v>0.47008393440268598</c:v>
                </c:pt>
                <c:pt idx="13">
                  <c:v>0.43188345591574112</c:v>
                </c:pt>
                <c:pt idx="14">
                  <c:v>0.40201571946512926</c:v>
                </c:pt>
                <c:pt idx="15">
                  <c:v>0.20804346305477056</c:v>
                </c:pt>
                <c:pt idx="16">
                  <c:v>0.48625787891631828</c:v>
                </c:pt>
                <c:pt idx="17">
                  <c:v>0.45651161825855296</c:v>
                </c:pt>
                <c:pt idx="18">
                  <c:v>0.46492468480353327</c:v>
                </c:pt>
                <c:pt idx="19">
                  <c:v>0.48116973748590064</c:v>
                </c:pt>
                <c:pt idx="20">
                  <c:v>0.4907796296860234</c:v>
                </c:pt>
                <c:pt idx="21">
                  <c:v>0.36274408779703743</c:v>
                </c:pt>
                <c:pt idx="22">
                  <c:v>0.44188113832417486</c:v>
                </c:pt>
                <c:pt idx="23">
                  <c:v>0.3069255523578116</c:v>
                </c:pt>
                <c:pt idx="24">
                  <c:v>0.3642337240613534</c:v>
                </c:pt>
                <c:pt idx="25">
                  <c:v>0.33390797950120227</c:v>
                </c:pt>
                <c:pt idx="26">
                  <c:v>0.59329259990322358</c:v>
                </c:pt>
                <c:pt idx="27">
                  <c:v>0.7088578417230007</c:v>
                </c:pt>
                <c:pt idx="28">
                  <c:v>0.7237450711929182</c:v>
                </c:pt>
                <c:pt idx="29">
                  <c:v>0.74505986855755046</c:v>
                </c:pt>
                <c:pt idx="30">
                  <c:v>0.75988543012866994</c:v>
                </c:pt>
                <c:pt idx="31">
                  <c:v>0.76196368975324569</c:v>
                </c:pt>
                <c:pt idx="32">
                  <c:v>0.73857906591382527</c:v>
                </c:pt>
                <c:pt idx="33">
                  <c:v>0.74179946436487643</c:v>
                </c:pt>
                <c:pt idx="34">
                  <c:v>0.73878952686575827</c:v>
                </c:pt>
                <c:pt idx="35">
                  <c:v>0.70819924288562452</c:v>
                </c:pt>
                <c:pt idx="36">
                  <c:v>0.75541869015896479</c:v>
                </c:pt>
                <c:pt idx="37">
                  <c:v>0.71298139225881418</c:v>
                </c:pt>
                <c:pt idx="38">
                  <c:v>0.72438011544948477</c:v>
                </c:pt>
                <c:pt idx="39">
                  <c:v>0.74910870057566081</c:v>
                </c:pt>
                <c:pt idx="40">
                  <c:v>0.41126905177303613</c:v>
                </c:pt>
                <c:pt idx="41">
                  <c:v>0.37871182036575035</c:v>
                </c:pt>
                <c:pt idx="42">
                  <c:v>0.42020944839785368</c:v>
                </c:pt>
                <c:pt idx="43">
                  <c:v>0.43440356596345453</c:v>
                </c:pt>
                <c:pt idx="44">
                  <c:v>0.46513401514832403</c:v>
                </c:pt>
                <c:pt idx="45">
                  <c:v>0.33781794251308533</c:v>
                </c:pt>
                <c:pt idx="46">
                  <c:v>0.45107097010243746</c:v>
                </c:pt>
                <c:pt idx="47">
                  <c:v>0.45132125682114788</c:v>
                </c:pt>
                <c:pt idx="48">
                  <c:v>0.29637566754449052</c:v>
                </c:pt>
                <c:pt idx="49">
                  <c:v>0.46798978774673311</c:v>
                </c:pt>
                <c:pt idx="50">
                  <c:v>0.41971172052957451</c:v>
                </c:pt>
                <c:pt idx="51">
                  <c:v>0.57119370623394328</c:v>
                </c:pt>
                <c:pt idx="52">
                  <c:v>0.57806468092712504</c:v>
                </c:pt>
                <c:pt idx="53">
                  <c:v>0.56173783564198221</c:v>
                </c:pt>
                <c:pt idx="54">
                  <c:v>0.56710409336021317</c:v>
                </c:pt>
                <c:pt idx="55">
                  <c:v>0.56593700758888554</c:v>
                </c:pt>
                <c:pt idx="56">
                  <c:v>0.70336699316796059</c:v>
                </c:pt>
                <c:pt idx="57">
                  <c:v>0.71827960564731408</c:v>
                </c:pt>
                <c:pt idx="58">
                  <c:v>0.66199833005608588</c:v>
                </c:pt>
                <c:pt idx="59">
                  <c:v>0.65925549240225367</c:v>
                </c:pt>
                <c:pt idx="60">
                  <c:v>0.64451321418253316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9-C944-8579-913248F03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732607"/>
        <c:axId val="659035727"/>
      </c:scatterChart>
      <c:valAx>
        <c:axId val="1528732607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659035727"/>
        <c:crosses val="autoZero"/>
        <c:crossBetween val="midCat"/>
      </c:valAx>
      <c:valAx>
        <c:axId val="6590357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152873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Soret Fig.</a:t>
            </a:r>
            <a:r>
              <a:rPr lang="fr-FR" baseline="0"/>
              <a:t> 9A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CAMP!$B$289:$BJ$289</c:f>
              <c:numCache>
                <c:formatCode>0.000</c:formatCode>
                <c:ptCount val="61"/>
                <c:pt idx="0">
                  <c:v>6.9652353565930447</c:v>
                </c:pt>
                <c:pt idx="1">
                  <c:v>6.6837152242999096</c:v>
                </c:pt>
                <c:pt idx="2">
                  <c:v>6.6423676371622884</c:v>
                </c:pt>
                <c:pt idx="3">
                  <c:v>6.6085253947325615</c:v>
                </c:pt>
                <c:pt idx="4">
                  <c:v>6.6623462580023158</c:v>
                </c:pt>
                <c:pt idx="5">
                  <c:v>6.5578597978313091</c:v>
                </c:pt>
                <c:pt idx="6">
                  <c:v>6.6574804490621045</c:v>
                </c:pt>
                <c:pt idx="7">
                  <c:v>6.6711583234159066</c:v>
                </c:pt>
                <c:pt idx="8">
                  <c:v>6.7838870247190917</c:v>
                </c:pt>
                <c:pt idx="9">
                  <c:v>6.9016988492412024</c:v>
                </c:pt>
                <c:pt idx="10">
                  <c:v>6.7022459177058282</c:v>
                </c:pt>
                <c:pt idx="11">
                  <c:v>6.6381296765326407</c:v>
                </c:pt>
                <c:pt idx="12">
                  <c:v>6.8014215378502163</c:v>
                </c:pt>
                <c:pt idx="13">
                  <c:v>6.5372792466230063</c:v>
                </c:pt>
                <c:pt idx="14">
                  <c:v>6.7170276773346744</c:v>
                </c:pt>
                <c:pt idx="15">
                  <c:v>7.4090738449357598</c:v>
                </c:pt>
                <c:pt idx="16">
                  <c:v>6.444872955650121</c:v>
                </c:pt>
                <c:pt idx="17">
                  <c:v>6.4330050852645044</c:v>
                </c:pt>
                <c:pt idx="18">
                  <c:v>6.3867486209684978</c:v>
                </c:pt>
                <c:pt idx="19">
                  <c:v>6.3669675314954324</c:v>
                </c:pt>
                <c:pt idx="20">
                  <c:v>6.3636164280662388</c:v>
                </c:pt>
                <c:pt idx="21">
                  <c:v>6.8734171942116742</c:v>
                </c:pt>
                <c:pt idx="22">
                  <c:v>6.6386085997179798</c:v>
                </c:pt>
                <c:pt idx="23">
                  <c:v>6.1865842275656613</c:v>
                </c:pt>
                <c:pt idx="24">
                  <c:v>6.6235959111232603</c:v>
                </c:pt>
                <c:pt idx="25">
                  <c:v>6.9175458595945507</c:v>
                </c:pt>
                <c:pt idx="26">
                  <c:v>6.5135954925372559</c:v>
                </c:pt>
                <c:pt idx="27">
                  <c:v>6.4454951444857951</c:v>
                </c:pt>
                <c:pt idx="28">
                  <c:v>6.3674096536116132</c:v>
                </c:pt>
                <c:pt idx="29">
                  <c:v>6.330908861987953</c:v>
                </c:pt>
                <c:pt idx="30">
                  <c:v>6.417591369061558</c:v>
                </c:pt>
                <c:pt idx="31">
                  <c:v>6.3080405921295721</c:v>
                </c:pt>
                <c:pt idx="32">
                  <c:v>6.3810543485178064</c:v>
                </c:pt>
                <c:pt idx="33">
                  <c:v>6.3413466376698606</c:v>
                </c:pt>
                <c:pt idx="34">
                  <c:v>6.4412970261427143</c:v>
                </c:pt>
                <c:pt idx="35">
                  <c:v>6.5755733896942576</c:v>
                </c:pt>
                <c:pt idx="36">
                  <c:v>6.5461011384334009</c:v>
                </c:pt>
                <c:pt idx="37">
                  <c:v>6.5916847719781924</c:v>
                </c:pt>
                <c:pt idx="38">
                  <c:v>6.6312719796454731</c:v>
                </c:pt>
                <c:pt idx="39">
                  <c:v>6.6304090671704472</c:v>
                </c:pt>
                <c:pt idx="40">
                  <c:v>6.6637433709797529</c:v>
                </c:pt>
                <c:pt idx="41">
                  <c:v>6.6960140529549514</c:v>
                </c:pt>
                <c:pt idx="42">
                  <c:v>6.6501998799732354</c:v>
                </c:pt>
                <c:pt idx="43">
                  <c:v>6.6185697165653643</c:v>
                </c:pt>
                <c:pt idx="44">
                  <c:v>6.6679159480250352</c:v>
                </c:pt>
                <c:pt idx="45">
                  <c:v>6.8741088547155211</c:v>
                </c:pt>
                <c:pt idx="46">
                  <c:v>6.6403153165243092</c:v>
                </c:pt>
                <c:pt idx="47">
                  <c:v>6.5307000497222534</c:v>
                </c:pt>
                <c:pt idx="48">
                  <c:v>6.6150800865170014</c:v>
                </c:pt>
                <c:pt idx="49">
                  <c:v>6.6514781857241196</c:v>
                </c:pt>
                <c:pt idx="50">
                  <c:v>6.6633714359893776</c:v>
                </c:pt>
                <c:pt idx="51">
                  <c:v>6.4670845458298336</c:v>
                </c:pt>
                <c:pt idx="52">
                  <c:v>6.4626179580726424</c:v>
                </c:pt>
                <c:pt idx="53">
                  <c:v>6.4172113472028762</c:v>
                </c:pt>
                <c:pt idx="54">
                  <c:v>6.4296303215457016</c:v>
                </c:pt>
                <c:pt idx="55">
                  <c:v>6.3777038931904899</c:v>
                </c:pt>
                <c:pt idx="56">
                  <c:v>6.3645422403178822</c:v>
                </c:pt>
                <c:pt idx="57">
                  <c:v>6.3170317431475143</c:v>
                </c:pt>
                <c:pt idx="58">
                  <c:v>6.4683496398672791</c:v>
                </c:pt>
                <c:pt idx="59">
                  <c:v>6.3570341575278535</c:v>
                </c:pt>
                <c:pt idx="60">
                  <c:v>6.377713807026149</c:v>
                </c:pt>
              </c:numCache>
            </c:numRef>
          </c:xVal>
          <c:yVal>
            <c:numRef>
              <c:f>CAMP!$B$290:$BJ$290</c:f>
              <c:numCache>
                <c:formatCode>0.000</c:formatCode>
                <c:ptCount val="61"/>
                <c:pt idx="0">
                  <c:v>0.61710686562587969</c:v>
                </c:pt>
                <c:pt idx="1">
                  <c:v>0.63290393032629266</c:v>
                </c:pt>
                <c:pt idx="2">
                  <c:v>0.59717947410279493</c:v>
                </c:pt>
                <c:pt idx="3">
                  <c:v>0.59375573613183108</c:v>
                </c:pt>
                <c:pt idx="4">
                  <c:v>0.6108297742737816</c:v>
                </c:pt>
                <c:pt idx="5">
                  <c:v>0.5918837921524871</c:v>
                </c:pt>
                <c:pt idx="6">
                  <c:v>0.62096910833514751</c:v>
                </c:pt>
                <c:pt idx="7">
                  <c:v>0.61073560427802442</c:v>
                </c:pt>
                <c:pt idx="8">
                  <c:v>0.62383962478496535</c:v>
                </c:pt>
                <c:pt idx="9">
                  <c:v>0.57556414176976867</c:v>
                </c:pt>
                <c:pt idx="10">
                  <c:v>0.62520296729373492</c:v>
                </c:pt>
                <c:pt idx="11">
                  <c:v>0.60983224914669554</c:v>
                </c:pt>
                <c:pt idx="12">
                  <c:v>0.60226495609013031</c:v>
                </c:pt>
                <c:pt idx="13">
                  <c:v>0.5986072386927298</c:v>
                </c:pt>
                <c:pt idx="14">
                  <c:v>0.62127311927914164</c:v>
                </c:pt>
                <c:pt idx="15">
                  <c:v>0.74427335633585701</c:v>
                </c:pt>
                <c:pt idx="16">
                  <c:v>0.59189142846121334</c:v>
                </c:pt>
                <c:pt idx="17">
                  <c:v>0.59249012633348241</c:v>
                </c:pt>
                <c:pt idx="18">
                  <c:v>0.58770762124305831</c:v>
                </c:pt>
                <c:pt idx="19">
                  <c:v>0.57371926917881866</c:v>
                </c:pt>
                <c:pt idx="20">
                  <c:v>0.5787585846996488</c:v>
                </c:pt>
                <c:pt idx="21">
                  <c:v>0.6006894899699089</c:v>
                </c:pt>
                <c:pt idx="22">
                  <c:v>0.61098176780229663</c:v>
                </c:pt>
                <c:pt idx="23">
                  <c:v>0.47606044492362898</c:v>
                </c:pt>
                <c:pt idx="24">
                  <c:v>0.59158202423980744</c:v>
                </c:pt>
                <c:pt idx="25">
                  <c:v>0.65857682632474102</c:v>
                </c:pt>
                <c:pt idx="26">
                  <c:v>0.63549985155295641</c:v>
                </c:pt>
                <c:pt idx="27">
                  <c:v>0.64837637032257567</c:v>
                </c:pt>
                <c:pt idx="28">
                  <c:v>0.63191050731215748</c:v>
                </c:pt>
                <c:pt idx="29">
                  <c:v>0.61557438674683085</c:v>
                </c:pt>
                <c:pt idx="30">
                  <c:v>0.62637328168030404</c:v>
                </c:pt>
                <c:pt idx="31">
                  <c:v>0.61386089910214059</c:v>
                </c:pt>
                <c:pt idx="32">
                  <c:v>0.62766549655723636</c:v>
                </c:pt>
                <c:pt idx="33">
                  <c:v>0.61979012709002124</c:v>
                </c:pt>
                <c:pt idx="34">
                  <c:v>0.63364076878444653</c:v>
                </c:pt>
                <c:pt idx="35">
                  <c:v>0.59285527344844846</c:v>
                </c:pt>
                <c:pt idx="36">
                  <c:v>0.59086207995068829</c:v>
                </c:pt>
                <c:pt idx="37">
                  <c:v>0.60319974149792122</c:v>
                </c:pt>
                <c:pt idx="38">
                  <c:v>0.60055607124532695</c:v>
                </c:pt>
                <c:pt idx="39">
                  <c:v>0.60795991901203983</c:v>
                </c:pt>
                <c:pt idx="40">
                  <c:v>0.491494234474179</c:v>
                </c:pt>
                <c:pt idx="41">
                  <c:v>0.49856176920279111</c:v>
                </c:pt>
                <c:pt idx="42">
                  <c:v>0.4936118510027302</c:v>
                </c:pt>
                <c:pt idx="43">
                  <c:v>0.48207016249185747</c:v>
                </c:pt>
                <c:pt idx="44">
                  <c:v>0.48373679900900707</c:v>
                </c:pt>
                <c:pt idx="45">
                  <c:v>0.52386770740849775</c:v>
                </c:pt>
                <c:pt idx="46">
                  <c:v>0.47863727488354335</c:v>
                </c:pt>
                <c:pt idx="47">
                  <c:v>0.4772679530527536</c:v>
                </c:pt>
                <c:pt idx="48">
                  <c:v>0.4568055589680356</c:v>
                </c:pt>
                <c:pt idx="49">
                  <c:v>0.47859671733972997</c:v>
                </c:pt>
                <c:pt idx="50">
                  <c:v>0.49567958471382001</c:v>
                </c:pt>
                <c:pt idx="51">
                  <c:v>0.57680353266581075</c:v>
                </c:pt>
                <c:pt idx="52">
                  <c:v>0.57272639265749026</c:v>
                </c:pt>
                <c:pt idx="53">
                  <c:v>0.57483507811940548</c:v>
                </c:pt>
                <c:pt idx="54">
                  <c:v>0.56799991529463401</c:v>
                </c:pt>
                <c:pt idx="55">
                  <c:v>0.57410235561830858</c:v>
                </c:pt>
                <c:pt idx="56">
                  <c:v>0.49954063516499886</c:v>
                </c:pt>
                <c:pt idx="57">
                  <c:v>0.49346724107055639</c:v>
                </c:pt>
                <c:pt idx="58">
                  <c:v>0.51274967385315007</c:v>
                </c:pt>
                <c:pt idx="59">
                  <c:v>0.49157746339442354</c:v>
                </c:pt>
                <c:pt idx="60">
                  <c:v>0.5141271236685544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4-8640-A27C-577F1F1D2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58143"/>
        <c:axId val="681359871"/>
      </c:scatterChart>
      <c:valAx>
        <c:axId val="681358143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681359871"/>
        <c:crosses val="autoZero"/>
        <c:crossBetween val="midCat"/>
        <c:majorUnit val="0.5"/>
      </c:valAx>
      <c:valAx>
        <c:axId val="681359871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68135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Soret</a:t>
            </a:r>
            <a:r>
              <a:rPr lang="fr-FR" baseline="0"/>
              <a:t> Fig. 9B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CAMP!$B$292:$BJ$292</c:f>
              <c:numCache>
                <c:formatCode>0.000</c:formatCode>
                <c:ptCount val="61"/>
                <c:pt idx="0">
                  <c:v>6.9652353565930447</c:v>
                </c:pt>
                <c:pt idx="1">
                  <c:v>6.6837152242999096</c:v>
                </c:pt>
                <c:pt idx="2">
                  <c:v>6.6423676371622884</c:v>
                </c:pt>
                <c:pt idx="3">
                  <c:v>6.6085253947325615</c:v>
                </c:pt>
                <c:pt idx="4">
                  <c:v>6.6623462580023158</c:v>
                </c:pt>
                <c:pt idx="5">
                  <c:v>6.5578597978313091</c:v>
                </c:pt>
                <c:pt idx="6">
                  <c:v>6.6574804490621045</c:v>
                </c:pt>
                <c:pt idx="7">
                  <c:v>6.6711583234159066</c:v>
                </c:pt>
                <c:pt idx="8">
                  <c:v>6.7838870247190917</c:v>
                </c:pt>
                <c:pt idx="9">
                  <c:v>6.9016988492412024</c:v>
                </c:pt>
                <c:pt idx="10">
                  <c:v>6.7022459177058282</c:v>
                </c:pt>
                <c:pt idx="11">
                  <c:v>6.6381296765326407</c:v>
                </c:pt>
                <c:pt idx="12">
                  <c:v>6.8014215378502163</c:v>
                </c:pt>
                <c:pt idx="13">
                  <c:v>6.5372792466230063</c:v>
                </c:pt>
                <c:pt idx="14">
                  <c:v>6.7170276773346744</c:v>
                </c:pt>
                <c:pt idx="15">
                  <c:v>7.4090738449357598</c:v>
                </c:pt>
                <c:pt idx="16">
                  <c:v>6.444872955650121</c:v>
                </c:pt>
                <c:pt idx="17">
                  <c:v>6.4330050852645044</c:v>
                </c:pt>
                <c:pt idx="18">
                  <c:v>6.3867486209684978</c:v>
                </c:pt>
                <c:pt idx="19">
                  <c:v>6.3669675314954324</c:v>
                </c:pt>
                <c:pt idx="20">
                  <c:v>6.3636164280662388</c:v>
                </c:pt>
                <c:pt idx="21">
                  <c:v>6.8734171942116742</c:v>
                </c:pt>
                <c:pt idx="22">
                  <c:v>6.6386085997179798</c:v>
                </c:pt>
                <c:pt idx="23">
                  <c:v>6.1865842275656613</c:v>
                </c:pt>
                <c:pt idx="24">
                  <c:v>6.6235959111232603</c:v>
                </c:pt>
                <c:pt idx="25">
                  <c:v>6.9175458595945507</c:v>
                </c:pt>
                <c:pt idx="26">
                  <c:v>6.5135954925372559</c:v>
                </c:pt>
                <c:pt idx="27">
                  <c:v>6.4454951444857951</c:v>
                </c:pt>
                <c:pt idx="28">
                  <c:v>6.3674096536116132</c:v>
                </c:pt>
                <c:pt idx="29">
                  <c:v>6.330908861987953</c:v>
                </c:pt>
                <c:pt idx="30">
                  <c:v>6.417591369061558</c:v>
                </c:pt>
                <c:pt idx="31">
                  <c:v>6.3080405921295721</c:v>
                </c:pt>
                <c:pt idx="32">
                  <c:v>6.3810543485178064</c:v>
                </c:pt>
                <c:pt idx="33">
                  <c:v>6.3413466376698606</c:v>
                </c:pt>
                <c:pt idx="34">
                  <c:v>6.4412970261427143</c:v>
                </c:pt>
                <c:pt idx="35">
                  <c:v>6.5755733896942576</c:v>
                </c:pt>
                <c:pt idx="36">
                  <c:v>6.5461011384334009</c:v>
                </c:pt>
                <c:pt idx="37">
                  <c:v>6.5916847719781924</c:v>
                </c:pt>
                <c:pt idx="38">
                  <c:v>6.6312719796454731</c:v>
                </c:pt>
                <c:pt idx="39">
                  <c:v>6.6304090671704472</c:v>
                </c:pt>
                <c:pt idx="40">
                  <c:v>6.6637433709797529</c:v>
                </c:pt>
                <c:pt idx="41">
                  <c:v>6.6960140529549514</c:v>
                </c:pt>
                <c:pt idx="42">
                  <c:v>6.6501998799732354</c:v>
                </c:pt>
                <c:pt idx="43">
                  <c:v>6.6185697165653643</c:v>
                </c:pt>
                <c:pt idx="44">
                  <c:v>6.6679159480250352</c:v>
                </c:pt>
                <c:pt idx="45">
                  <c:v>6.8741088547155211</c:v>
                </c:pt>
                <c:pt idx="46">
                  <c:v>6.6403153165243092</c:v>
                </c:pt>
                <c:pt idx="47">
                  <c:v>6.5307000497222534</c:v>
                </c:pt>
                <c:pt idx="48">
                  <c:v>6.6150800865170014</c:v>
                </c:pt>
                <c:pt idx="49">
                  <c:v>6.6514781857241196</c:v>
                </c:pt>
                <c:pt idx="50">
                  <c:v>6.6633714359893776</c:v>
                </c:pt>
                <c:pt idx="51">
                  <c:v>6.4670845458298336</c:v>
                </c:pt>
                <c:pt idx="52">
                  <c:v>6.4626179580726424</c:v>
                </c:pt>
                <c:pt idx="53">
                  <c:v>6.4172113472028762</c:v>
                </c:pt>
                <c:pt idx="54">
                  <c:v>6.4296303215457016</c:v>
                </c:pt>
                <c:pt idx="55">
                  <c:v>6.3777038931904899</c:v>
                </c:pt>
                <c:pt idx="56">
                  <c:v>6.3645422403178822</c:v>
                </c:pt>
                <c:pt idx="57">
                  <c:v>6.3170317431475143</c:v>
                </c:pt>
                <c:pt idx="58">
                  <c:v>6.4683496398672791</c:v>
                </c:pt>
                <c:pt idx="59">
                  <c:v>6.3570341575278535</c:v>
                </c:pt>
                <c:pt idx="60">
                  <c:v>6.377713807026149</c:v>
                </c:pt>
              </c:numCache>
            </c:numRef>
          </c:xVal>
          <c:yVal>
            <c:numRef>
              <c:f>CAMP!$B$293:$BJ$293</c:f>
              <c:numCache>
                <c:formatCode>0.000</c:formatCode>
                <c:ptCount val="61"/>
                <c:pt idx="0">
                  <c:v>0.43844492367578575</c:v>
                </c:pt>
                <c:pt idx="1">
                  <c:v>0.42754789531652898</c:v>
                </c:pt>
                <c:pt idx="2">
                  <c:v>0.48314953821457135</c:v>
                </c:pt>
                <c:pt idx="3">
                  <c:v>0.45231371000196757</c:v>
                </c:pt>
                <c:pt idx="4">
                  <c:v>0.46368010861408038</c:v>
                </c:pt>
                <c:pt idx="5">
                  <c:v>0.4717024219937978</c:v>
                </c:pt>
                <c:pt idx="6">
                  <c:v>0.43294236112440365</c:v>
                </c:pt>
                <c:pt idx="7">
                  <c:v>0.44545748626780446</c:v>
                </c:pt>
                <c:pt idx="8">
                  <c:v>0.43369012870288004</c:v>
                </c:pt>
                <c:pt idx="9">
                  <c:v>0.44437583958433124</c:v>
                </c:pt>
                <c:pt idx="10">
                  <c:v>0.46189851540646532</c:v>
                </c:pt>
                <c:pt idx="11">
                  <c:v>0.45881275671556521</c:v>
                </c:pt>
                <c:pt idx="12">
                  <c:v>0.51752369581318725</c:v>
                </c:pt>
                <c:pt idx="13">
                  <c:v>0.47893179670919428</c:v>
                </c:pt>
                <c:pt idx="14">
                  <c:v>0.54194270934511002</c:v>
                </c:pt>
                <c:pt idx="15">
                  <c:v>0.25613962104288968</c:v>
                </c:pt>
                <c:pt idx="16">
                  <c:v>0.67592849623252238</c:v>
                </c:pt>
                <c:pt idx="17">
                  <c:v>0.65166093591416885</c:v>
                </c:pt>
                <c:pt idx="18">
                  <c:v>0.64464830545562346</c:v>
                </c:pt>
                <c:pt idx="19">
                  <c:v>0.6761499385082429</c:v>
                </c:pt>
                <c:pt idx="20">
                  <c:v>0.69645188361448762</c:v>
                </c:pt>
                <c:pt idx="21">
                  <c:v>0.49748248615061919</c:v>
                </c:pt>
                <c:pt idx="22">
                  <c:v>0.58725628012677045</c:v>
                </c:pt>
                <c:pt idx="23">
                  <c:v>0.43579003444033165</c:v>
                </c:pt>
                <c:pt idx="24">
                  <c:v>0.49547588808666143</c:v>
                </c:pt>
                <c:pt idx="25">
                  <c:v>0.34141928818628531</c:v>
                </c:pt>
                <c:pt idx="26">
                  <c:v>0.61206069863301371</c:v>
                </c:pt>
                <c:pt idx="27">
                  <c:v>0.73718272551685504</c:v>
                </c:pt>
                <c:pt idx="28">
                  <c:v>0.75030669467933397</c:v>
                </c:pt>
                <c:pt idx="29">
                  <c:v>0.77166186212315713</c:v>
                </c:pt>
                <c:pt idx="30">
                  <c:v>0.78269873992026384</c:v>
                </c:pt>
                <c:pt idx="31">
                  <c:v>0.78855091824259782</c:v>
                </c:pt>
                <c:pt idx="32">
                  <c:v>0.76109516539663313</c:v>
                </c:pt>
                <c:pt idx="33">
                  <c:v>0.77625297834034568</c:v>
                </c:pt>
                <c:pt idx="34">
                  <c:v>0.761575978126802</c:v>
                </c:pt>
                <c:pt idx="35">
                  <c:v>0.79413874404570228</c:v>
                </c:pt>
                <c:pt idx="36">
                  <c:v>0.8168306027129596</c:v>
                </c:pt>
                <c:pt idx="37">
                  <c:v>0.78515518395403849</c:v>
                </c:pt>
                <c:pt idx="38">
                  <c:v>0.79520462570640327</c:v>
                </c:pt>
                <c:pt idx="39">
                  <c:v>0.80260181079037207</c:v>
                </c:pt>
                <c:pt idx="40">
                  <c:v>0.43621873019761581</c:v>
                </c:pt>
                <c:pt idx="41">
                  <c:v>0.4132144897188762</c:v>
                </c:pt>
                <c:pt idx="42">
                  <c:v>0.4490105608697616</c:v>
                </c:pt>
                <c:pt idx="43">
                  <c:v>0.46509673836607851</c:v>
                </c:pt>
                <c:pt idx="44">
                  <c:v>0.47288212354331544</c:v>
                </c:pt>
                <c:pt idx="45">
                  <c:v>0.36847704158746275</c:v>
                </c:pt>
                <c:pt idx="46">
                  <c:v>0.47805251890468536</c:v>
                </c:pt>
                <c:pt idx="47">
                  <c:v>0.48431700362497943</c:v>
                </c:pt>
                <c:pt idx="48">
                  <c:v>0.31002637841287672</c:v>
                </c:pt>
                <c:pt idx="49">
                  <c:v>0.48348308744314672</c:v>
                </c:pt>
                <c:pt idx="50">
                  <c:v>0.45231431855178561</c:v>
                </c:pt>
                <c:pt idx="51">
                  <c:v>0.57882488911512109</c:v>
                </c:pt>
                <c:pt idx="52">
                  <c:v>0.5837987021563964</c:v>
                </c:pt>
                <c:pt idx="53">
                  <c:v>0.56947844202224951</c:v>
                </c:pt>
                <c:pt idx="54">
                  <c:v>0.58049903709163941</c:v>
                </c:pt>
                <c:pt idx="55">
                  <c:v>0.58303594864132324</c:v>
                </c:pt>
                <c:pt idx="56">
                  <c:v>0.72086796716994228</c:v>
                </c:pt>
                <c:pt idx="57">
                  <c:v>0.74562101443296647</c:v>
                </c:pt>
                <c:pt idx="58">
                  <c:v>0.67748574897320268</c:v>
                </c:pt>
                <c:pt idx="59">
                  <c:v>0.66902528781791049</c:v>
                </c:pt>
                <c:pt idx="60">
                  <c:v>0.66785699846434332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3-7D4F-9794-352A9BA12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730559"/>
        <c:axId val="846492815"/>
      </c:scatterChart>
      <c:valAx>
        <c:axId val="846730559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846492815"/>
        <c:crosses val="autoZero"/>
        <c:crossBetween val="midCat"/>
        <c:majorUnit val="0.5"/>
      </c:valAx>
      <c:valAx>
        <c:axId val="8464928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846730559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Soret Fig. 9C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CAMP!$B$295:$BJ$295</c:f>
              <c:numCache>
                <c:formatCode>0.000</c:formatCode>
                <c:ptCount val="61"/>
                <c:pt idx="0">
                  <c:v>6.9652353565930447</c:v>
                </c:pt>
                <c:pt idx="1">
                  <c:v>6.6837152242999096</c:v>
                </c:pt>
                <c:pt idx="2">
                  <c:v>6.6423676371622884</c:v>
                </c:pt>
                <c:pt idx="3">
                  <c:v>6.6085253947325615</c:v>
                </c:pt>
                <c:pt idx="4">
                  <c:v>6.6623462580023158</c:v>
                </c:pt>
                <c:pt idx="5">
                  <c:v>6.5578597978313091</c:v>
                </c:pt>
                <c:pt idx="6">
                  <c:v>6.6574804490621045</c:v>
                </c:pt>
                <c:pt idx="7">
                  <c:v>6.6711583234159066</c:v>
                </c:pt>
                <c:pt idx="8">
                  <c:v>6.7838870247190917</c:v>
                </c:pt>
                <c:pt idx="9">
                  <c:v>6.9016988492412024</c:v>
                </c:pt>
                <c:pt idx="10">
                  <c:v>6.7022459177058282</c:v>
                </c:pt>
                <c:pt idx="11">
                  <c:v>6.6381296765326407</c:v>
                </c:pt>
                <c:pt idx="12">
                  <c:v>6.8014215378502163</c:v>
                </c:pt>
                <c:pt idx="13">
                  <c:v>6.5372792466230063</c:v>
                </c:pt>
                <c:pt idx="14">
                  <c:v>6.7170276773346744</c:v>
                </c:pt>
                <c:pt idx="15">
                  <c:v>7.4090738449357598</c:v>
                </c:pt>
                <c:pt idx="16">
                  <c:v>6.444872955650121</c:v>
                </c:pt>
                <c:pt idx="17">
                  <c:v>6.4330050852645044</c:v>
                </c:pt>
                <c:pt idx="18">
                  <c:v>6.3867486209684978</c:v>
                </c:pt>
                <c:pt idx="19">
                  <c:v>6.3669675314954324</c:v>
                </c:pt>
                <c:pt idx="20">
                  <c:v>6.3636164280662388</c:v>
                </c:pt>
                <c:pt idx="21">
                  <c:v>6.8734171942116742</c:v>
                </c:pt>
                <c:pt idx="22">
                  <c:v>6.6386085997179798</c:v>
                </c:pt>
                <c:pt idx="23">
                  <c:v>6.1865842275656613</c:v>
                </c:pt>
                <c:pt idx="24">
                  <c:v>6.6235959111232603</c:v>
                </c:pt>
                <c:pt idx="25">
                  <c:v>6.9175458595945507</c:v>
                </c:pt>
                <c:pt idx="26">
                  <c:v>6.5135954925372559</c:v>
                </c:pt>
                <c:pt idx="27">
                  <c:v>6.4454951444857951</c:v>
                </c:pt>
                <c:pt idx="28">
                  <c:v>6.3674096536116132</c:v>
                </c:pt>
                <c:pt idx="29">
                  <c:v>6.330908861987953</c:v>
                </c:pt>
                <c:pt idx="30">
                  <c:v>6.417591369061558</c:v>
                </c:pt>
                <c:pt idx="31">
                  <c:v>6.3080405921295721</c:v>
                </c:pt>
                <c:pt idx="32">
                  <c:v>6.3810543485178064</c:v>
                </c:pt>
                <c:pt idx="33">
                  <c:v>6.3413466376698606</c:v>
                </c:pt>
                <c:pt idx="34">
                  <c:v>6.4412970261427143</c:v>
                </c:pt>
                <c:pt idx="35">
                  <c:v>6.5755733896942576</c:v>
                </c:pt>
                <c:pt idx="36">
                  <c:v>6.5461011384334009</c:v>
                </c:pt>
                <c:pt idx="37">
                  <c:v>6.5916847719781924</c:v>
                </c:pt>
                <c:pt idx="38">
                  <c:v>6.6312719796454731</c:v>
                </c:pt>
                <c:pt idx="39">
                  <c:v>6.6304090671704472</c:v>
                </c:pt>
                <c:pt idx="40">
                  <c:v>6.6637433709797529</c:v>
                </c:pt>
                <c:pt idx="41">
                  <c:v>6.6960140529549514</c:v>
                </c:pt>
                <c:pt idx="42">
                  <c:v>6.6501998799732354</c:v>
                </c:pt>
                <c:pt idx="43">
                  <c:v>6.6185697165653643</c:v>
                </c:pt>
                <c:pt idx="44">
                  <c:v>6.6679159480250352</c:v>
                </c:pt>
                <c:pt idx="45">
                  <c:v>6.8741088547155211</c:v>
                </c:pt>
                <c:pt idx="46">
                  <c:v>6.6403153165243092</c:v>
                </c:pt>
                <c:pt idx="47">
                  <c:v>6.5307000497222534</c:v>
                </c:pt>
                <c:pt idx="48">
                  <c:v>6.6150800865170014</c:v>
                </c:pt>
                <c:pt idx="49">
                  <c:v>6.6514781857241196</c:v>
                </c:pt>
                <c:pt idx="50">
                  <c:v>6.6633714359893776</c:v>
                </c:pt>
                <c:pt idx="51">
                  <c:v>6.4670845458298336</c:v>
                </c:pt>
                <c:pt idx="52">
                  <c:v>6.4626179580726424</c:v>
                </c:pt>
                <c:pt idx="53">
                  <c:v>6.4172113472028762</c:v>
                </c:pt>
                <c:pt idx="54">
                  <c:v>6.4296303215457016</c:v>
                </c:pt>
                <c:pt idx="55">
                  <c:v>6.3777038931904899</c:v>
                </c:pt>
                <c:pt idx="56">
                  <c:v>6.3645422403178822</c:v>
                </c:pt>
                <c:pt idx="57">
                  <c:v>6.3170317431475143</c:v>
                </c:pt>
                <c:pt idx="58">
                  <c:v>6.4683496398672791</c:v>
                </c:pt>
                <c:pt idx="59">
                  <c:v>6.3570341575278535</c:v>
                </c:pt>
                <c:pt idx="60">
                  <c:v>6.377713807026149</c:v>
                </c:pt>
              </c:numCache>
            </c:numRef>
          </c:xVal>
          <c:yVal>
            <c:numRef>
              <c:f>CAMP!$B$296:$BJ$296</c:f>
              <c:numCache>
                <c:formatCode>0.000</c:formatCode>
                <c:ptCount val="61"/>
                <c:pt idx="0">
                  <c:v>4.9622587477081183E-2</c:v>
                </c:pt>
                <c:pt idx="1">
                  <c:v>6.1127018534270848E-2</c:v>
                </c:pt>
                <c:pt idx="2">
                  <c:v>6.3293841945385496E-2</c:v>
                </c:pt>
                <c:pt idx="3">
                  <c:v>4.4015296269171798E-2</c:v>
                </c:pt>
                <c:pt idx="4">
                  <c:v>6.9099091654357445E-2</c:v>
                </c:pt>
                <c:pt idx="5">
                  <c:v>6.466307099880643E-2</c:v>
                </c:pt>
                <c:pt idx="6">
                  <c:v>6.680638810852052E-2</c:v>
                </c:pt>
                <c:pt idx="7">
                  <c:v>6.7503844609204278E-2</c:v>
                </c:pt>
                <c:pt idx="8">
                  <c:v>5.4396670184332772E-2</c:v>
                </c:pt>
                <c:pt idx="9">
                  <c:v>5.167349360367042E-2</c:v>
                </c:pt>
                <c:pt idx="10">
                  <c:v>6.6268064326918522E-2</c:v>
                </c:pt>
                <c:pt idx="11">
                  <c:v>7.0302460992804558E-2</c:v>
                </c:pt>
                <c:pt idx="12">
                  <c:v>7.0472092131854944E-2</c:v>
                </c:pt>
                <c:pt idx="13">
                  <c:v>8.764063642471083E-2</c:v>
                </c:pt>
                <c:pt idx="14">
                  <c:v>0.15480084482290393</c:v>
                </c:pt>
                <c:pt idx="15">
                  <c:v>8.7237086405715179E-3</c:v>
                </c:pt>
                <c:pt idx="16">
                  <c:v>0.18408847300561224</c:v>
                </c:pt>
                <c:pt idx="17">
                  <c:v>0.17932387604495106</c:v>
                </c:pt>
                <c:pt idx="18">
                  <c:v>0.17920435420624697</c:v>
                </c:pt>
                <c:pt idx="19">
                  <c:v>0.17639040850117216</c:v>
                </c:pt>
                <c:pt idx="20">
                  <c:v>0.16883105176383667</c:v>
                </c:pt>
                <c:pt idx="21">
                  <c:v>9.6446482712062354E-2</c:v>
                </c:pt>
                <c:pt idx="22">
                  <c:v>9.6972621926354252E-2</c:v>
                </c:pt>
                <c:pt idx="23">
                  <c:v>0.14058993913189063</c:v>
                </c:pt>
                <c:pt idx="24">
                  <c:v>7.063809350679226E-2</c:v>
                </c:pt>
                <c:pt idx="25">
                  <c:v>0.10183980849249617</c:v>
                </c:pt>
                <c:pt idx="26">
                  <c:v>0.24782346538019762</c:v>
                </c:pt>
                <c:pt idx="27">
                  <c:v>0.27605949321589751</c:v>
                </c:pt>
                <c:pt idx="28">
                  <c:v>0.28183910377701271</c:v>
                </c:pt>
                <c:pt idx="29">
                  <c:v>0.28338757011070825</c:v>
                </c:pt>
                <c:pt idx="30">
                  <c:v>0.28016971505633953</c:v>
                </c:pt>
                <c:pt idx="31">
                  <c:v>0.29442515239241124</c:v>
                </c:pt>
                <c:pt idx="32">
                  <c:v>0.25882242265312688</c:v>
                </c:pt>
                <c:pt idx="33">
                  <c:v>0.29675011380081395</c:v>
                </c:pt>
                <c:pt idx="34">
                  <c:v>0.26416883358078574</c:v>
                </c:pt>
                <c:pt idx="35">
                  <c:v>8.6685242346614913E-2</c:v>
                </c:pt>
                <c:pt idx="36">
                  <c:v>0.10181676209182727</c:v>
                </c:pt>
                <c:pt idx="37">
                  <c:v>8.7330240409035906E-2</c:v>
                </c:pt>
                <c:pt idx="38">
                  <c:v>8.1243472984224185E-2</c:v>
                </c:pt>
                <c:pt idx="39">
                  <c:v>8.7843281023961314E-2</c:v>
                </c:pt>
                <c:pt idx="40">
                  <c:v>9.8427165957832047E-2</c:v>
                </c:pt>
                <c:pt idx="41">
                  <c:v>0.10734403700497949</c:v>
                </c:pt>
                <c:pt idx="42">
                  <c:v>9.9603546911609456E-2</c:v>
                </c:pt>
                <c:pt idx="43">
                  <c:v>0.10969015703681796</c:v>
                </c:pt>
                <c:pt idx="44">
                  <c:v>0.10619223780532143</c:v>
                </c:pt>
                <c:pt idx="45">
                  <c:v>6.7774260000149078E-2</c:v>
                </c:pt>
                <c:pt idx="46">
                  <c:v>0.11928951332157788</c:v>
                </c:pt>
                <c:pt idx="47">
                  <c:v>9.1532042963143115E-2</c:v>
                </c:pt>
                <c:pt idx="48">
                  <c:v>8.7366502099902293E-2</c:v>
                </c:pt>
                <c:pt idx="49">
                  <c:v>0.11873025537063911</c:v>
                </c:pt>
                <c:pt idx="50">
                  <c:v>0.10400764024872654</c:v>
                </c:pt>
                <c:pt idx="51">
                  <c:v>0.16756845538741474</c:v>
                </c:pt>
                <c:pt idx="52">
                  <c:v>0.17013321812557736</c:v>
                </c:pt>
                <c:pt idx="53">
                  <c:v>0.16426748658800047</c:v>
                </c:pt>
                <c:pt idx="54">
                  <c:v>0.15566682507692556</c:v>
                </c:pt>
                <c:pt idx="55">
                  <c:v>0.17471308479612241</c:v>
                </c:pt>
                <c:pt idx="56">
                  <c:v>0.20862446021386102</c:v>
                </c:pt>
                <c:pt idx="57">
                  <c:v>0.21528242996727187</c:v>
                </c:pt>
                <c:pt idx="58">
                  <c:v>0.17916898727534977</c:v>
                </c:pt>
                <c:pt idx="59">
                  <c:v>0.22806297393575142</c:v>
                </c:pt>
                <c:pt idx="60">
                  <c:v>0.222467140693171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5-474D-AE3C-E49AFBAF2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69632"/>
        <c:axId val="849030559"/>
      </c:scatterChart>
      <c:valAx>
        <c:axId val="1115469632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849030559"/>
        <c:crosses val="autoZero"/>
        <c:crossBetween val="midCat"/>
        <c:majorUnit val="0.5"/>
      </c:valAx>
      <c:valAx>
        <c:axId val="849030559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111546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Xu 2021 Fig 6c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CAMP!$B$298:$BJ$298</c:f>
              <c:numCache>
                <c:formatCode>0.000</c:formatCode>
                <c:ptCount val="61"/>
                <c:pt idx="0">
                  <c:v>10.49</c:v>
                </c:pt>
                <c:pt idx="1">
                  <c:v>10.529999999999998</c:v>
                </c:pt>
                <c:pt idx="2">
                  <c:v>10.549999999999999</c:v>
                </c:pt>
                <c:pt idx="3">
                  <c:v>10</c:v>
                </c:pt>
                <c:pt idx="4">
                  <c:v>10.870000000000001</c:v>
                </c:pt>
                <c:pt idx="5">
                  <c:v>10.940000000000001</c:v>
                </c:pt>
                <c:pt idx="6">
                  <c:v>11.02</c:v>
                </c:pt>
                <c:pt idx="7">
                  <c:v>10.809999999999999</c:v>
                </c:pt>
                <c:pt idx="8">
                  <c:v>10.26</c:v>
                </c:pt>
                <c:pt idx="9">
                  <c:v>10.350000000000001</c:v>
                </c:pt>
                <c:pt idx="10">
                  <c:v>10.480000000000002</c:v>
                </c:pt>
                <c:pt idx="11">
                  <c:v>10.809999999999999</c:v>
                </c:pt>
                <c:pt idx="12">
                  <c:v>10.39</c:v>
                </c:pt>
                <c:pt idx="13">
                  <c:v>10.849999999999998</c:v>
                </c:pt>
                <c:pt idx="14">
                  <c:v>12.129999999999999</c:v>
                </c:pt>
                <c:pt idx="15">
                  <c:v>12.64</c:v>
                </c:pt>
                <c:pt idx="16">
                  <c:v>11.949999999999998</c:v>
                </c:pt>
                <c:pt idx="17">
                  <c:v>12.03</c:v>
                </c:pt>
                <c:pt idx="18">
                  <c:v>12.07</c:v>
                </c:pt>
                <c:pt idx="19">
                  <c:v>11.87</c:v>
                </c:pt>
                <c:pt idx="20">
                  <c:v>12.09</c:v>
                </c:pt>
                <c:pt idx="21">
                  <c:v>12.05</c:v>
                </c:pt>
                <c:pt idx="22">
                  <c:v>11.83</c:v>
                </c:pt>
                <c:pt idx="23">
                  <c:v>16.239999999999998</c:v>
                </c:pt>
                <c:pt idx="24">
                  <c:v>13.1</c:v>
                </c:pt>
                <c:pt idx="25">
                  <c:v>13.579999999999998</c:v>
                </c:pt>
                <c:pt idx="26">
                  <c:v>11.34</c:v>
                </c:pt>
                <c:pt idx="27">
                  <c:v>11.289999999999997</c:v>
                </c:pt>
                <c:pt idx="28">
                  <c:v>11.479999999999999</c:v>
                </c:pt>
                <c:pt idx="29">
                  <c:v>11.12</c:v>
                </c:pt>
                <c:pt idx="30">
                  <c:v>11.199999999999998</c:v>
                </c:pt>
                <c:pt idx="31">
                  <c:v>11.21</c:v>
                </c:pt>
                <c:pt idx="32">
                  <c:v>11.169999999999998</c:v>
                </c:pt>
                <c:pt idx="33">
                  <c:v>11.24</c:v>
                </c:pt>
                <c:pt idx="34">
                  <c:v>11.009999999999998</c:v>
                </c:pt>
                <c:pt idx="35">
                  <c:v>11.050000000000002</c:v>
                </c:pt>
                <c:pt idx="36">
                  <c:v>10.92</c:v>
                </c:pt>
                <c:pt idx="37">
                  <c:v>10.870000000000001</c:v>
                </c:pt>
                <c:pt idx="38">
                  <c:v>10.71</c:v>
                </c:pt>
                <c:pt idx="39">
                  <c:v>10.88</c:v>
                </c:pt>
                <c:pt idx="40">
                  <c:v>11.79</c:v>
                </c:pt>
                <c:pt idx="41">
                  <c:v>11.69</c:v>
                </c:pt>
                <c:pt idx="42">
                  <c:v>11.850000000000001</c:v>
                </c:pt>
                <c:pt idx="43">
                  <c:v>11.780000000000001</c:v>
                </c:pt>
                <c:pt idx="44">
                  <c:v>11.42</c:v>
                </c:pt>
                <c:pt idx="45">
                  <c:v>11.74</c:v>
                </c:pt>
                <c:pt idx="46">
                  <c:v>11.44</c:v>
                </c:pt>
                <c:pt idx="47">
                  <c:v>11.669999999999998</c:v>
                </c:pt>
                <c:pt idx="48">
                  <c:v>14.35</c:v>
                </c:pt>
                <c:pt idx="49">
                  <c:v>11.479999999999999</c:v>
                </c:pt>
                <c:pt idx="50">
                  <c:v>11.74</c:v>
                </c:pt>
                <c:pt idx="51">
                  <c:v>12.02</c:v>
                </c:pt>
                <c:pt idx="52">
                  <c:v>11.82</c:v>
                </c:pt>
                <c:pt idx="53">
                  <c:v>11.919999999999998</c:v>
                </c:pt>
                <c:pt idx="54">
                  <c:v>11.949999999999998</c:v>
                </c:pt>
                <c:pt idx="55">
                  <c:v>11.999999999999998</c:v>
                </c:pt>
                <c:pt idx="56">
                  <c:v>11.589999999999998</c:v>
                </c:pt>
                <c:pt idx="57">
                  <c:v>11.34</c:v>
                </c:pt>
                <c:pt idx="58">
                  <c:v>11.69</c:v>
                </c:pt>
                <c:pt idx="59">
                  <c:v>11.4</c:v>
                </c:pt>
                <c:pt idx="60">
                  <c:v>11.98</c:v>
                </c:pt>
              </c:numCache>
            </c:numRef>
          </c:xVal>
          <c:yVal>
            <c:numRef>
              <c:f>CAMP!$B$299:$BJ$299</c:f>
              <c:numCache>
                <c:formatCode>0.000</c:formatCode>
                <c:ptCount val="61"/>
                <c:pt idx="0">
                  <c:v>0.44000000000000011</c:v>
                </c:pt>
                <c:pt idx="1">
                  <c:v>0.55000000000000004</c:v>
                </c:pt>
                <c:pt idx="2">
                  <c:v>0.56999999999999995</c:v>
                </c:pt>
                <c:pt idx="3">
                  <c:v>0.38999999999999996</c:v>
                </c:pt>
                <c:pt idx="4">
                  <c:v>0.62</c:v>
                </c:pt>
                <c:pt idx="5">
                  <c:v>0.57999999999999996</c:v>
                </c:pt>
                <c:pt idx="6">
                  <c:v>0.6</c:v>
                </c:pt>
                <c:pt idx="7">
                  <c:v>0.61</c:v>
                </c:pt>
                <c:pt idx="8">
                  <c:v>0.48999999999999994</c:v>
                </c:pt>
                <c:pt idx="9">
                  <c:v>0.44</c:v>
                </c:pt>
                <c:pt idx="10">
                  <c:v>0.59999999999999987</c:v>
                </c:pt>
                <c:pt idx="11">
                  <c:v>0.63</c:v>
                </c:pt>
                <c:pt idx="12">
                  <c:v>0.62999999999999989</c:v>
                </c:pt>
                <c:pt idx="13">
                  <c:v>0.79</c:v>
                </c:pt>
                <c:pt idx="14">
                  <c:v>1.37</c:v>
                </c:pt>
                <c:pt idx="15">
                  <c:v>0.08</c:v>
                </c:pt>
                <c:pt idx="16">
                  <c:v>1.63</c:v>
                </c:pt>
                <c:pt idx="17">
                  <c:v>1.59</c:v>
                </c:pt>
                <c:pt idx="18">
                  <c:v>1.59</c:v>
                </c:pt>
                <c:pt idx="19">
                  <c:v>1.55</c:v>
                </c:pt>
                <c:pt idx="20">
                  <c:v>1.4899999999999998</c:v>
                </c:pt>
                <c:pt idx="21">
                  <c:v>0.85</c:v>
                </c:pt>
                <c:pt idx="22">
                  <c:v>0.85999999999999988</c:v>
                </c:pt>
                <c:pt idx="23">
                  <c:v>1.2400000000000002</c:v>
                </c:pt>
                <c:pt idx="24">
                  <c:v>0.63</c:v>
                </c:pt>
                <c:pt idx="25">
                  <c:v>0.91999999999999993</c:v>
                </c:pt>
                <c:pt idx="26">
                  <c:v>2.2400000000000002</c:v>
                </c:pt>
                <c:pt idx="27">
                  <c:v>2.48</c:v>
                </c:pt>
                <c:pt idx="28">
                  <c:v>2.52</c:v>
                </c:pt>
                <c:pt idx="29">
                  <c:v>2.5300000000000002</c:v>
                </c:pt>
                <c:pt idx="30">
                  <c:v>2.5</c:v>
                </c:pt>
                <c:pt idx="31">
                  <c:v>2.6300000000000003</c:v>
                </c:pt>
                <c:pt idx="32">
                  <c:v>2.34</c:v>
                </c:pt>
                <c:pt idx="33">
                  <c:v>2.6299999999999994</c:v>
                </c:pt>
                <c:pt idx="34">
                  <c:v>2.36</c:v>
                </c:pt>
                <c:pt idx="35">
                  <c:v>0.77</c:v>
                </c:pt>
                <c:pt idx="36">
                  <c:v>0.89999999999999991</c:v>
                </c:pt>
                <c:pt idx="37">
                  <c:v>0.77999999999999992</c:v>
                </c:pt>
                <c:pt idx="38">
                  <c:v>0.72000000000000008</c:v>
                </c:pt>
                <c:pt idx="39">
                  <c:v>0.77999999999999992</c:v>
                </c:pt>
                <c:pt idx="40">
                  <c:v>0.87</c:v>
                </c:pt>
                <c:pt idx="41">
                  <c:v>0.95000000000000007</c:v>
                </c:pt>
                <c:pt idx="42">
                  <c:v>0.88</c:v>
                </c:pt>
                <c:pt idx="43">
                  <c:v>0.97</c:v>
                </c:pt>
                <c:pt idx="44">
                  <c:v>0.92999999999999983</c:v>
                </c:pt>
                <c:pt idx="45">
                  <c:v>0.6</c:v>
                </c:pt>
                <c:pt idx="46">
                  <c:v>1.05</c:v>
                </c:pt>
                <c:pt idx="47">
                  <c:v>0.80000000000000016</c:v>
                </c:pt>
                <c:pt idx="48">
                  <c:v>0.76000000000000012</c:v>
                </c:pt>
                <c:pt idx="49">
                  <c:v>1.0399999999999998</c:v>
                </c:pt>
                <c:pt idx="50">
                  <c:v>0.92</c:v>
                </c:pt>
                <c:pt idx="51">
                  <c:v>1.49</c:v>
                </c:pt>
                <c:pt idx="52">
                  <c:v>1.5100000000000002</c:v>
                </c:pt>
                <c:pt idx="53">
                  <c:v>1.44</c:v>
                </c:pt>
                <c:pt idx="54">
                  <c:v>1.38</c:v>
                </c:pt>
                <c:pt idx="55">
                  <c:v>1.56</c:v>
                </c:pt>
                <c:pt idx="56">
                  <c:v>1.82</c:v>
                </c:pt>
                <c:pt idx="57">
                  <c:v>1.87</c:v>
                </c:pt>
                <c:pt idx="58">
                  <c:v>1.57</c:v>
                </c:pt>
                <c:pt idx="59">
                  <c:v>1.9800000000000002</c:v>
                </c:pt>
                <c:pt idx="60">
                  <c:v>1.9399999999999997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4-E141-BBE3-7ADF68C62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96095"/>
        <c:axId val="1057955120"/>
      </c:scatterChart>
      <c:valAx>
        <c:axId val="377796095"/>
        <c:scaling>
          <c:orientation val="minMax"/>
          <c:max val="12.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1057955120"/>
        <c:crosses val="autoZero"/>
        <c:crossBetween val="midCat"/>
      </c:valAx>
      <c:valAx>
        <c:axId val="10579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37779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Xu 2021 Fig 6b</a:t>
            </a:r>
            <a:endParaRPr lang="fr-A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CAMP!$B$301:$BJ$301</c:f>
              <c:numCache>
                <c:formatCode>0.000</c:formatCode>
                <c:ptCount val="61"/>
                <c:pt idx="0">
                  <c:v>1.0347646434069553</c:v>
                </c:pt>
                <c:pt idx="1">
                  <c:v>1.3162847757000904</c:v>
                </c:pt>
                <c:pt idx="2">
                  <c:v>1.3576323628377116</c:v>
                </c:pt>
                <c:pt idx="3">
                  <c:v>1.3914746052674385</c:v>
                </c:pt>
                <c:pt idx="4">
                  <c:v>1.3376537419976842</c:v>
                </c:pt>
                <c:pt idx="5">
                  <c:v>1.4421402021686909</c:v>
                </c:pt>
                <c:pt idx="6">
                  <c:v>1.3425195509378955</c:v>
                </c:pt>
                <c:pt idx="7">
                  <c:v>1.3288416765840934</c:v>
                </c:pt>
                <c:pt idx="8">
                  <c:v>1.2161129752809083</c:v>
                </c:pt>
                <c:pt idx="9">
                  <c:v>1.0983011507587976</c:v>
                </c:pt>
                <c:pt idx="10">
                  <c:v>1.2977540822941718</c:v>
                </c:pt>
                <c:pt idx="11">
                  <c:v>1.3618703234673593</c:v>
                </c:pt>
                <c:pt idx="12">
                  <c:v>1.1985784621497837</c:v>
                </c:pt>
                <c:pt idx="13">
                  <c:v>1.4627207533769937</c:v>
                </c:pt>
                <c:pt idx="14">
                  <c:v>1.2829723226653256</c:v>
                </c:pt>
                <c:pt idx="15">
                  <c:v>0.59092615506424018</c:v>
                </c:pt>
                <c:pt idx="16">
                  <c:v>1.555127044349879</c:v>
                </c:pt>
                <c:pt idx="17">
                  <c:v>1.5669949147354956</c:v>
                </c:pt>
                <c:pt idx="18">
                  <c:v>1.6132513790315022</c:v>
                </c:pt>
                <c:pt idx="19">
                  <c:v>1.6330324685045676</c:v>
                </c:pt>
                <c:pt idx="20">
                  <c:v>1.6363835719337612</c:v>
                </c:pt>
                <c:pt idx="21">
                  <c:v>1.1265828057883258</c:v>
                </c:pt>
                <c:pt idx="22">
                  <c:v>1.3613914002820202</c:v>
                </c:pt>
                <c:pt idx="23">
                  <c:v>1.8134157724343387</c:v>
                </c:pt>
                <c:pt idx="24">
                  <c:v>1.3764040888767397</c:v>
                </c:pt>
                <c:pt idx="25">
                  <c:v>1.0824541404054493</c:v>
                </c:pt>
                <c:pt idx="26">
                  <c:v>1.4864045074627441</c:v>
                </c:pt>
                <c:pt idx="27">
                  <c:v>1.5545048555142049</c:v>
                </c:pt>
                <c:pt idx="28">
                  <c:v>1.6325903463883868</c:v>
                </c:pt>
                <c:pt idx="29">
                  <c:v>1.669091138012047</c:v>
                </c:pt>
                <c:pt idx="30">
                  <c:v>1.582408630938442</c:v>
                </c:pt>
                <c:pt idx="31">
                  <c:v>1.6919594078704279</c:v>
                </c:pt>
                <c:pt idx="32">
                  <c:v>1.6189456514821936</c:v>
                </c:pt>
                <c:pt idx="33">
                  <c:v>1.6586533623301394</c:v>
                </c:pt>
                <c:pt idx="34">
                  <c:v>1.5587029738572857</c:v>
                </c:pt>
                <c:pt idx="35">
                  <c:v>1.4244266103057424</c:v>
                </c:pt>
                <c:pt idx="36">
                  <c:v>1.4538988615665991</c:v>
                </c:pt>
                <c:pt idx="37">
                  <c:v>1.4083152280218076</c:v>
                </c:pt>
                <c:pt idx="38">
                  <c:v>1.3687280203545269</c:v>
                </c:pt>
                <c:pt idx="39">
                  <c:v>1.3695909328295528</c:v>
                </c:pt>
                <c:pt idx="40">
                  <c:v>1.3362566290202471</c:v>
                </c:pt>
                <c:pt idx="41">
                  <c:v>1.3039859470450486</c:v>
                </c:pt>
                <c:pt idx="42">
                  <c:v>1.3498001200267646</c:v>
                </c:pt>
                <c:pt idx="43">
                  <c:v>1.3814302834346357</c:v>
                </c:pt>
                <c:pt idx="44">
                  <c:v>1.3320840519749648</c:v>
                </c:pt>
                <c:pt idx="45">
                  <c:v>1.1258911452844789</c:v>
                </c:pt>
                <c:pt idx="46">
                  <c:v>1.3596846834756908</c:v>
                </c:pt>
                <c:pt idx="47">
                  <c:v>1.4692999502777466</c:v>
                </c:pt>
                <c:pt idx="48">
                  <c:v>1.3849199134829986</c:v>
                </c:pt>
                <c:pt idx="49">
                  <c:v>1.3485218142758804</c:v>
                </c:pt>
                <c:pt idx="50">
                  <c:v>1.3366285640106224</c:v>
                </c:pt>
                <c:pt idx="51">
                  <c:v>1.5329154541701664</c:v>
                </c:pt>
                <c:pt idx="52">
                  <c:v>1.5373820419273576</c:v>
                </c:pt>
                <c:pt idx="53">
                  <c:v>1.5827886527971238</c:v>
                </c:pt>
                <c:pt idx="54">
                  <c:v>1.5703696784542984</c:v>
                </c:pt>
                <c:pt idx="55">
                  <c:v>1.6222961068095101</c:v>
                </c:pt>
                <c:pt idx="56">
                  <c:v>1.6354577596821178</c:v>
                </c:pt>
                <c:pt idx="57">
                  <c:v>1.6829682568524857</c:v>
                </c:pt>
                <c:pt idx="58">
                  <c:v>1.5316503601327209</c:v>
                </c:pt>
                <c:pt idx="59">
                  <c:v>1.6429658424721465</c:v>
                </c:pt>
                <c:pt idx="60">
                  <c:v>1.622286192973851</c:v>
                </c:pt>
              </c:numCache>
            </c:numRef>
          </c:xVal>
          <c:yVal>
            <c:numRef>
              <c:f>CAMP!$B$302:$BJ$302</c:f>
              <c:numCache>
                <c:formatCode>0.000</c:formatCode>
                <c:ptCount val="61"/>
                <c:pt idx="0">
                  <c:v>0.43844492367578575</c:v>
                </c:pt>
                <c:pt idx="1">
                  <c:v>0.42754789531652898</c:v>
                </c:pt>
                <c:pt idx="2">
                  <c:v>0.48314953821457135</c:v>
                </c:pt>
                <c:pt idx="3">
                  <c:v>0.45231371000196757</c:v>
                </c:pt>
                <c:pt idx="4">
                  <c:v>0.46368010861408038</c:v>
                </c:pt>
                <c:pt idx="5">
                  <c:v>0.4717024219937978</c:v>
                </c:pt>
                <c:pt idx="6">
                  <c:v>0.43294236112440365</c:v>
                </c:pt>
                <c:pt idx="7">
                  <c:v>0.44545748626780446</c:v>
                </c:pt>
                <c:pt idx="8">
                  <c:v>0.43369012870288004</c:v>
                </c:pt>
                <c:pt idx="9">
                  <c:v>0.44437583958433124</c:v>
                </c:pt>
                <c:pt idx="10">
                  <c:v>0.46189851540646532</c:v>
                </c:pt>
                <c:pt idx="11">
                  <c:v>0.45881275671556521</c:v>
                </c:pt>
                <c:pt idx="12">
                  <c:v>0.51752369581318725</c:v>
                </c:pt>
                <c:pt idx="13">
                  <c:v>0.47893179670919428</c:v>
                </c:pt>
                <c:pt idx="14">
                  <c:v>0.54194270934511002</c:v>
                </c:pt>
                <c:pt idx="15">
                  <c:v>0.25613962104288968</c:v>
                </c:pt>
                <c:pt idx="16">
                  <c:v>0.67592849623252238</c:v>
                </c:pt>
                <c:pt idx="17">
                  <c:v>0.65166093591416885</c:v>
                </c:pt>
                <c:pt idx="18">
                  <c:v>0.64464830545562346</c:v>
                </c:pt>
                <c:pt idx="19">
                  <c:v>0.6761499385082429</c:v>
                </c:pt>
                <c:pt idx="20">
                  <c:v>0.69645188361448762</c:v>
                </c:pt>
                <c:pt idx="21">
                  <c:v>0.49748248615061919</c:v>
                </c:pt>
                <c:pt idx="22">
                  <c:v>0.58725628012677045</c:v>
                </c:pt>
                <c:pt idx="23">
                  <c:v>0.43579003444033165</c:v>
                </c:pt>
                <c:pt idx="24">
                  <c:v>0.49547588808666143</c:v>
                </c:pt>
                <c:pt idx="25">
                  <c:v>0.34141928818628531</c:v>
                </c:pt>
                <c:pt idx="26">
                  <c:v>0.61206069863301371</c:v>
                </c:pt>
                <c:pt idx="27">
                  <c:v>0.73718272551685504</c:v>
                </c:pt>
                <c:pt idx="28">
                  <c:v>0.75030669467933397</c:v>
                </c:pt>
                <c:pt idx="29">
                  <c:v>0.77166186212315713</c:v>
                </c:pt>
                <c:pt idx="30">
                  <c:v>0.78269873992026384</c:v>
                </c:pt>
                <c:pt idx="31">
                  <c:v>0.78855091824259782</c:v>
                </c:pt>
                <c:pt idx="32">
                  <c:v>0.76109516539663313</c:v>
                </c:pt>
                <c:pt idx="33">
                  <c:v>0.77625297834034568</c:v>
                </c:pt>
                <c:pt idx="34">
                  <c:v>0.761575978126802</c:v>
                </c:pt>
                <c:pt idx="35">
                  <c:v>0.79413874404570228</c:v>
                </c:pt>
                <c:pt idx="36">
                  <c:v>0.8168306027129596</c:v>
                </c:pt>
                <c:pt idx="37">
                  <c:v>0.78515518395403849</c:v>
                </c:pt>
                <c:pt idx="38">
                  <c:v>0.79520462570640327</c:v>
                </c:pt>
                <c:pt idx="39">
                  <c:v>0.80260181079037207</c:v>
                </c:pt>
                <c:pt idx="40">
                  <c:v>0.43621873019761581</c:v>
                </c:pt>
                <c:pt idx="41">
                  <c:v>0.4132144897188762</c:v>
                </c:pt>
                <c:pt idx="42">
                  <c:v>0.4490105608697616</c:v>
                </c:pt>
                <c:pt idx="43">
                  <c:v>0.46509673836607851</c:v>
                </c:pt>
                <c:pt idx="44">
                  <c:v>0.47288212354331544</c:v>
                </c:pt>
                <c:pt idx="45">
                  <c:v>0.36847704158746275</c:v>
                </c:pt>
                <c:pt idx="46">
                  <c:v>0.47805251890468536</c:v>
                </c:pt>
                <c:pt idx="47">
                  <c:v>0.48431700362497943</c:v>
                </c:pt>
                <c:pt idx="48">
                  <c:v>0.31002637841287672</c:v>
                </c:pt>
                <c:pt idx="49">
                  <c:v>0.48348308744314672</c:v>
                </c:pt>
                <c:pt idx="50">
                  <c:v>0.45231431855178561</c:v>
                </c:pt>
                <c:pt idx="51">
                  <c:v>0.57882488911512109</c:v>
                </c:pt>
                <c:pt idx="52">
                  <c:v>0.5837987021563964</c:v>
                </c:pt>
                <c:pt idx="53">
                  <c:v>0.56947844202224951</c:v>
                </c:pt>
                <c:pt idx="54">
                  <c:v>0.58049903709163941</c:v>
                </c:pt>
                <c:pt idx="55">
                  <c:v>0.58303594864132324</c:v>
                </c:pt>
                <c:pt idx="56">
                  <c:v>0.72086796716994228</c:v>
                </c:pt>
                <c:pt idx="57">
                  <c:v>0.74562101443296647</c:v>
                </c:pt>
                <c:pt idx="58">
                  <c:v>0.67748574897320268</c:v>
                </c:pt>
                <c:pt idx="59">
                  <c:v>0.66902528781791049</c:v>
                </c:pt>
                <c:pt idx="60">
                  <c:v>0.66785699846434332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6-1547-8B9A-6DABBDC6F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53327"/>
        <c:axId val="671086191"/>
      </c:scatterChart>
      <c:valAx>
        <c:axId val="56705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671086191"/>
        <c:crosses val="autoZero"/>
        <c:crossBetween val="midCat"/>
      </c:valAx>
      <c:valAx>
        <c:axId val="67108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AU"/>
          </a:p>
        </c:txPr>
        <c:crossAx val="56705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A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933450</xdr:colOff>
      <xdr:row>226</xdr:row>
      <xdr:rowOff>50800</xdr:rowOff>
    </xdr:from>
    <xdr:to>
      <xdr:col>11</xdr:col>
      <xdr:colOff>584200</xdr:colOff>
      <xdr:row>249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0C2B2E-9D61-C888-0435-70F45770E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463550</xdr:colOff>
      <xdr:row>226</xdr:row>
      <xdr:rowOff>127000</xdr:rowOff>
    </xdr:from>
    <xdr:to>
      <xdr:col>6</xdr:col>
      <xdr:colOff>558800</xdr:colOff>
      <xdr:row>249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0FB3235-F8A2-0321-97F9-2B4D7A41E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704850</xdr:colOff>
      <xdr:row>253</xdr:row>
      <xdr:rowOff>114300</xdr:rowOff>
    </xdr:from>
    <xdr:to>
      <xdr:col>6</xdr:col>
      <xdr:colOff>368300</xdr:colOff>
      <xdr:row>272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8B7472C-B311-D43B-147E-744F14913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723900</xdr:colOff>
      <xdr:row>253</xdr:row>
      <xdr:rowOff>152400</xdr:rowOff>
    </xdr:from>
    <xdr:to>
      <xdr:col>10</xdr:col>
      <xdr:colOff>25400</xdr:colOff>
      <xdr:row>273</xdr:row>
      <xdr:rowOff>25400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345A4E1-49E1-380D-EC39-B745707F4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692150</xdr:colOff>
      <xdr:row>254</xdr:row>
      <xdr:rowOff>114300</xdr:rowOff>
    </xdr:from>
    <xdr:to>
      <xdr:col>14</xdr:col>
      <xdr:colOff>279400</xdr:colOff>
      <xdr:row>273</xdr:row>
      <xdr:rowOff>139700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8CFE3BB-E11D-E4C7-FD08-48D4F7F8A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63500</xdr:colOff>
      <xdr:row>303</xdr:row>
      <xdr:rowOff>12700</xdr:rowOff>
    </xdr:from>
    <xdr:to>
      <xdr:col>4</xdr:col>
      <xdr:colOff>635000</xdr:colOff>
      <xdr:row>319</xdr:row>
      <xdr:rowOff>114300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9A732AE-896E-79AB-09C4-C981AE118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920750</xdr:colOff>
      <xdr:row>303</xdr:row>
      <xdr:rowOff>0</xdr:rowOff>
    </xdr:from>
    <xdr:to>
      <xdr:col>8</xdr:col>
      <xdr:colOff>158750</xdr:colOff>
      <xdr:row>319</xdr:row>
      <xdr:rowOff>101600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94A78F3C-2116-BB1F-CC82-D91BB8D3F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2"/>
  <sheetViews>
    <sheetView topLeftCell="AF1" workbookViewId="0">
      <selection activeCell="B26" sqref="B26"/>
    </sheetView>
  </sheetViews>
  <sheetFormatPr baseColWidth="10" defaultRowHeight="13"/>
  <cols>
    <col min="1" max="1" width="15.796875" style="2" customWidth="1"/>
    <col min="2" max="7" width="11" style="2"/>
    <col min="8" max="16384" width="11" style="3"/>
  </cols>
  <sheetData>
    <row r="1" spans="1:62" s="2" customFormat="1">
      <c r="A1" s="52" t="s">
        <v>280</v>
      </c>
      <c r="B1" t="s">
        <v>281</v>
      </c>
      <c r="C1" t="s">
        <v>362</v>
      </c>
      <c r="D1" t="s">
        <v>363</v>
      </c>
      <c r="E1" t="s">
        <v>338</v>
      </c>
      <c r="F1" t="s">
        <v>283</v>
      </c>
      <c r="G1" t="s">
        <v>336</v>
      </c>
      <c r="H1" t="s">
        <v>339</v>
      </c>
      <c r="I1" t="s">
        <v>364</v>
      </c>
      <c r="J1" t="s">
        <v>285</v>
      </c>
      <c r="K1" t="s">
        <v>340</v>
      </c>
      <c r="L1" t="s">
        <v>286</v>
      </c>
      <c r="M1" t="s">
        <v>337</v>
      </c>
      <c r="N1" t="s">
        <v>290</v>
      </c>
      <c r="O1" t="s">
        <v>291</v>
      </c>
      <c r="P1" t="s">
        <v>293</v>
      </c>
      <c r="Q1" t="s">
        <v>294</v>
      </c>
      <c r="R1" t="s">
        <v>365</v>
      </c>
      <c r="S1" t="s">
        <v>304</v>
      </c>
      <c r="T1" t="s">
        <v>366</v>
      </c>
      <c r="U1" t="s">
        <v>279</v>
      </c>
      <c r="V1" t="s">
        <v>341</v>
      </c>
      <c r="W1" t="s">
        <v>367</v>
      </c>
      <c r="X1" t="s">
        <v>368</v>
      </c>
      <c r="Y1" t="s">
        <v>369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  <c r="AE1" t="s">
        <v>370</v>
      </c>
      <c r="AF1" t="s">
        <v>347</v>
      </c>
      <c r="AG1" t="s">
        <v>348</v>
      </c>
      <c r="AH1" t="s">
        <v>349</v>
      </c>
      <c r="AI1" t="s">
        <v>371</v>
      </c>
      <c r="AJ1" t="s">
        <v>350</v>
      </c>
      <c r="AK1" t="s">
        <v>372</v>
      </c>
      <c r="AL1" t="s">
        <v>351</v>
      </c>
      <c r="AM1" t="s">
        <v>352</v>
      </c>
      <c r="AN1" t="s">
        <v>353</v>
      </c>
      <c r="AO1" t="s">
        <v>373</v>
      </c>
      <c r="AP1" t="s">
        <v>374</v>
      </c>
      <c r="AQ1" t="s">
        <v>354</v>
      </c>
      <c r="AR1" t="s">
        <v>355</v>
      </c>
      <c r="AS1" t="s">
        <v>375</v>
      </c>
      <c r="AT1" t="s">
        <v>376</v>
      </c>
      <c r="AU1" t="s">
        <v>377</v>
      </c>
      <c r="AV1" t="s">
        <v>356</v>
      </c>
      <c r="AW1" t="s">
        <v>357</v>
      </c>
      <c r="AX1" t="s">
        <v>378</v>
      </c>
      <c r="AY1" t="s">
        <v>379</v>
      </c>
      <c r="AZ1" t="s">
        <v>358</v>
      </c>
      <c r="BA1" t="s">
        <v>359</v>
      </c>
      <c r="BB1" t="s">
        <v>380</v>
      </c>
      <c r="BC1" t="s">
        <v>381</v>
      </c>
      <c r="BD1" t="s">
        <v>382</v>
      </c>
      <c r="BE1" t="s">
        <v>383</v>
      </c>
      <c r="BF1" t="s">
        <v>384</v>
      </c>
      <c r="BG1" t="s">
        <v>385</v>
      </c>
      <c r="BH1" t="s">
        <v>386</v>
      </c>
      <c r="BI1" t="s">
        <v>387</v>
      </c>
      <c r="BJ1" t="s">
        <v>388</v>
      </c>
    </row>
    <row r="2" spans="1:62" s="2" customFormat="1">
      <c r="A2" s="52" t="s">
        <v>309</v>
      </c>
      <c r="B2" t="s">
        <v>389</v>
      </c>
      <c r="C2" t="s">
        <v>390</v>
      </c>
      <c r="D2" t="s">
        <v>391</v>
      </c>
      <c r="E2" t="s">
        <v>391</v>
      </c>
      <c r="F2" t="s">
        <v>392</v>
      </c>
      <c r="G2" t="s">
        <v>393</v>
      </c>
      <c r="H2" t="s">
        <v>392</v>
      </c>
      <c r="I2" t="s">
        <v>393</v>
      </c>
      <c r="J2" t="s">
        <v>394</v>
      </c>
      <c r="K2" t="s">
        <v>395</v>
      </c>
      <c r="L2" t="s">
        <v>395</v>
      </c>
      <c r="M2" t="s">
        <v>396</v>
      </c>
      <c r="N2" t="s">
        <v>396</v>
      </c>
      <c r="O2" t="s">
        <v>397</v>
      </c>
      <c r="P2" t="s">
        <v>398</v>
      </c>
      <c r="Q2" t="s">
        <v>399</v>
      </c>
      <c r="R2" t="s">
        <v>400</v>
      </c>
      <c r="S2" t="s">
        <v>401</v>
      </c>
      <c r="T2" t="s">
        <v>401</v>
      </c>
      <c r="U2" t="s">
        <v>361</v>
      </c>
      <c r="V2" t="s">
        <v>360</v>
      </c>
      <c r="W2" t="s">
        <v>402</v>
      </c>
      <c r="X2" t="s">
        <v>403</v>
      </c>
      <c r="Y2" t="s">
        <v>404</v>
      </c>
      <c r="Z2" t="s">
        <v>405</v>
      </c>
      <c r="AA2" t="s">
        <v>406</v>
      </c>
      <c r="AB2" t="s">
        <v>407</v>
      </c>
      <c r="AC2" t="s">
        <v>408</v>
      </c>
      <c r="AD2" t="s">
        <v>409</v>
      </c>
      <c r="AE2" t="s">
        <v>410</v>
      </c>
      <c r="AF2" t="s">
        <v>411</v>
      </c>
      <c r="AG2" t="s">
        <v>412</v>
      </c>
      <c r="AH2" t="s">
        <v>413</v>
      </c>
      <c r="AI2" t="s">
        <v>412</v>
      </c>
      <c r="AJ2" t="s">
        <v>413</v>
      </c>
      <c r="AK2" t="s">
        <v>414</v>
      </c>
      <c r="AL2" t="s">
        <v>414</v>
      </c>
      <c r="AM2" t="s">
        <v>415</v>
      </c>
      <c r="AN2" t="s">
        <v>416</v>
      </c>
      <c r="AO2" t="s">
        <v>415</v>
      </c>
      <c r="AP2" t="s">
        <v>417</v>
      </c>
      <c r="AQ2" t="s">
        <v>418</v>
      </c>
      <c r="AR2" t="s">
        <v>417</v>
      </c>
      <c r="AS2" t="s">
        <v>418</v>
      </c>
      <c r="AT2" t="s">
        <v>417</v>
      </c>
      <c r="AU2" t="s">
        <v>418</v>
      </c>
      <c r="AV2" t="s">
        <v>419</v>
      </c>
      <c r="AW2" t="s">
        <v>420</v>
      </c>
      <c r="AX2" t="s">
        <v>421</v>
      </c>
      <c r="AY2" t="s">
        <v>421</v>
      </c>
      <c r="AZ2" t="s">
        <v>422</v>
      </c>
      <c r="BA2" t="s">
        <v>423</v>
      </c>
      <c r="BB2" t="s">
        <v>424</v>
      </c>
      <c r="BC2" t="s">
        <v>425</v>
      </c>
      <c r="BD2" t="s">
        <v>425</v>
      </c>
      <c r="BE2" t="s">
        <v>425</v>
      </c>
      <c r="BF2" t="s">
        <v>426</v>
      </c>
      <c r="BG2" t="s">
        <v>427</v>
      </c>
      <c r="BH2" t="s">
        <v>428</v>
      </c>
      <c r="BI2" t="s">
        <v>429</v>
      </c>
      <c r="BJ2" t="s">
        <v>428</v>
      </c>
    </row>
    <row r="3" spans="1:62" s="2" customFormat="1">
      <c r="A3" s="52" t="s">
        <v>274</v>
      </c>
      <c r="B3">
        <v>46.44</v>
      </c>
      <c r="C3">
        <v>45.22</v>
      </c>
      <c r="D3">
        <v>44.98</v>
      </c>
      <c r="E3">
        <v>44.03</v>
      </c>
      <c r="F3">
        <v>44.95</v>
      </c>
      <c r="G3">
        <v>44.23</v>
      </c>
      <c r="H3">
        <v>44.96</v>
      </c>
      <c r="I3">
        <v>45.33</v>
      </c>
      <c r="J3">
        <v>45.95</v>
      </c>
      <c r="K3">
        <v>44.19</v>
      </c>
      <c r="L3">
        <v>45.63</v>
      </c>
      <c r="M3">
        <v>44.73</v>
      </c>
      <c r="N3">
        <v>45.72</v>
      </c>
      <c r="O3">
        <v>44.31</v>
      </c>
      <c r="P3">
        <v>44.7</v>
      </c>
      <c r="Q3">
        <v>51.09</v>
      </c>
      <c r="R3">
        <v>42.91</v>
      </c>
      <c r="S3">
        <v>42.89</v>
      </c>
      <c r="T3">
        <v>42.61</v>
      </c>
      <c r="U3">
        <v>42.07</v>
      </c>
      <c r="V3">
        <v>42.23</v>
      </c>
      <c r="W3">
        <v>45.55</v>
      </c>
      <c r="X3">
        <v>44.27</v>
      </c>
      <c r="Y3">
        <v>41.03</v>
      </c>
      <c r="Z3">
        <v>44.42</v>
      </c>
      <c r="AA3">
        <v>46.99</v>
      </c>
      <c r="AB3">
        <v>44.27</v>
      </c>
      <c r="AC3">
        <v>43.54</v>
      </c>
      <c r="AD3">
        <v>42.81</v>
      </c>
      <c r="AE3">
        <v>42.5</v>
      </c>
      <c r="AF3">
        <v>43.06</v>
      </c>
      <c r="AG3">
        <v>42.37</v>
      </c>
      <c r="AH3">
        <v>43.38</v>
      </c>
      <c r="AI3">
        <v>42.26</v>
      </c>
      <c r="AJ3">
        <v>43.27</v>
      </c>
      <c r="AK3">
        <v>43.92</v>
      </c>
      <c r="AL3">
        <v>43.51</v>
      </c>
      <c r="AM3">
        <v>44.27</v>
      </c>
      <c r="AN3">
        <v>44.19</v>
      </c>
      <c r="AO3">
        <v>44.27</v>
      </c>
      <c r="AP3">
        <v>44.29</v>
      </c>
      <c r="AQ3">
        <v>44.56</v>
      </c>
      <c r="AR3">
        <v>44.18</v>
      </c>
      <c r="AS3">
        <v>44.01</v>
      </c>
      <c r="AT3">
        <v>43.91</v>
      </c>
      <c r="AU3">
        <v>45.76</v>
      </c>
      <c r="AV3">
        <v>43.95</v>
      </c>
      <c r="AW3">
        <v>42.92</v>
      </c>
      <c r="AX3">
        <v>43.27</v>
      </c>
      <c r="AY3">
        <v>43.81</v>
      </c>
      <c r="AZ3">
        <v>44.32</v>
      </c>
      <c r="BA3">
        <v>43.24</v>
      </c>
      <c r="BB3">
        <v>43.13</v>
      </c>
      <c r="BC3">
        <v>42.3</v>
      </c>
      <c r="BD3">
        <v>42.86</v>
      </c>
      <c r="BE3">
        <v>42.82</v>
      </c>
      <c r="BF3">
        <v>41.75</v>
      </c>
      <c r="BG3">
        <v>41.26</v>
      </c>
      <c r="BH3">
        <v>42.62</v>
      </c>
      <c r="BI3">
        <v>41.5</v>
      </c>
      <c r="BJ3">
        <v>41.82</v>
      </c>
    </row>
    <row r="4" spans="1:62" s="2" customFormat="1">
      <c r="A4" s="52" t="s">
        <v>109</v>
      </c>
      <c r="B4">
        <v>0.44</v>
      </c>
      <c r="C4">
        <v>0.55000000000000004</v>
      </c>
      <c r="D4">
        <v>0.56999999999999995</v>
      </c>
      <c r="E4">
        <v>0.39</v>
      </c>
      <c r="F4">
        <v>0.62</v>
      </c>
      <c r="G4">
        <v>0.57999999999999996</v>
      </c>
      <c r="H4">
        <v>0.6</v>
      </c>
      <c r="I4">
        <v>0.61</v>
      </c>
      <c r="J4">
        <v>0.49</v>
      </c>
      <c r="K4">
        <v>0.44</v>
      </c>
      <c r="L4">
        <v>0.6</v>
      </c>
      <c r="M4">
        <v>0.63</v>
      </c>
      <c r="N4">
        <v>0.63</v>
      </c>
      <c r="O4">
        <v>0.79</v>
      </c>
      <c r="P4">
        <v>1.37</v>
      </c>
      <c r="Q4">
        <v>0.08</v>
      </c>
      <c r="R4">
        <v>1.63</v>
      </c>
      <c r="S4">
        <v>1.59</v>
      </c>
      <c r="T4">
        <v>1.59</v>
      </c>
      <c r="U4">
        <v>1.55</v>
      </c>
      <c r="V4">
        <v>1.49</v>
      </c>
      <c r="W4">
        <v>0.85</v>
      </c>
      <c r="X4">
        <v>0.86</v>
      </c>
      <c r="Y4">
        <v>1.24</v>
      </c>
      <c r="Z4">
        <v>0.63</v>
      </c>
      <c r="AA4">
        <v>0.92</v>
      </c>
      <c r="AB4">
        <v>2.2400000000000002</v>
      </c>
      <c r="AC4">
        <v>2.48</v>
      </c>
      <c r="AD4">
        <v>2.52</v>
      </c>
      <c r="AE4">
        <v>2.5299999999999998</v>
      </c>
      <c r="AF4">
        <v>2.5</v>
      </c>
      <c r="AG4">
        <v>2.63</v>
      </c>
      <c r="AH4">
        <v>2.34</v>
      </c>
      <c r="AI4">
        <v>2.63</v>
      </c>
      <c r="AJ4">
        <v>2.36</v>
      </c>
      <c r="AK4">
        <v>0.77</v>
      </c>
      <c r="AL4">
        <v>0.9</v>
      </c>
      <c r="AM4">
        <v>0.78</v>
      </c>
      <c r="AN4">
        <v>0.72</v>
      </c>
      <c r="AO4">
        <v>0.78</v>
      </c>
      <c r="AP4">
        <v>0.87</v>
      </c>
      <c r="AQ4">
        <v>0.95</v>
      </c>
      <c r="AR4">
        <v>0.88</v>
      </c>
      <c r="AS4">
        <v>0.97</v>
      </c>
      <c r="AT4">
        <v>0.93</v>
      </c>
      <c r="AU4">
        <v>0.6</v>
      </c>
      <c r="AV4">
        <v>1.05</v>
      </c>
      <c r="AW4">
        <v>0.8</v>
      </c>
      <c r="AX4">
        <v>0.76</v>
      </c>
      <c r="AY4">
        <v>1.04</v>
      </c>
      <c r="AZ4">
        <v>0.92</v>
      </c>
      <c r="BA4">
        <v>1.49</v>
      </c>
      <c r="BB4">
        <v>1.51</v>
      </c>
      <c r="BC4">
        <v>1.44</v>
      </c>
      <c r="BD4">
        <v>1.38</v>
      </c>
      <c r="BE4">
        <v>1.56</v>
      </c>
      <c r="BF4">
        <v>1.82</v>
      </c>
      <c r="BG4">
        <v>1.87</v>
      </c>
      <c r="BH4">
        <v>1.57</v>
      </c>
      <c r="BI4">
        <v>1.98</v>
      </c>
      <c r="BJ4">
        <v>1.94</v>
      </c>
    </row>
    <row r="5" spans="1:62" s="2" customFormat="1">
      <c r="A5" s="52" t="s">
        <v>113</v>
      </c>
      <c r="B5">
        <v>0.05</v>
      </c>
      <c r="C5">
        <v>0.04</v>
      </c>
      <c r="D5">
        <v>0.03</v>
      </c>
      <c r="E5">
        <v>0.05</v>
      </c>
      <c r="F5">
        <v>0.03</v>
      </c>
      <c r="G5">
        <v>0.02</v>
      </c>
      <c r="H5">
        <v>7.0000000000000007E-2</v>
      </c>
      <c r="I5">
        <v>0.05</v>
      </c>
      <c r="J5">
        <v>0.06</v>
      </c>
      <c r="K5">
        <v>0.01</v>
      </c>
      <c r="L5">
        <v>0.05</v>
      </c>
      <c r="M5">
        <v>0.04</v>
      </c>
      <c r="N5">
        <v>0.06</v>
      </c>
      <c r="O5">
        <v>0.04</v>
      </c>
      <c r="P5">
        <v>0.09</v>
      </c>
      <c r="Q5">
        <v>0.02</v>
      </c>
      <c r="R5">
        <v>0.11</v>
      </c>
      <c r="S5">
        <v>0.11</v>
      </c>
      <c r="T5">
        <v>0.1</v>
      </c>
      <c r="U5">
        <v>0.11</v>
      </c>
      <c r="V5">
        <v>0.1</v>
      </c>
      <c r="W5">
        <v>7.0000000000000007E-2</v>
      </c>
      <c r="X5">
        <v>7.0000000000000007E-2</v>
      </c>
      <c r="Y5">
        <v>0.17</v>
      </c>
      <c r="Z5">
        <v>0.09</v>
      </c>
      <c r="AA5">
        <v>0.09</v>
      </c>
      <c r="AB5">
        <v>0.11</v>
      </c>
      <c r="AC5">
        <v>0.25</v>
      </c>
      <c r="AD5">
        <v>0.23</v>
      </c>
      <c r="AE5">
        <v>0.11</v>
      </c>
      <c r="AF5">
        <v>0.15</v>
      </c>
      <c r="AG5">
        <v>0.06</v>
      </c>
      <c r="AH5">
        <v>0.02</v>
      </c>
      <c r="AI5">
        <v>0.05</v>
      </c>
      <c r="AJ5">
        <v>0.04</v>
      </c>
      <c r="AK5">
        <v>0.02</v>
      </c>
      <c r="AL5">
        <v>0.02</v>
      </c>
      <c r="AM5">
        <v>0.06</v>
      </c>
      <c r="AN5">
        <v>7.0000000000000007E-2</v>
      </c>
      <c r="AO5">
        <v>7.0000000000000007E-2</v>
      </c>
      <c r="AP5">
        <v>0.05</v>
      </c>
      <c r="AQ5">
        <v>0.05</v>
      </c>
      <c r="AR5">
        <v>0.03</v>
      </c>
      <c r="AS5">
        <v>0.03</v>
      </c>
      <c r="AT5">
        <v>0.02</v>
      </c>
      <c r="AU5">
        <v>0.03</v>
      </c>
      <c r="AV5">
        <v>0.02</v>
      </c>
      <c r="AW5">
        <v>0</v>
      </c>
      <c r="AX5">
        <v>0.03</v>
      </c>
      <c r="AY5">
        <v>0.05</v>
      </c>
      <c r="AZ5">
        <v>0.02</v>
      </c>
      <c r="BA5">
        <v>0.02</v>
      </c>
      <c r="BB5">
        <v>0.02</v>
      </c>
      <c r="BC5">
        <v>0.03</v>
      </c>
      <c r="BD5">
        <v>0.02</v>
      </c>
      <c r="BE5">
        <v>0.01</v>
      </c>
      <c r="BF5">
        <v>0.03</v>
      </c>
      <c r="BG5">
        <v>0</v>
      </c>
      <c r="BH5">
        <v>0.03</v>
      </c>
      <c r="BI5">
        <v>0.02</v>
      </c>
      <c r="BJ5">
        <v>0.01</v>
      </c>
    </row>
    <row r="6" spans="1:62" s="2" customFormat="1">
      <c r="A6" s="52" t="s">
        <v>105</v>
      </c>
      <c r="B6">
        <v>9.56</v>
      </c>
      <c r="C6">
        <v>11.21</v>
      </c>
      <c r="D6">
        <v>11.78</v>
      </c>
      <c r="E6">
        <v>11.73</v>
      </c>
      <c r="F6">
        <v>11.48</v>
      </c>
      <c r="G6">
        <v>11.91</v>
      </c>
      <c r="H6">
        <v>11.54</v>
      </c>
      <c r="I6">
        <v>11.44</v>
      </c>
      <c r="J6">
        <v>10.87</v>
      </c>
      <c r="K6">
        <v>9.27</v>
      </c>
      <c r="L6">
        <v>11.37</v>
      </c>
      <c r="M6">
        <v>11.74</v>
      </c>
      <c r="N6">
        <v>11.6</v>
      </c>
      <c r="O6">
        <v>12.23</v>
      </c>
      <c r="P6">
        <v>9.49</v>
      </c>
      <c r="Q6">
        <v>4.8099999999999996</v>
      </c>
      <c r="R6">
        <v>11.31</v>
      </c>
      <c r="S6">
        <v>11.45</v>
      </c>
      <c r="T6">
        <v>11.29</v>
      </c>
      <c r="U6">
        <v>11.81</v>
      </c>
      <c r="V6">
        <v>11.96</v>
      </c>
      <c r="W6">
        <v>8.35</v>
      </c>
      <c r="X6">
        <v>10.17</v>
      </c>
      <c r="Y6">
        <v>15.09</v>
      </c>
      <c r="Z6">
        <v>11.22</v>
      </c>
      <c r="AA6">
        <v>9.44</v>
      </c>
      <c r="AB6">
        <v>11.11</v>
      </c>
      <c r="AC6">
        <v>12.36</v>
      </c>
      <c r="AD6">
        <v>12.32</v>
      </c>
      <c r="AE6">
        <v>12.53</v>
      </c>
      <c r="AF6">
        <v>11.91</v>
      </c>
      <c r="AG6">
        <v>12.98</v>
      </c>
      <c r="AH6">
        <v>12.96</v>
      </c>
      <c r="AI6">
        <v>12.61</v>
      </c>
      <c r="AJ6">
        <v>12.26</v>
      </c>
      <c r="AK6">
        <v>12.93</v>
      </c>
      <c r="AL6">
        <v>13.26</v>
      </c>
      <c r="AM6">
        <v>12.94</v>
      </c>
      <c r="AN6">
        <v>12.75</v>
      </c>
      <c r="AO6">
        <v>12.69</v>
      </c>
      <c r="AP6">
        <v>10.06</v>
      </c>
      <c r="AQ6">
        <v>10.34</v>
      </c>
      <c r="AR6">
        <v>10.36</v>
      </c>
      <c r="AS6">
        <v>10.38</v>
      </c>
      <c r="AT6">
        <v>10.18</v>
      </c>
      <c r="AU6">
        <v>8.58</v>
      </c>
      <c r="AV6">
        <v>10.35</v>
      </c>
      <c r="AW6">
        <v>10.96</v>
      </c>
      <c r="AX6">
        <v>11.96</v>
      </c>
      <c r="AY6">
        <v>10.31</v>
      </c>
      <c r="AZ6">
        <v>10.25</v>
      </c>
      <c r="BA6">
        <v>11.51</v>
      </c>
      <c r="BB6">
        <v>11.74</v>
      </c>
      <c r="BC6">
        <v>11.15</v>
      </c>
      <c r="BD6">
        <v>11.97</v>
      </c>
      <c r="BE6">
        <v>11.79</v>
      </c>
      <c r="BF6">
        <v>12.13</v>
      </c>
      <c r="BG6">
        <v>12.22</v>
      </c>
      <c r="BH6">
        <v>11.66</v>
      </c>
      <c r="BI6">
        <v>12.08</v>
      </c>
      <c r="BJ6">
        <v>11.73</v>
      </c>
    </row>
    <row r="7" spans="1:62" s="2" customFormat="1">
      <c r="A7" s="52" t="s">
        <v>104</v>
      </c>
      <c r="B7">
        <v>13.78</v>
      </c>
      <c r="C7">
        <v>13.44</v>
      </c>
      <c r="D7">
        <v>14.5</v>
      </c>
      <c r="E7">
        <v>14.61</v>
      </c>
      <c r="F7">
        <v>13.9</v>
      </c>
      <c r="G7">
        <v>14.65</v>
      </c>
      <c r="H7">
        <v>13.48</v>
      </c>
      <c r="I7">
        <v>14.11</v>
      </c>
      <c r="J7">
        <v>13.8</v>
      </c>
      <c r="K7">
        <v>14.59</v>
      </c>
      <c r="L7">
        <v>13.72</v>
      </c>
      <c r="M7">
        <v>13.89</v>
      </c>
      <c r="N7">
        <v>13.89</v>
      </c>
      <c r="O7">
        <v>14.45</v>
      </c>
      <c r="P7">
        <v>13.43</v>
      </c>
      <c r="Q7">
        <v>10.050000000000001</v>
      </c>
      <c r="R7">
        <v>14.33</v>
      </c>
      <c r="S7">
        <v>14.27</v>
      </c>
      <c r="T7">
        <v>14.68</v>
      </c>
      <c r="U7">
        <v>14.78</v>
      </c>
      <c r="V7">
        <v>14.53</v>
      </c>
      <c r="W7">
        <v>14.42</v>
      </c>
      <c r="X7">
        <v>14.05</v>
      </c>
      <c r="Y7">
        <v>13.83</v>
      </c>
      <c r="Z7">
        <v>13.77</v>
      </c>
      <c r="AA7">
        <v>11.56</v>
      </c>
      <c r="AB7">
        <v>13.27</v>
      </c>
      <c r="AC7">
        <v>12.17</v>
      </c>
      <c r="AD7">
        <v>12.75</v>
      </c>
      <c r="AE7">
        <v>13.48</v>
      </c>
      <c r="AF7">
        <v>13.12</v>
      </c>
      <c r="AG7">
        <v>13.32</v>
      </c>
      <c r="AH7">
        <v>13.09</v>
      </c>
      <c r="AI7">
        <v>12.99</v>
      </c>
      <c r="AJ7">
        <v>12.81</v>
      </c>
      <c r="AK7">
        <v>13.82</v>
      </c>
      <c r="AL7">
        <v>13.7</v>
      </c>
      <c r="AM7">
        <v>13.66</v>
      </c>
      <c r="AN7">
        <v>13.61</v>
      </c>
      <c r="AO7">
        <v>13.31</v>
      </c>
      <c r="AP7">
        <v>18.22</v>
      </c>
      <c r="AQ7">
        <v>17.73</v>
      </c>
      <c r="AR7">
        <v>17.920000000000002</v>
      </c>
      <c r="AS7">
        <v>18.48</v>
      </c>
      <c r="AT7">
        <v>18.3</v>
      </c>
      <c r="AU7">
        <v>17.48</v>
      </c>
      <c r="AV7">
        <v>18.600000000000001</v>
      </c>
      <c r="AW7">
        <v>18.39</v>
      </c>
      <c r="AX7">
        <v>15.96</v>
      </c>
      <c r="AY7">
        <v>18.37</v>
      </c>
      <c r="AZ7">
        <v>17.989999999999998</v>
      </c>
      <c r="BA7">
        <v>14.83</v>
      </c>
      <c r="BB7">
        <v>14.88</v>
      </c>
      <c r="BC7">
        <v>14.95</v>
      </c>
      <c r="BD7">
        <v>14.98</v>
      </c>
      <c r="BE7">
        <v>15.18</v>
      </c>
      <c r="BF7">
        <v>17</v>
      </c>
      <c r="BG7">
        <v>17.29</v>
      </c>
      <c r="BH7">
        <v>16.649999999999999</v>
      </c>
      <c r="BI7">
        <v>17.2</v>
      </c>
      <c r="BJ7">
        <v>16.39</v>
      </c>
    </row>
    <row r="8" spans="1:62" s="2" customFormat="1">
      <c r="A8" s="52" t="s">
        <v>107</v>
      </c>
      <c r="B8">
        <v>0.68</v>
      </c>
      <c r="C8">
        <v>0.84</v>
      </c>
      <c r="D8">
        <v>1.01</v>
      </c>
      <c r="E8">
        <v>1.1100000000000001</v>
      </c>
      <c r="F8">
        <v>0.85</v>
      </c>
      <c r="G8">
        <v>0.84</v>
      </c>
      <c r="H8">
        <v>0.81</v>
      </c>
      <c r="I8">
        <v>0.85</v>
      </c>
      <c r="J8">
        <v>0.89</v>
      </c>
      <c r="K8">
        <v>0.89</v>
      </c>
      <c r="L8">
        <v>0.9</v>
      </c>
      <c r="M8">
        <v>0.77</v>
      </c>
      <c r="N8">
        <v>0.69</v>
      </c>
      <c r="O8">
        <v>0.7</v>
      </c>
      <c r="P8">
        <v>0.22</v>
      </c>
      <c r="Q8">
        <v>0.23</v>
      </c>
      <c r="R8">
        <v>0.18</v>
      </c>
      <c r="S8">
        <v>0.2</v>
      </c>
      <c r="T8">
        <v>0.21</v>
      </c>
      <c r="U8">
        <v>0.19</v>
      </c>
      <c r="V8">
        <v>0.26</v>
      </c>
      <c r="W8">
        <v>0.25</v>
      </c>
      <c r="X8">
        <v>0.23</v>
      </c>
      <c r="Y8">
        <v>0.15</v>
      </c>
      <c r="Z8">
        <v>0.21</v>
      </c>
      <c r="AA8">
        <v>0.18</v>
      </c>
      <c r="AB8">
        <v>0.26</v>
      </c>
      <c r="AC8">
        <v>0.14000000000000001</v>
      </c>
      <c r="AD8">
        <v>0.21</v>
      </c>
      <c r="AE8">
        <v>0.24</v>
      </c>
      <c r="AF8">
        <v>0.22</v>
      </c>
      <c r="AG8">
        <v>0.24</v>
      </c>
      <c r="AH8">
        <v>0.21</v>
      </c>
      <c r="AI8">
        <v>0.25</v>
      </c>
      <c r="AJ8">
        <v>0.24</v>
      </c>
      <c r="AK8">
        <v>0.25</v>
      </c>
      <c r="AL8">
        <v>0.2</v>
      </c>
      <c r="AM8">
        <v>0.18</v>
      </c>
      <c r="AN8">
        <v>0.21</v>
      </c>
      <c r="AO8">
        <v>0.28000000000000003</v>
      </c>
      <c r="AP8">
        <v>0.31</v>
      </c>
      <c r="AQ8">
        <v>0.27</v>
      </c>
      <c r="AR8">
        <v>0.34</v>
      </c>
      <c r="AS8">
        <v>0.34</v>
      </c>
      <c r="AT8">
        <v>0.33</v>
      </c>
      <c r="AU8">
        <v>0.27</v>
      </c>
      <c r="AV8">
        <v>0.28000000000000003</v>
      </c>
      <c r="AW8">
        <v>0.26</v>
      </c>
      <c r="AX8">
        <v>0.25</v>
      </c>
      <c r="AY8">
        <v>0.3</v>
      </c>
      <c r="AZ8">
        <v>0.3</v>
      </c>
      <c r="BA8">
        <v>0.2</v>
      </c>
      <c r="BB8">
        <v>0.24</v>
      </c>
      <c r="BC8">
        <v>0.18</v>
      </c>
      <c r="BD8">
        <v>0.2</v>
      </c>
      <c r="BE8">
        <v>0.18</v>
      </c>
      <c r="BF8">
        <v>0.16</v>
      </c>
      <c r="BG8">
        <v>0.25</v>
      </c>
      <c r="BH8">
        <v>0.2</v>
      </c>
      <c r="BI8">
        <v>0.21</v>
      </c>
      <c r="BJ8">
        <v>0.24</v>
      </c>
    </row>
    <row r="9" spans="1:62" s="2" customFormat="1">
      <c r="A9" s="52" t="s">
        <v>114</v>
      </c>
      <c r="B9">
        <v>0.03</v>
      </c>
      <c r="C9">
        <v>0</v>
      </c>
      <c r="D9">
        <v>0</v>
      </c>
      <c r="E9">
        <v>0.03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s="2" customFormat="1">
      <c r="A10" s="52" t="s">
        <v>106</v>
      </c>
      <c r="B10">
        <v>12.46</v>
      </c>
      <c r="C10">
        <v>13</v>
      </c>
      <c r="D10">
        <v>12.06</v>
      </c>
      <c r="E10">
        <v>11.98</v>
      </c>
      <c r="F10">
        <v>12.24</v>
      </c>
      <c r="G10">
        <v>11.92</v>
      </c>
      <c r="H10">
        <v>12.39</v>
      </c>
      <c r="I10">
        <v>12.42</v>
      </c>
      <c r="J10">
        <v>12.84</v>
      </c>
      <c r="K10">
        <v>11.1</v>
      </c>
      <c r="L10">
        <v>12.84</v>
      </c>
      <c r="M10">
        <v>12.18</v>
      </c>
      <c r="N10">
        <v>11.8</v>
      </c>
      <c r="O10">
        <v>12.09</v>
      </c>
      <c r="P10">
        <v>12.36</v>
      </c>
      <c r="Q10">
        <v>16.41</v>
      </c>
      <c r="R10">
        <v>11.66</v>
      </c>
      <c r="S10">
        <v>11.64</v>
      </c>
      <c r="T10">
        <v>11.74</v>
      </c>
      <c r="U10">
        <v>11.16</v>
      </c>
      <c r="V10">
        <v>11.2</v>
      </c>
      <c r="W10">
        <v>12.17</v>
      </c>
      <c r="X10">
        <v>12.38</v>
      </c>
      <c r="Y10">
        <v>7.05</v>
      </c>
      <c r="Z10">
        <v>11.19</v>
      </c>
      <c r="AA10">
        <v>12.51</v>
      </c>
      <c r="AB10">
        <v>12.98</v>
      </c>
      <c r="AC10">
        <v>12.59</v>
      </c>
      <c r="AD10">
        <v>12.28</v>
      </c>
      <c r="AE10">
        <v>12.11</v>
      </c>
      <c r="AF10">
        <v>12.34</v>
      </c>
      <c r="AG10">
        <v>11.88</v>
      </c>
      <c r="AH10">
        <v>12.38</v>
      </c>
      <c r="AI10">
        <v>11.88</v>
      </c>
      <c r="AJ10">
        <v>12.43</v>
      </c>
      <c r="AK10">
        <v>11.29</v>
      </c>
      <c r="AL10">
        <v>11.1</v>
      </c>
      <c r="AM10">
        <v>11.65</v>
      </c>
      <c r="AN10">
        <v>11.48</v>
      </c>
      <c r="AO10">
        <v>11.58</v>
      </c>
      <c r="AP10">
        <v>9.8800000000000008</v>
      </c>
      <c r="AQ10">
        <v>9.89</v>
      </c>
      <c r="AR10">
        <v>9.8000000000000007</v>
      </c>
      <c r="AS10">
        <v>9.65</v>
      </c>
      <c r="AT10">
        <v>9.6199999999999992</v>
      </c>
      <c r="AU10">
        <v>10.79</v>
      </c>
      <c r="AV10">
        <v>9.58</v>
      </c>
      <c r="AW10">
        <v>9.42</v>
      </c>
      <c r="AX10">
        <v>7.53</v>
      </c>
      <c r="AY10">
        <v>9.4600000000000009</v>
      </c>
      <c r="AZ10">
        <v>9.92</v>
      </c>
      <c r="BA10">
        <v>11.34</v>
      </c>
      <c r="BB10">
        <v>11.19</v>
      </c>
      <c r="BC10">
        <v>11.34</v>
      </c>
      <c r="BD10">
        <v>11.05</v>
      </c>
      <c r="BE10">
        <v>11.48</v>
      </c>
      <c r="BF10">
        <v>9.52</v>
      </c>
      <c r="BG10">
        <v>9.4499999999999993</v>
      </c>
      <c r="BH10">
        <v>9.83</v>
      </c>
      <c r="BI10">
        <v>9.33</v>
      </c>
      <c r="BJ10">
        <v>9.73</v>
      </c>
    </row>
    <row r="11" spans="1:62" s="2" customFormat="1">
      <c r="A11" s="52" t="s">
        <v>108</v>
      </c>
      <c r="B11">
        <v>10.49</v>
      </c>
      <c r="C11">
        <v>10.53</v>
      </c>
      <c r="D11">
        <v>10.55</v>
      </c>
      <c r="E11">
        <v>10</v>
      </c>
      <c r="F11">
        <v>10.87</v>
      </c>
      <c r="G11">
        <v>10.94</v>
      </c>
      <c r="H11">
        <v>11.02</v>
      </c>
      <c r="I11">
        <v>10.81</v>
      </c>
      <c r="J11">
        <v>10.26</v>
      </c>
      <c r="K11">
        <v>10.35</v>
      </c>
      <c r="L11">
        <v>10.48</v>
      </c>
      <c r="M11">
        <v>10.81</v>
      </c>
      <c r="N11">
        <v>10.39</v>
      </c>
      <c r="O11">
        <v>10.85</v>
      </c>
      <c r="P11">
        <v>12.13</v>
      </c>
      <c r="Q11">
        <v>12.64</v>
      </c>
      <c r="R11">
        <v>11.95</v>
      </c>
      <c r="S11">
        <v>12.03</v>
      </c>
      <c r="T11">
        <v>12.07</v>
      </c>
      <c r="U11">
        <v>11.87</v>
      </c>
      <c r="V11">
        <v>12.09</v>
      </c>
      <c r="W11">
        <v>12.05</v>
      </c>
      <c r="X11">
        <v>11.83</v>
      </c>
      <c r="Y11">
        <v>16.239999999999998</v>
      </c>
      <c r="Z11">
        <v>13.1</v>
      </c>
      <c r="AA11">
        <v>13.58</v>
      </c>
      <c r="AB11">
        <v>11.34</v>
      </c>
      <c r="AC11">
        <v>11.29</v>
      </c>
      <c r="AD11">
        <v>11.48</v>
      </c>
      <c r="AE11">
        <v>11.12</v>
      </c>
      <c r="AF11">
        <v>11.2</v>
      </c>
      <c r="AG11">
        <v>11.21</v>
      </c>
      <c r="AH11">
        <v>11.17</v>
      </c>
      <c r="AI11">
        <v>11.24</v>
      </c>
      <c r="AJ11">
        <v>11.01</v>
      </c>
      <c r="AK11">
        <v>11.05</v>
      </c>
      <c r="AL11">
        <v>10.92</v>
      </c>
      <c r="AM11">
        <v>10.87</v>
      </c>
      <c r="AN11">
        <v>10.71</v>
      </c>
      <c r="AO11">
        <v>10.88</v>
      </c>
      <c r="AP11">
        <v>11.79</v>
      </c>
      <c r="AQ11">
        <v>11.69</v>
      </c>
      <c r="AR11">
        <v>11.85</v>
      </c>
      <c r="AS11">
        <v>11.78</v>
      </c>
      <c r="AT11">
        <v>11.42</v>
      </c>
      <c r="AU11">
        <v>11.74</v>
      </c>
      <c r="AV11">
        <v>11.44</v>
      </c>
      <c r="AW11">
        <v>11.67</v>
      </c>
      <c r="AX11">
        <v>14.35</v>
      </c>
      <c r="AY11">
        <v>11.48</v>
      </c>
      <c r="AZ11">
        <v>11.74</v>
      </c>
      <c r="BA11">
        <v>12.02</v>
      </c>
      <c r="BB11">
        <v>11.82</v>
      </c>
      <c r="BC11">
        <v>11.92</v>
      </c>
      <c r="BD11">
        <v>11.95</v>
      </c>
      <c r="BE11">
        <v>12</v>
      </c>
      <c r="BF11">
        <v>11.59</v>
      </c>
      <c r="BG11">
        <v>11.34</v>
      </c>
      <c r="BH11">
        <v>11.69</v>
      </c>
      <c r="BI11">
        <v>11.4</v>
      </c>
      <c r="BJ11">
        <v>11.98</v>
      </c>
    </row>
    <row r="12" spans="1:62" s="2" customFormat="1">
      <c r="A12" s="52" t="s">
        <v>103</v>
      </c>
      <c r="B12">
        <v>1.35</v>
      </c>
      <c r="C12">
        <v>1.4</v>
      </c>
      <c r="D12">
        <v>1.51</v>
      </c>
      <c r="E12">
        <v>1.39</v>
      </c>
      <c r="F12">
        <v>1.39</v>
      </c>
      <c r="G12">
        <v>1.47</v>
      </c>
      <c r="H12">
        <v>1.37</v>
      </c>
      <c r="I12">
        <v>1.41</v>
      </c>
      <c r="J12">
        <v>1.41</v>
      </c>
      <c r="K12">
        <v>1.29</v>
      </c>
      <c r="L12">
        <v>1.53</v>
      </c>
      <c r="M12">
        <v>1.45</v>
      </c>
      <c r="N12">
        <v>1.63</v>
      </c>
      <c r="O12">
        <v>1.51</v>
      </c>
      <c r="P12">
        <v>1.38</v>
      </c>
      <c r="Q12">
        <v>0.74</v>
      </c>
      <c r="R12">
        <v>1.67</v>
      </c>
      <c r="S12">
        <v>1.57</v>
      </c>
      <c r="T12">
        <v>1.6</v>
      </c>
      <c r="U12">
        <v>1.64</v>
      </c>
      <c r="V12">
        <v>1.68</v>
      </c>
      <c r="W12">
        <v>1.24</v>
      </c>
      <c r="X12">
        <v>1.52</v>
      </c>
      <c r="Y12">
        <v>1.05</v>
      </c>
      <c r="Z12">
        <v>1.26</v>
      </c>
      <c r="AA12">
        <v>1.17</v>
      </c>
      <c r="AB12">
        <v>2.08</v>
      </c>
      <c r="AC12">
        <v>2.4700000000000002</v>
      </c>
      <c r="AD12">
        <v>2.5099999999999998</v>
      </c>
      <c r="AE12">
        <v>2.58</v>
      </c>
      <c r="AF12">
        <v>2.63</v>
      </c>
      <c r="AG12">
        <v>2.64</v>
      </c>
      <c r="AH12">
        <v>2.59</v>
      </c>
      <c r="AI12">
        <v>2.5499999999999998</v>
      </c>
      <c r="AJ12">
        <v>2.56</v>
      </c>
      <c r="AK12">
        <v>2.44</v>
      </c>
      <c r="AL12">
        <v>2.59</v>
      </c>
      <c r="AM12">
        <v>2.4700000000000002</v>
      </c>
      <c r="AN12">
        <v>2.4900000000000002</v>
      </c>
      <c r="AO12">
        <v>2.58</v>
      </c>
      <c r="AP12">
        <v>1.41</v>
      </c>
      <c r="AQ12">
        <v>1.3</v>
      </c>
      <c r="AR12">
        <v>1.44</v>
      </c>
      <c r="AS12">
        <v>1.49</v>
      </c>
      <c r="AT12">
        <v>1.58</v>
      </c>
      <c r="AU12">
        <v>1.1599999999999999</v>
      </c>
      <c r="AV12">
        <v>1.54</v>
      </c>
      <c r="AW12">
        <v>1.53</v>
      </c>
      <c r="AX12">
        <v>1</v>
      </c>
      <c r="AY12">
        <v>1.59</v>
      </c>
      <c r="AZ12">
        <v>1.44</v>
      </c>
      <c r="BA12">
        <v>1.97</v>
      </c>
      <c r="BB12">
        <v>1.99</v>
      </c>
      <c r="BC12">
        <v>1.91</v>
      </c>
      <c r="BD12">
        <v>1.95</v>
      </c>
      <c r="BE12">
        <v>1.96</v>
      </c>
      <c r="BF12">
        <v>2.38</v>
      </c>
      <c r="BG12">
        <v>2.42</v>
      </c>
      <c r="BH12">
        <v>2.25</v>
      </c>
      <c r="BI12">
        <v>2.2200000000000002</v>
      </c>
      <c r="BJ12">
        <v>2.1800000000000002</v>
      </c>
    </row>
    <row r="13" spans="1:62" s="2" customFormat="1">
      <c r="A13" s="52" t="s">
        <v>273</v>
      </c>
      <c r="B13">
        <v>0.24</v>
      </c>
      <c r="C13">
        <v>0.14000000000000001</v>
      </c>
      <c r="D13">
        <v>0.27</v>
      </c>
      <c r="E13">
        <v>0.25</v>
      </c>
      <c r="F13">
        <v>0.34</v>
      </c>
      <c r="G13">
        <v>0.26</v>
      </c>
      <c r="H13">
        <v>0.21</v>
      </c>
      <c r="I13">
        <v>0.23</v>
      </c>
      <c r="J13">
        <v>0.16</v>
      </c>
      <c r="K13">
        <v>0.27</v>
      </c>
      <c r="L13">
        <v>0.14000000000000001</v>
      </c>
      <c r="M13">
        <v>0.22</v>
      </c>
      <c r="N13">
        <v>0.25</v>
      </c>
      <c r="O13">
        <v>0.25</v>
      </c>
      <c r="P13">
        <v>0.73</v>
      </c>
      <c r="Q13">
        <v>0.26</v>
      </c>
      <c r="R13">
        <v>0.99</v>
      </c>
      <c r="S13">
        <v>1.02</v>
      </c>
      <c r="T13">
        <v>0.94</v>
      </c>
      <c r="U13">
        <v>1.01</v>
      </c>
      <c r="V13">
        <v>1.07</v>
      </c>
      <c r="W13">
        <v>0.7</v>
      </c>
      <c r="X13">
        <v>0.76</v>
      </c>
      <c r="Y13">
        <v>0.67</v>
      </c>
      <c r="Z13">
        <v>0.69</v>
      </c>
      <c r="AA13">
        <v>0.04</v>
      </c>
      <c r="AB13">
        <v>0.1</v>
      </c>
      <c r="AC13">
        <v>0.15</v>
      </c>
      <c r="AD13">
        <v>0.14000000000000001</v>
      </c>
      <c r="AE13">
        <v>0.14000000000000001</v>
      </c>
      <c r="AF13">
        <v>0.12</v>
      </c>
      <c r="AG13">
        <v>0.14000000000000001</v>
      </c>
      <c r="AH13">
        <v>0.12</v>
      </c>
      <c r="AI13">
        <v>0.18</v>
      </c>
      <c r="AJ13">
        <v>0.12</v>
      </c>
      <c r="AK13">
        <v>0.45</v>
      </c>
      <c r="AL13">
        <v>0.32</v>
      </c>
      <c r="AM13">
        <v>0.38</v>
      </c>
      <c r="AN13">
        <v>0.37</v>
      </c>
      <c r="AO13">
        <v>0.28000000000000003</v>
      </c>
      <c r="AP13">
        <v>0.13</v>
      </c>
      <c r="AQ13">
        <v>0.18</v>
      </c>
      <c r="AR13">
        <v>0.15</v>
      </c>
      <c r="AS13">
        <v>0.16</v>
      </c>
      <c r="AT13">
        <v>0.04</v>
      </c>
      <c r="AU13">
        <v>0.16</v>
      </c>
      <c r="AV13">
        <v>0.14000000000000001</v>
      </c>
      <c r="AW13">
        <v>0.17</v>
      </c>
      <c r="AX13">
        <v>7.0000000000000007E-2</v>
      </c>
      <c r="AY13">
        <v>0.08</v>
      </c>
      <c r="AZ13">
        <v>0.17</v>
      </c>
      <c r="BA13">
        <v>0.04</v>
      </c>
      <c r="BB13">
        <v>0.03</v>
      </c>
      <c r="BC13">
        <v>0.04</v>
      </c>
      <c r="BD13">
        <v>7.0000000000000007E-2</v>
      </c>
      <c r="BE13">
        <v>0.09</v>
      </c>
      <c r="BF13">
        <v>0.09</v>
      </c>
      <c r="BG13">
        <v>0.14000000000000001</v>
      </c>
      <c r="BH13">
        <v>0.08</v>
      </c>
      <c r="BI13">
        <v>0.05</v>
      </c>
      <c r="BJ13">
        <v>0.12</v>
      </c>
    </row>
    <row r="14" spans="1:62" s="2" customFormat="1">
      <c r="A14" s="53" t="s">
        <v>85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s="2" customFormat="1">
      <c r="A15" s="53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 s="2" customFormat="1">
      <c r="A16" s="53" t="s">
        <v>87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s="2" customFormat="1">
      <c r="A17" s="52" t="s">
        <v>115</v>
      </c>
      <c r="B17">
        <v>95.54</v>
      </c>
      <c r="C17">
        <v>96.37</v>
      </c>
      <c r="D17">
        <v>97.28</v>
      </c>
      <c r="E17">
        <v>95.64</v>
      </c>
      <c r="F17">
        <v>96.68</v>
      </c>
      <c r="G17">
        <v>96.81</v>
      </c>
      <c r="H17">
        <v>96.46</v>
      </c>
      <c r="I17">
        <v>97.25</v>
      </c>
      <c r="J17">
        <v>96.75</v>
      </c>
      <c r="K17">
        <v>92.4</v>
      </c>
      <c r="L17">
        <v>97.25</v>
      </c>
      <c r="M17">
        <v>96.46</v>
      </c>
      <c r="N17">
        <v>96.66</v>
      </c>
      <c r="O17">
        <v>97.22</v>
      </c>
      <c r="P17">
        <v>95.89</v>
      </c>
      <c r="Q17">
        <v>96.33</v>
      </c>
      <c r="R17">
        <v>96.74</v>
      </c>
      <c r="S17">
        <v>96.77</v>
      </c>
      <c r="T17">
        <v>96.81</v>
      </c>
      <c r="U17">
        <v>96.2</v>
      </c>
      <c r="V17">
        <v>96.61</v>
      </c>
      <c r="W17">
        <v>95.65</v>
      </c>
      <c r="X17">
        <v>96.13</v>
      </c>
      <c r="Y17">
        <v>96.52</v>
      </c>
      <c r="Z17">
        <v>96.56</v>
      </c>
      <c r="AA17">
        <v>96.47</v>
      </c>
      <c r="AB17">
        <v>97.76</v>
      </c>
      <c r="AC17">
        <v>97.44</v>
      </c>
      <c r="AD17">
        <v>97.25</v>
      </c>
      <c r="AE17">
        <v>97.34</v>
      </c>
      <c r="AF17">
        <v>97.25</v>
      </c>
      <c r="AG17">
        <v>97.48</v>
      </c>
      <c r="AH17">
        <v>98.25</v>
      </c>
      <c r="AI17">
        <v>96.64</v>
      </c>
      <c r="AJ17">
        <v>97.1</v>
      </c>
      <c r="AK17">
        <v>96.95</v>
      </c>
      <c r="AL17">
        <v>96.52</v>
      </c>
      <c r="AM17">
        <v>97.26</v>
      </c>
      <c r="AN17">
        <v>96.6</v>
      </c>
      <c r="AO17">
        <v>96.72</v>
      </c>
      <c r="AP17">
        <v>97.01</v>
      </c>
      <c r="AQ17">
        <v>96.95</v>
      </c>
      <c r="AR17">
        <v>96.96</v>
      </c>
      <c r="AS17">
        <v>97.28</v>
      </c>
      <c r="AT17">
        <v>96.33</v>
      </c>
      <c r="AU17">
        <v>96.56</v>
      </c>
      <c r="AV17">
        <v>96.93</v>
      </c>
      <c r="AW17">
        <v>96.12</v>
      </c>
      <c r="AX17">
        <v>95.18</v>
      </c>
      <c r="AY17">
        <v>96.48</v>
      </c>
      <c r="AZ17">
        <v>97.07</v>
      </c>
      <c r="BA17">
        <v>96.66</v>
      </c>
      <c r="BB17">
        <v>96.57</v>
      </c>
      <c r="BC17">
        <v>95.27</v>
      </c>
      <c r="BD17">
        <v>96.43</v>
      </c>
      <c r="BE17">
        <v>97.07</v>
      </c>
      <c r="BF17">
        <v>96.48</v>
      </c>
      <c r="BG17">
        <v>96.24</v>
      </c>
      <c r="BH17">
        <v>96.59</v>
      </c>
      <c r="BI17">
        <v>96</v>
      </c>
      <c r="BJ17">
        <v>96.13</v>
      </c>
    </row>
    <row r="18" spans="1:62" s="2" customFormat="1" ht="14" thickBot="1"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62" s="2" customFormat="1">
      <c r="A19" s="28"/>
      <c r="B19" s="29"/>
      <c r="C19" s="30"/>
    </row>
    <row r="20" spans="1:62" s="2" customFormat="1" ht="16">
      <c r="A20" s="31" t="s">
        <v>19</v>
      </c>
      <c r="B20" s="36">
        <v>0.2</v>
      </c>
      <c r="C20" s="32"/>
      <c r="D20" s="2" t="s">
        <v>61</v>
      </c>
    </row>
    <row r="21" spans="1:62" s="2" customFormat="1" ht="14" thickBot="1">
      <c r="A21" s="33"/>
      <c r="B21" s="34"/>
      <c r="C21" s="35"/>
    </row>
    <row r="22" spans="1:62" s="2" customFormat="1"/>
    <row r="23" spans="1:62" s="2" customFormat="1"/>
    <row r="24" spans="1:62" s="2" customFormat="1" ht="16">
      <c r="A24" t="s">
        <v>280</v>
      </c>
      <c r="B24" t="s">
        <v>281</v>
      </c>
      <c r="C24" t="s">
        <v>282</v>
      </c>
      <c r="D24" t="s">
        <v>283</v>
      </c>
      <c r="E24" t="s">
        <v>284</v>
      </c>
      <c r="F24" t="s">
        <v>285</v>
      </c>
      <c r="G24" t="s">
        <v>286</v>
      </c>
      <c r="H24" t="s">
        <v>287</v>
      </c>
      <c r="I24" t="s">
        <v>288</v>
      </c>
      <c r="J24" t="s">
        <v>289</v>
      </c>
      <c r="K24" t="s">
        <v>290</v>
      </c>
      <c r="L24" t="s">
        <v>291</v>
      </c>
      <c r="M24" t="s">
        <v>275</v>
      </c>
      <c r="N24" t="s">
        <v>276</v>
      </c>
      <c r="O24" t="s">
        <v>278</v>
      </c>
      <c r="P24" t="s">
        <v>292</v>
      </c>
      <c r="Q24" t="s">
        <v>293</v>
      </c>
      <c r="R24" t="s">
        <v>294</v>
      </c>
      <c r="S24" t="s">
        <v>295</v>
      </c>
      <c r="T24" t="s">
        <v>279</v>
      </c>
      <c r="U24" s="50" t="s">
        <v>281</v>
      </c>
      <c r="V24" s="50" t="s">
        <v>296</v>
      </c>
      <c r="W24" s="50" t="s">
        <v>297</v>
      </c>
      <c r="X24" s="50" t="s">
        <v>298</v>
      </c>
      <c r="Y24" s="50" t="s">
        <v>282</v>
      </c>
      <c r="Z24" s="50" t="s">
        <v>299</v>
      </c>
      <c r="AA24" s="50" t="s">
        <v>300</v>
      </c>
      <c r="AB24" s="50" t="s">
        <v>283</v>
      </c>
      <c r="AC24" s="50" t="s">
        <v>301</v>
      </c>
      <c r="AD24" s="50" t="s">
        <v>285</v>
      </c>
      <c r="AE24" s="50" t="s">
        <v>287</v>
      </c>
      <c r="AF24" s="50" t="s">
        <v>277</v>
      </c>
      <c r="AG24" s="50" t="s">
        <v>278</v>
      </c>
      <c r="AH24" s="50" t="s">
        <v>292</v>
      </c>
      <c r="AI24" s="50" t="s">
        <v>302</v>
      </c>
      <c r="AJ24" s="50" t="s">
        <v>303</v>
      </c>
      <c r="AK24" s="50" t="s">
        <v>304</v>
      </c>
      <c r="AL24" s="50" t="s">
        <v>305</v>
      </c>
    </row>
    <row r="25" spans="1:62" s="2" customFormat="1" ht="16">
      <c r="A25" t="s">
        <v>105</v>
      </c>
      <c r="B25">
        <v>3.3311000000000002</v>
      </c>
      <c r="C25">
        <v>0.87119999999999997</v>
      </c>
      <c r="D25">
        <v>1.7159</v>
      </c>
      <c r="E25">
        <v>26.202999999999999</v>
      </c>
      <c r="F25">
        <v>2.3119000000000001</v>
      </c>
      <c r="G25">
        <v>0.80689999999999995</v>
      </c>
      <c r="H25">
        <v>0.22969999999999999</v>
      </c>
      <c r="I25">
        <v>0.58960000000000001</v>
      </c>
      <c r="J25">
        <v>0.52280000000000004</v>
      </c>
      <c r="K25">
        <v>0.76239999999999997</v>
      </c>
      <c r="L25">
        <v>0.35289999999999999</v>
      </c>
      <c r="M25">
        <v>0.47149999999999997</v>
      </c>
      <c r="N25">
        <v>0.53859999999999997</v>
      </c>
      <c r="O25">
        <v>0.51580000000000004</v>
      </c>
      <c r="P25">
        <v>0.23549999999999999</v>
      </c>
      <c r="Q25">
        <v>0.98280000000000001</v>
      </c>
      <c r="R25">
        <v>0.1275</v>
      </c>
      <c r="S25">
        <v>0.75180000000000002</v>
      </c>
      <c r="T25">
        <v>1.1211</v>
      </c>
      <c r="U25" s="50">
        <v>0.2218</v>
      </c>
      <c r="V25" s="50">
        <v>0.12690000000000001</v>
      </c>
      <c r="W25" s="50">
        <v>0.54430000000000001</v>
      </c>
      <c r="X25" s="50">
        <v>0.38019999999999998</v>
      </c>
      <c r="Y25" s="50">
        <v>0.75149999999999995</v>
      </c>
      <c r="Z25" s="50">
        <v>8.3999999999999995E-3</v>
      </c>
      <c r="AA25" s="50">
        <v>1.9400000000000001E-2</v>
      </c>
      <c r="AB25" s="50">
        <v>7.9000000000000008E-3</v>
      </c>
      <c r="AC25" s="50">
        <v>0.65329999999999999</v>
      </c>
      <c r="AD25" s="50">
        <v>1.4126000000000001</v>
      </c>
      <c r="AE25" s="50">
        <v>2.7088000000000001</v>
      </c>
      <c r="AF25" s="50">
        <v>0.69099999999999995</v>
      </c>
      <c r="AG25" s="50">
        <v>1.0819000000000001</v>
      </c>
      <c r="AH25" s="50">
        <v>1.2539</v>
      </c>
      <c r="AI25" s="50">
        <v>1.2638</v>
      </c>
      <c r="AJ25" s="50">
        <v>1.1834</v>
      </c>
      <c r="AK25" s="50">
        <v>0.94220000000000004</v>
      </c>
      <c r="AL25" s="50">
        <v>1.1647000000000001</v>
      </c>
    </row>
    <row r="26" spans="1:62" s="2" customFormat="1" ht="16">
      <c r="A26" t="s">
        <v>274</v>
      </c>
      <c r="B26">
        <v>56.085500000000003</v>
      </c>
      <c r="C26">
        <v>46.861400000000003</v>
      </c>
      <c r="D26">
        <v>57.087000000000003</v>
      </c>
      <c r="E26">
        <v>39.287999999999997</v>
      </c>
      <c r="F26">
        <v>54.745600000000003</v>
      </c>
      <c r="G26">
        <v>56.808100000000003</v>
      </c>
      <c r="H26">
        <v>56.972499999999997</v>
      </c>
      <c r="I26">
        <v>56.8367</v>
      </c>
      <c r="J26">
        <v>56.580300000000001</v>
      </c>
      <c r="K26">
        <v>56.842300000000002</v>
      </c>
      <c r="L26">
        <v>57.305300000000003</v>
      </c>
      <c r="M26">
        <v>57.143700000000003</v>
      </c>
      <c r="N26">
        <v>56.825099999999999</v>
      </c>
      <c r="O26">
        <v>57.298699999999997</v>
      </c>
      <c r="P26">
        <v>57.367899999999999</v>
      </c>
      <c r="Q26">
        <v>55.8048</v>
      </c>
      <c r="R26">
        <v>57.440800000000003</v>
      </c>
      <c r="S26">
        <v>56.979300000000002</v>
      </c>
      <c r="T26">
        <v>56.9206</v>
      </c>
      <c r="U26" s="50">
        <v>57.6755</v>
      </c>
      <c r="V26" s="50">
        <v>57.4831</v>
      </c>
      <c r="W26" s="50">
        <v>56.984200000000001</v>
      </c>
      <c r="X26" s="50">
        <v>57.384799999999998</v>
      </c>
      <c r="Y26" s="50">
        <v>57.340400000000002</v>
      </c>
      <c r="Z26" s="50">
        <v>57.518099999999997</v>
      </c>
      <c r="AA26" s="50">
        <v>57.809399999999997</v>
      </c>
      <c r="AB26" s="50">
        <v>58.103999999999999</v>
      </c>
      <c r="AC26" s="50">
        <v>57.1233</v>
      </c>
      <c r="AD26" s="50">
        <v>57.005699999999997</v>
      </c>
      <c r="AE26" s="50">
        <v>56.6083</v>
      </c>
      <c r="AF26" s="50">
        <v>56.908099999999997</v>
      </c>
      <c r="AG26" s="50">
        <v>56.3142</v>
      </c>
      <c r="AH26" s="50">
        <v>56.601500000000001</v>
      </c>
      <c r="AI26" s="50">
        <v>56.562399999999997</v>
      </c>
      <c r="AJ26" s="50">
        <v>56.445599999999999</v>
      </c>
      <c r="AK26" s="50">
        <v>56.661999999999999</v>
      </c>
      <c r="AL26" s="50">
        <v>56.8947</v>
      </c>
    </row>
    <row r="27" spans="1:62" s="2" customFormat="1" ht="16">
      <c r="A27" t="s">
        <v>109</v>
      </c>
      <c r="B27">
        <v>3.1300000000000001E-2</v>
      </c>
      <c r="C27">
        <v>8.3000000000000001E-3</v>
      </c>
      <c r="D27">
        <v>-5.7000000000000002E-3</v>
      </c>
      <c r="E27">
        <v>6.2E-2</v>
      </c>
      <c r="F27">
        <v>0.3075</v>
      </c>
      <c r="G27">
        <v>7.7000000000000002E-3</v>
      </c>
      <c r="H27">
        <v>0</v>
      </c>
      <c r="I27">
        <v>-6.1999999999999998E-3</v>
      </c>
      <c r="J27">
        <v>0</v>
      </c>
      <c r="K27">
        <v>4.5999999999999999E-3</v>
      </c>
      <c r="L27">
        <v>1.0800000000000001E-2</v>
      </c>
      <c r="M27">
        <v>2.2200000000000001E-2</v>
      </c>
      <c r="N27">
        <v>2.6800000000000001E-2</v>
      </c>
      <c r="O27">
        <v>-4.5999999999999999E-3</v>
      </c>
      <c r="P27">
        <v>-5.1999999999999998E-3</v>
      </c>
      <c r="Q27">
        <v>2.01E-2</v>
      </c>
      <c r="R27">
        <v>2.7300000000000001E-2</v>
      </c>
      <c r="S27">
        <v>1.8200000000000001E-2</v>
      </c>
      <c r="T27">
        <v>1.24E-2</v>
      </c>
      <c r="U27" s="50">
        <v>7.0400000000000004E-2</v>
      </c>
      <c r="V27" s="50">
        <v>2E-3</v>
      </c>
      <c r="W27" s="50">
        <v>7.1999999999999998E-3</v>
      </c>
      <c r="X27" s="50">
        <v>6.7000000000000002E-3</v>
      </c>
      <c r="Y27" s="50">
        <v>1.18E-2</v>
      </c>
      <c r="Z27" s="50">
        <v>3.8E-3</v>
      </c>
      <c r="AA27" s="50">
        <v>-1.7299999999999999E-2</v>
      </c>
      <c r="AB27" s="50">
        <v>-2.3900000000000001E-2</v>
      </c>
      <c r="AC27" s="50">
        <v>3.8E-3</v>
      </c>
      <c r="AD27" s="50">
        <v>-1.5599999999999999E-2</v>
      </c>
      <c r="AE27" s="50">
        <v>-2.7000000000000001E-3</v>
      </c>
      <c r="AF27" s="50">
        <v>0</v>
      </c>
      <c r="AG27" s="50">
        <v>2.7000000000000001E-3</v>
      </c>
      <c r="AH27" s="50">
        <v>1.0699999999999999E-2</v>
      </c>
      <c r="AI27" s="50">
        <v>4.3E-3</v>
      </c>
      <c r="AJ27" s="50">
        <v>1.1299999999999999E-2</v>
      </c>
      <c r="AK27" s="50">
        <v>1.18E-2</v>
      </c>
      <c r="AL27" s="50">
        <v>-1.1299999999999999E-2</v>
      </c>
    </row>
    <row r="28" spans="1:62" s="2" customFormat="1" ht="16">
      <c r="A28" t="s">
        <v>113</v>
      </c>
      <c r="B28">
        <v>0.27689999999999998</v>
      </c>
      <c r="C28">
        <v>5.5E-2</v>
      </c>
      <c r="D28">
        <v>1.5E-3</v>
      </c>
      <c r="E28">
        <v>2.0899999999999998E-2</v>
      </c>
      <c r="F28">
        <v>0.48060000000000003</v>
      </c>
      <c r="G28">
        <v>0.16320000000000001</v>
      </c>
      <c r="H28">
        <v>7.5399999999999995E-2</v>
      </c>
      <c r="I28">
        <v>-5.7999999999999996E-3</v>
      </c>
      <c r="J28">
        <v>-6.7999999999999996E-3</v>
      </c>
      <c r="K28">
        <v>1.61E-2</v>
      </c>
      <c r="L28">
        <v>1.0800000000000001E-2</v>
      </c>
      <c r="M28">
        <v>1E-3</v>
      </c>
      <c r="N28">
        <v>2.5899999999999999E-2</v>
      </c>
      <c r="O28">
        <v>1E-3</v>
      </c>
      <c r="P28">
        <v>4.8999999999999998E-3</v>
      </c>
      <c r="Q28">
        <v>-2.3999999999999998E-3</v>
      </c>
      <c r="R28">
        <v>2.9399999999999999E-2</v>
      </c>
      <c r="S28">
        <v>0.04</v>
      </c>
      <c r="T28">
        <v>7.2999999999999995E-2</v>
      </c>
      <c r="U28" s="50">
        <v>2.1899999999999999E-2</v>
      </c>
      <c r="V28" s="50">
        <v>-5.3E-3</v>
      </c>
      <c r="W28" s="50">
        <v>1E-3</v>
      </c>
      <c r="X28" s="50">
        <v>1.0200000000000001E-2</v>
      </c>
      <c r="Y28" s="50">
        <v>2.23E-2</v>
      </c>
      <c r="Z28" s="50">
        <v>-3.5999999999999999E-3</v>
      </c>
      <c r="AA28" s="50">
        <v>2.58E-2</v>
      </c>
      <c r="AB28" s="50">
        <v>-2.2700000000000001E-2</v>
      </c>
      <c r="AC28" s="50">
        <v>1.95E-2</v>
      </c>
      <c r="AD28" s="50">
        <v>5.5999999999999999E-3</v>
      </c>
      <c r="AE28" s="50">
        <v>4.5900000000000003E-2</v>
      </c>
      <c r="AF28" s="50">
        <v>2.1999999999999999E-2</v>
      </c>
      <c r="AG28" s="50">
        <v>0.1457</v>
      </c>
      <c r="AH28" s="50">
        <v>7.2800000000000004E-2</v>
      </c>
      <c r="AI28" s="50">
        <v>1.2200000000000001E-2</v>
      </c>
      <c r="AJ28" s="50">
        <v>6.1000000000000004E-3</v>
      </c>
      <c r="AK28" s="50">
        <v>6.6E-3</v>
      </c>
      <c r="AL28" s="50">
        <v>2.5499999999999998E-2</v>
      </c>
    </row>
    <row r="29" spans="1:62" s="2" customFormat="1" ht="16">
      <c r="A29" t="s">
        <v>103</v>
      </c>
      <c r="B29">
        <v>1.2956000000000001</v>
      </c>
      <c r="C29">
        <v>0.57310000000000005</v>
      </c>
      <c r="D29">
        <v>1.1869000000000001</v>
      </c>
      <c r="E29">
        <v>0.19989999999999999</v>
      </c>
      <c r="F29">
        <v>0.70420000000000005</v>
      </c>
      <c r="G29">
        <v>0.70069999999999999</v>
      </c>
      <c r="H29">
        <v>0.38059999999999999</v>
      </c>
      <c r="I29">
        <v>0.81469999999999998</v>
      </c>
      <c r="J29">
        <v>0.65129999999999999</v>
      </c>
      <c r="K29">
        <v>0.66800000000000004</v>
      </c>
      <c r="L29">
        <v>0.45800000000000002</v>
      </c>
      <c r="M29">
        <v>0.48149999999999998</v>
      </c>
      <c r="N29">
        <v>0.61839999999999995</v>
      </c>
      <c r="O29">
        <v>0.55389999999999995</v>
      </c>
      <c r="P29">
        <v>0.36909999999999998</v>
      </c>
      <c r="Q29">
        <v>0.3251</v>
      </c>
      <c r="R29">
        <v>0.21029999999999999</v>
      </c>
      <c r="S29">
        <v>0.25640000000000002</v>
      </c>
      <c r="T29">
        <v>0.81210000000000004</v>
      </c>
      <c r="U29" s="50">
        <v>9.69E-2</v>
      </c>
      <c r="V29" s="50">
        <v>0.17499999999999999</v>
      </c>
      <c r="W29" s="50">
        <v>0.26340000000000002</v>
      </c>
      <c r="X29" s="50">
        <v>0.22620000000000001</v>
      </c>
      <c r="Y29" s="50">
        <v>0.33300000000000002</v>
      </c>
      <c r="Z29" s="50">
        <v>7.6899999999999996E-2</v>
      </c>
      <c r="AA29" s="50">
        <v>6.6600000000000006E-2</v>
      </c>
      <c r="AB29" s="50">
        <v>0.10100000000000001</v>
      </c>
      <c r="AC29" s="50">
        <v>0.30819999999999997</v>
      </c>
      <c r="AD29" s="50">
        <v>0.5746</v>
      </c>
      <c r="AE29" s="50">
        <v>0.44379999999999997</v>
      </c>
      <c r="AF29" s="50">
        <v>0.59319999999999995</v>
      </c>
      <c r="AG29" s="50">
        <v>0.57350000000000001</v>
      </c>
      <c r="AH29" s="50">
        <v>0.61809999999999998</v>
      </c>
      <c r="AI29" s="50">
        <v>0.66180000000000005</v>
      </c>
      <c r="AJ29" s="50">
        <v>0.64880000000000004</v>
      </c>
      <c r="AK29" s="50">
        <v>0.64470000000000005</v>
      </c>
      <c r="AL29" s="50">
        <v>0.62760000000000005</v>
      </c>
    </row>
    <row r="30" spans="1:62" s="2" customFormat="1" ht="16">
      <c r="A30" t="s">
        <v>106</v>
      </c>
      <c r="B30">
        <v>18.994700000000002</v>
      </c>
      <c r="C30">
        <v>17.567699999999999</v>
      </c>
      <c r="D30">
        <v>20.601900000000001</v>
      </c>
      <c r="E30">
        <v>4.1393000000000004</v>
      </c>
      <c r="F30">
        <v>19.994900000000001</v>
      </c>
      <c r="G30">
        <v>20.305</v>
      </c>
      <c r="H30">
        <v>21.377400000000002</v>
      </c>
      <c r="I30">
        <v>20.415600000000001</v>
      </c>
      <c r="J30">
        <v>20.637799999999999</v>
      </c>
      <c r="K30">
        <v>20.657</v>
      </c>
      <c r="L30">
        <v>20.938500000000001</v>
      </c>
      <c r="M30">
        <v>20.815200000000001</v>
      </c>
      <c r="N30">
        <v>20.800699999999999</v>
      </c>
      <c r="O30">
        <v>20.693100000000001</v>
      </c>
      <c r="P30">
        <v>20.9955</v>
      </c>
      <c r="Q30">
        <v>21.506799999999998</v>
      </c>
      <c r="R30">
        <v>21.465599999999998</v>
      </c>
      <c r="S30">
        <v>22.4679</v>
      </c>
      <c r="T30">
        <v>21.357800000000001</v>
      </c>
      <c r="U30" s="50">
        <v>22.0946</v>
      </c>
      <c r="V30" s="50">
        <v>21.985900000000001</v>
      </c>
      <c r="W30" s="50">
        <v>21.638500000000001</v>
      </c>
      <c r="X30" s="50">
        <v>22.082999999999998</v>
      </c>
      <c r="Y30" s="50">
        <v>21.583300000000001</v>
      </c>
      <c r="Z30" s="50">
        <v>23.526499999999999</v>
      </c>
      <c r="AA30" s="50">
        <v>23.4373</v>
      </c>
      <c r="AB30" s="50">
        <v>23.348600000000001</v>
      </c>
      <c r="AC30" s="50">
        <v>21.533899999999999</v>
      </c>
      <c r="AD30" s="50">
        <v>20.681100000000001</v>
      </c>
      <c r="AE30" s="50">
        <v>18.6525</v>
      </c>
      <c r="AF30" s="50">
        <v>20.956800000000001</v>
      </c>
      <c r="AG30" s="50">
        <v>20.5761</v>
      </c>
      <c r="AH30" s="50">
        <v>20.514199999999999</v>
      </c>
      <c r="AI30" s="50">
        <v>20.285299999999999</v>
      </c>
      <c r="AJ30" s="50">
        <v>20.47</v>
      </c>
      <c r="AK30" s="50">
        <v>20.677900000000001</v>
      </c>
      <c r="AL30" s="50">
        <v>20.371700000000001</v>
      </c>
    </row>
    <row r="31" spans="1:62" s="2" customFormat="1" ht="16">
      <c r="A31" t="s">
        <v>107</v>
      </c>
      <c r="B31">
        <v>0.1255</v>
      </c>
      <c r="C31">
        <v>0.1346</v>
      </c>
      <c r="D31">
        <v>0.1825</v>
      </c>
      <c r="E31">
        <v>0.2555</v>
      </c>
      <c r="F31">
        <v>8.3400000000000002E-2</v>
      </c>
      <c r="G31">
        <v>0.14130000000000001</v>
      </c>
      <c r="H31">
        <v>0.13420000000000001</v>
      </c>
      <c r="I31">
        <v>0.1552</v>
      </c>
      <c r="J31">
        <v>0.1094</v>
      </c>
      <c r="K31">
        <v>0.15509999999999999</v>
      </c>
      <c r="L31">
        <v>0.1069</v>
      </c>
      <c r="M31">
        <v>0.1163</v>
      </c>
      <c r="N31">
        <v>0.1173</v>
      </c>
      <c r="O31">
        <v>0.10349999999999999</v>
      </c>
      <c r="P31">
        <v>0.1028</v>
      </c>
      <c r="Q31">
        <v>0.1172</v>
      </c>
      <c r="R31">
        <v>0.11310000000000001</v>
      </c>
      <c r="S31">
        <v>8.72E-2</v>
      </c>
      <c r="T31">
        <v>0.15129999999999999</v>
      </c>
      <c r="U31" s="50">
        <v>0</v>
      </c>
      <c r="V31" s="50">
        <v>0.1096</v>
      </c>
      <c r="W31" s="50">
        <v>0.15920000000000001</v>
      </c>
      <c r="X31" s="50">
        <v>0.13469999999999999</v>
      </c>
      <c r="Y31" s="50">
        <v>0.13719999999999999</v>
      </c>
      <c r="Z31" s="50">
        <v>9.9099999999999994E-2</v>
      </c>
      <c r="AA31" s="50">
        <v>0.13159999999999999</v>
      </c>
      <c r="AB31" s="50">
        <v>0.1361</v>
      </c>
      <c r="AC31" s="50">
        <v>0.1235</v>
      </c>
      <c r="AD31" s="50">
        <v>0.12939999999999999</v>
      </c>
      <c r="AE31" s="50">
        <v>9.1700000000000004E-2</v>
      </c>
      <c r="AF31" s="50">
        <v>0.1613</v>
      </c>
      <c r="AG31" s="50">
        <v>7.22E-2</v>
      </c>
      <c r="AH31" s="50">
        <v>0.19070000000000001</v>
      </c>
      <c r="AI31" s="50">
        <v>0.17849999999999999</v>
      </c>
      <c r="AJ31" s="50">
        <v>0.16950000000000001</v>
      </c>
      <c r="AK31" s="50">
        <v>0.189</v>
      </c>
      <c r="AL31" s="50">
        <v>0.17019999999999999</v>
      </c>
    </row>
    <row r="32" spans="1:62" s="2" customFormat="1" ht="16">
      <c r="A32" t="s">
        <v>104</v>
      </c>
      <c r="B32">
        <v>5.5744999999999996</v>
      </c>
      <c r="C32">
        <v>4.0023999999999997</v>
      </c>
      <c r="D32">
        <v>4.9596</v>
      </c>
      <c r="E32">
        <v>0.77629999999999999</v>
      </c>
      <c r="F32">
        <v>5.1417000000000002</v>
      </c>
      <c r="G32">
        <v>5.5016999999999996</v>
      </c>
      <c r="H32">
        <v>4.7706</v>
      </c>
      <c r="I32">
        <v>5.7220000000000004</v>
      </c>
      <c r="J32">
        <v>5.3907999999999996</v>
      </c>
      <c r="K32">
        <v>5.4798</v>
      </c>
      <c r="L32">
        <v>4.9588000000000001</v>
      </c>
      <c r="M32">
        <v>5.0018000000000002</v>
      </c>
      <c r="N32">
        <v>5.1875999999999998</v>
      </c>
      <c r="O32">
        <v>4.8155000000000001</v>
      </c>
      <c r="P32">
        <v>4.8014000000000001</v>
      </c>
      <c r="Q32">
        <v>5.0637999999999996</v>
      </c>
      <c r="R32">
        <v>4.4751000000000003</v>
      </c>
      <c r="S32">
        <v>1.9947999999999999</v>
      </c>
      <c r="T32">
        <v>3.5697999999999999</v>
      </c>
      <c r="U32" s="50">
        <v>3.5943999999999998</v>
      </c>
      <c r="V32" s="50">
        <v>4.1052</v>
      </c>
      <c r="W32" s="50">
        <v>4.0052000000000003</v>
      </c>
      <c r="X32" s="50">
        <v>3.5171000000000001</v>
      </c>
      <c r="Y32" s="50">
        <v>4.1204999999999998</v>
      </c>
      <c r="Z32" s="50">
        <v>1.7441</v>
      </c>
      <c r="AA32" s="50">
        <v>1.6933</v>
      </c>
      <c r="AB32" s="50">
        <v>2.0009000000000001</v>
      </c>
      <c r="AC32" s="50">
        <v>3.7364000000000002</v>
      </c>
      <c r="AD32" s="50">
        <v>4.3356000000000003</v>
      </c>
      <c r="AE32" s="50">
        <v>4.7824</v>
      </c>
      <c r="AF32" s="50">
        <v>5.0090000000000003</v>
      </c>
      <c r="AG32" s="50">
        <v>5.5903</v>
      </c>
      <c r="AH32" s="50">
        <v>5.4599000000000002</v>
      </c>
      <c r="AI32" s="50">
        <v>5.2792000000000003</v>
      </c>
      <c r="AJ32" s="50">
        <v>5.4303999999999997</v>
      </c>
      <c r="AK32" s="50">
        <v>5.0819999999999999</v>
      </c>
      <c r="AL32" s="50">
        <v>5.7028999999999996</v>
      </c>
    </row>
    <row r="33" spans="1:38" ht="16">
      <c r="A33" t="s">
        <v>108</v>
      </c>
      <c r="B33">
        <v>11.017799999999999</v>
      </c>
      <c r="C33">
        <v>10.103400000000001</v>
      </c>
      <c r="D33">
        <v>11.642099999999999</v>
      </c>
      <c r="E33">
        <v>23.581099999999999</v>
      </c>
      <c r="F33">
        <v>12.893599999999999</v>
      </c>
      <c r="G33">
        <v>12.373799999999999</v>
      </c>
      <c r="H33">
        <v>13.287800000000001</v>
      </c>
      <c r="I33">
        <v>12.2659</v>
      </c>
      <c r="J33">
        <v>12.6007</v>
      </c>
      <c r="K33">
        <v>12.607900000000001</v>
      </c>
      <c r="L33">
        <v>12.9124</v>
      </c>
      <c r="M33">
        <v>12.8667</v>
      </c>
      <c r="N33">
        <v>12.8802</v>
      </c>
      <c r="O33">
        <v>12.8871</v>
      </c>
      <c r="P33">
        <v>13.2028</v>
      </c>
      <c r="Q33">
        <v>12.356400000000001</v>
      </c>
      <c r="R33">
        <v>13.3413</v>
      </c>
      <c r="S33">
        <v>13.664199999999999</v>
      </c>
      <c r="T33">
        <v>12.518599999999999</v>
      </c>
      <c r="U33" s="50">
        <v>11.992900000000001</v>
      </c>
      <c r="V33" s="50">
        <v>13.5372</v>
      </c>
      <c r="W33" s="50">
        <v>13.3047</v>
      </c>
      <c r="X33" s="50">
        <v>13.458600000000001</v>
      </c>
      <c r="Y33" s="50">
        <v>13.2912</v>
      </c>
      <c r="Z33" s="50">
        <v>13.781700000000001</v>
      </c>
      <c r="AA33" s="50">
        <v>13.7933</v>
      </c>
      <c r="AB33" s="50">
        <v>13.7142</v>
      </c>
      <c r="AC33" s="50">
        <v>13.3988</v>
      </c>
      <c r="AD33" s="50">
        <v>12.94</v>
      </c>
      <c r="AE33" s="50">
        <v>12.423999999999999</v>
      </c>
      <c r="AF33" s="50">
        <v>13.120699999999999</v>
      </c>
      <c r="AG33" s="50">
        <v>12.806100000000001</v>
      </c>
      <c r="AH33" s="50">
        <v>12.6837</v>
      </c>
      <c r="AI33" s="50">
        <v>12.472899999999999</v>
      </c>
      <c r="AJ33" s="50">
        <v>12.5182</v>
      </c>
      <c r="AK33" s="50">
        <v>12.7437</v>
      </c>
      <c r="AL33" s="50">
        <v>12.6554</v>
      </c>
    </row>
    <row r="34" spans="1:38" ht="16">
      <c r="A34" t="s">
        <v>273</v>
      </c>
      <c r="B34">
        <v>5.7599999999999998E-2</v>
      </c>
      <c r="C34">
        <v>3.3399999999999999E-2</v>
      </c>
      <c r="D34">
        <v>5.8999999999999997E-2</v>
      </c>
      <c r="E34">
        <v>1.1000000000000001E-3</v>
      </c>
      <c r="F34">
        <v>1.7100000000000001E-2</v>
      </c>
      <c r="G34">
        <v>3.8800000000000001E-2</v>
      </c>
      <c r="H34">
        <v>1.8200000000000001E-2</v>
      </c>
      <c r="I34">
        <v>5.0200000000000002E-2</v>
      </c>
      <c r="J34">
        <v>3.6499999999999998E-2</v>
      </c>
      <c r="K34">
        <v>3.4000000000000002E-2</v>
      </c>
      <c r="L34">
        <v>2.9499999999999998E-2</v>
      </c>
      <c r="M34">
        <v>3.6400000000000002E-2</v>
      </c>
      <c r="N34">
        <v>2.6700000000000002E-2</v>
      </c>
      <c r="O34">
        <v>3.5099999999999999E-2</v>
      </c>
      <c r="P34">
        <v>1.14E-2</v>
      </c>
      <c r="Q34">
        <v>1.8499999999999999E-2</v>
      </c>
      <c r="R34">
        <v>3.3000000000000002E-2</v>
      </c>
      <c r="S34">
        <v>1.2500000000000001E-2</v>
      </c>
      <c r="T34">
        <v>3.9E-2</v>
      </c>
      <c r="U34" s="50">
        <v>3.5999999999999997E-2</v>
      </c>
      <c r="V34" s="50">
        <v>3.1899999999999998E-2</v>
      </c>
      <c r="W34" s="50">
        <v>-0.19839999999999999</v>
      </c>
      <c r="X34" s="50">
        <v>2.1700000000000001E-2</v>
      </c>
      <c r="Y34" s="50">
        <v>2.7300000000000001E-2</v>
      </c>
      <c r="Z34" s="50">
        <v>5.7000000000000002E-3</v>
      </c>
      <c r="AA34" s="50">
        <v>1.15E-2</v>
      </c>
      <c r="AB34" s="50">
        <v>1.9400000000000001E-2</v>
      </c>
      <c r="AC34" s="50">
        <v>1.66E-2</v>
      </c>
      <c r="AD34" s="50">
        <v>3.61E-2</v>
      </c>
      <c r="AE34" s="50">
        <v>2.5399999999999999E-2</v>
      </c>
      <c r="AF34" s="50">
        <v>2.1499999999999998E-2</v>
      </c>
      <c r="AG34" s="50">
        <v>3.6400000000000002E-2</v>
      </c>
      <c r="AH34" s="50">
        <v>4.2999999999999997E-2</v>
      </c>
      <c r="AI34" s="50">
        <v>3.8899999999999997E-2</v>
      </c>
      <c r="AJ34" s="50">
        <v>-0.20649999999999999</v>
      </c>
      <c r="AK34" s="50">
        <v>-0.19</v>
      </c>
      <c r="AL34" s="50">
        <v>3.2800000000000003E-2</v>
      </c>
    </row>
    <row r="35" spans="1:38" ht="16">
      <c r="A35" t="s">
        <v>114</v>
      </c>
      <c r="B35">
        <v>0.1011</v>
      </c>
      <c r="C35">
        <v>4.4999999999999998E-2</v>
      </c>
      <c r="D35">
        <v>0.04</v>
      </c>
      <c r="E35">
        <v>2.1000000000000001E-2</v>
      </c>
      <c r="F35">
        <v>6.8599999999999994E-2</v>
      </c>
      <c r="G35">
        <v>8.1699999999999995E-2</v>
      </c>
      <c r="H35">
        <v>0.14380000000000001</v>
      </c>
      <c r="I35">
        <v>0.1384</v>
      </c>
      <c r="J35">
        <v>0.10150000000000001</v>
      </c>
      <c r="K35">
        <v>0.1205</v>
      </c>
      <c r="L35">
        <v>0.11169999999999999</v>
      </c>
      <c r="M35">
        <v>0.15090000000000001</v>
      </c>
      <c r="N35">
        <v>0.14940000000000001</v>
      </c>
      <c r="O35">
        <v>0.1721</v>
      </c>
      <c r="P35">
        <v>0.20349999999999999</v>
      </c>
      <c r="Q35">
        <v>0.21990000000000001</v>
      </c>
      <c r="R35">
        <v>0.18010000000000001</v>
      </c>
      <c r="S35">
        <v>8.3599999999999994E-2</v>
      </c>
      <c r="T35">
        <v>3.1699999999999999E-2</v>
      </c>
      <c r="U35" s="50">
        <v>5.8099999999999999E-2</v>
      </c>
      <c r="V35" s="50">
        <v>7.3400000000000007E-2</v>
      </c>
      <c r="W35" s="50">
        <v>7.6200000000000004E-2</v>
      </c>
      <c r="X35" s="50">
        <v>0.08</v>
      </c>
      <c r="Y35" s="50">
        <v>6.3299999999999995E-2</v>
      </c>
      <c r="Z35" s="50">
        <v>8.8900000000000007E-2</v>
      </c>
      <c r="AA35" s="50">
        <v>5.57E-2</v>
      </c>
      <c r="AB35" s="50">
        <v>7.0300000000000001E-2</v>
      </c>
      <c r="AC35" s="50">
        <v>0.108</v>
      </c>
      <c r="AD35" s="50">
        <v>5.0200000000000002E-2</v>
      </c>
      <c r="AE35" s="50">
        <v>7.4200000000000002E-2</v>
      </c>
      <c r="AF35" s="50">
        <v>5.2200000000000003E-2</v>
      </c>
      <c r="AG35" s="50">
        <v>3.1099999999999999E-2</v>
      </c>
      <c r="AH35" s="50">
        <v>2.5600000000000001E-2</v>
      </c>
      <c r="AI35" s="50">
        <v>5.67E-2</v>
      </c>
      <c r="AJ35" s="50">
        <v>5.4199999999999998E-2</v>
      </c>
      <c r="AK35" s="50">
        <v>5.62E-2</v>
      </c>
      <c r="AL35" s="50">
        <v>2.7099999999999999E-2</v>
      </c>
    </row>
    <row r="36" spans="1:38" ht="16">
      <c r="A36" t="s">
        <v>115</v>
      </c>
      <c r="B36">
        <v>96.891499999999994</v>
      </c>
      <c r="C36">
        <v>80.255499999999998</v>
      </c>
      <c r="D36">
        <v>97.476100000000002</v>
      </c>
      <c r="E36">
        <v>94.548199999999994</v>
      </c>
      <c r="F36">
        <v>96.748999999999995</v>
      </c>
      <c r="G36">
        <v>96.928899999999999</v>
      </c>
      <c r="H36">
        <v>97.390199999999993</v>
      </c>
      <c r="I36">
        <v>96.988399999999999</v>
      </c>
      <c r="J36">
        <v>96.631100000000004</v>
      </c>
      <c r="K36">
        <v>97.347899999999996</v>
      </c>
      <c r="L36">
        <v>97.195499999999996</v>
      </c>
      <c r="M36">
        <v>97.107200000000006</v>
      </c>
      <c r="N36">
        <v>97.196700000000007</v>
      </c>
      <c r="O36">
        <v>97.075699999999998</v>
      </c>
      <c r="P36">
        <v>97.294799999999995</v>
      </c>
      <c r="Q36">
        <v>96.415300000000002</v>
      </c>
      <c r="R36">
        <v>97.443600000000004</v>
      </c>
      <c r="S36">
        <v>96.355800000000002</v>
      </c>
      <c r="T36">
        <v>96.607399999999998</v>
      </c>
      <c r="U36" s="50">
        <v>95.8626</v>
      </c>
      <c r="V36" s="50">
        <v>97.630200000000002</v>
      </c>
      <c r="W36" s="50">
        <v>96.983900000000006</v>
      </c>
      <c r="X36" s="50">
        <v>97.303100000000001</v>
      </c>
      <c r="Y36" s="50">
        <v>97.681799999999996</v>
      </c>
      <c r="Z36" s="50">
        <v>96.853200000000001</v>
      </c>
      <c r="AA36" s="50">
        <v>97.043899999999994</v>
      </c>
      <c r="AB36" s="50">
        <v>97.502399999999994</v>
      </c>
      <c r="AC36" s="50">
        <v>97.025099999999995</v>
      </c>
      <c r="AD36" s="50">
        <v>97.170900000000003</v>
      </c>
      <c r="AE36" s="50">
        <v>95.857100000000003</v>
      </c>
      <c r="AF36" s="50">
        <v>97.535899999999998</v>
      </c>
      <c r="AG36" s="50">
        <v>97.230199999999996</v>
      </c>
      <c r="AH36" s="50">
        <v>97.474000000000004</v>
      </c>
      <c r="AI36" s="50">
        <v>96.816100000000006</v>
      </c>
      <c r="AJ36" s="50">
        <v>96.937600000000003</v>
      </c>
      <c r="AK36" s="50">
        <v>97.016199999999998</v>
      </c>
      <c r="AL36" s="50">
        <v>97.672600000000003</v>
      </c>
    </row>
    <row r="37" spans="1:38" ht="16">
      <c r="A37" t="s">
        <v>306</v>
      </c>
      <c r="B37">
        <v>-14407</v>
      </c>
      <c r="C37">
        <v>-16629</v>
      </c>
      <c r="D37">
        <v>-16649</v>
      </c>
      <c r="E37">
        <v>-6168</v>
      </c>
      <c r="F37">
        <v>22506</v>
      </c>
      <c r="G37">
        <v>23155</v>
      </c>
      <c r="H37">
        <v>23070</v>
      </c>
      <c r="I37">
        <v>23070</v>
      </c>
      <c r="J37">
        <v>22450</v>
      </c>
      <c r="K37">
        <v>20886</v>
      </c>
      <c r="L37">
        <v>20736</v>
      </c>
      <c r="M37">
        <v>20142</v>
      </c>
      <c r="N37">
        <v>19965</v>
      </c>
      <c r="O37">
        <v>8381</v>
      </c>
      <c r="P37">
        <v>8665</v>
      </c>
      <c r="Q37">
        <v>9333</v>
      </c>
      <c r="R37">
        <v>9523</v>
      </c>
      <c r="S37">
        <v>-15745</v>
      </c>
      <c r="T37">
        <v>-5093</v>
      </c>
      <c r="U37" s="50">
        <v>14629</v>
      </c>
      <c r="V37" s="50">
        <v>13892</v>
      </c>
      <c r="W37" s="50">
        <v>13846</v>
      </c>
      <c r="X37" s="50">
        <v>17746</v>
      </c>
      <c r="Y37" s="50">
        <v>18129</v>
      </c>
      <c r="Z37" s="50">
        <v>5338</v>
      </c>
      <c r="AA37" s="50">
        <v>5091</v>
      </c>
      <c r="AB37" s="50">
        <v>5960</v>
      </c>
      <c r="AC37" s="50">
        <v>-15481</v>
      </c>
      <c r="AD37" s="50">
        <v>-15167</v>
      </c>
      <c r="AE37" s="50">
        <v>-15522</v>
      </c>
      <c r="AF37" s="50">
        <v>-20625</v>
      </c>
      <c r="AG37" s="50">
        <v>-19530</v>
      </c>
      <c r="AH37" s="50">
        <v>-20094</v>
      </c>
      <c r="AI37" s="50">
        <v>-9988</v>
      </c>
      <c r="AJ37" s="50">
        <v>-10394</v>
      </c>
      <c r="AK37" s="50">
        <v>-11956</v>
      </c>
      <c r="AL37" s="50">
        <v>-9896</v>
      </c>
    </row>
    <row r="38" spans="1:38" ht="16">
      <c r="A38" t="s">
        <v>307</v>
      </c>
      <c r="B38">
        <v>-26544</v>
      </c>
      <c r="C38">
        <v>-24326</v>
      </c>
      <c r="D38">
        <v>-24343</v>
      </c>
      <c r="E38">
        <v>-26251</v>
      </c>
      <c r="F38">
        <v>-24028</v>
      </c>
      <c r="G38">
        <v>-23399</v>
      </c>
      <c r="H38">
        <v>-23345</v>
      </c>
      <c r="I38">
        <v>-23690</v>
      </c>
      <c r="J38">
        <v>-23492</v>
      </c>
      <c r="K38">
        <v>-26144</v>
      </c>
      <c r="L38">
        <v>-26161</v>
      </c>
      <c r="M38">
        <v>-25893</v>
      </c>
      <c r="N38">
        <v>-25891</v>
      </c>
      <c r="O38">
        <v>-17537</v>
      </c>
      <c r="P38">
        <v>-17554</v>
      </c>
      <c r="Q38">
        <v>-16593</v>
      </c>
      <c r="R38">
        <v>-16580</v>
      </c>
      <c r="S38">
        <v>17763</v>
      </c>
      <c r="T38">
        <v>14169</v>
      </c>
      <c r="U38" s="50">
        <v>14380</v>
      </c>
      <c r="V38" s="50">
        <v>13751</v>
      </c>
      <c r="W38" s="50">
        <v>13670</v>
      </c>
      <c r="X38" s="50">
        <v>24787</v>
      </c>
      <c r="Y38" s="50">
        <v>24724</v>
      </c>
      <c r="Z38" s="50">
        <v>-26478</v>
      </c>
      <c r="AA38" s="50">
        <v>-25885</v>
      </c>
      <c r="AB38" s="50">
        <v>-25982</v>
      </c>
      <c r="AC38" s="50">
        <v>11464</v>
      </c>
      <c r="AD38" s="50">
        <v>11324</v>
      </c>
      <c r="AE38" s="50">
        <v>12294</v>
      </c>
      <c r="AF38" s="50">
        <v>-14564</v>
      </c>
      <c r="AG38" s="50">
        <v>-19423</v>
      </c>
      <c r="AH38" s="50">
        <v>-19877</v>
      </c>
      <c r="AI38" s="50">
        <v>-28737</v>
      </c>
      <c r="AJ38" s="50">
        <v>-29268</v>
      </c>
      <c r="AK38" s="50">
        <v>-28563</v>
      </c>
      <c r="AL38" s="50">
        <v>-26817</v>
      </c>
    </row>
    <row r="39" spans="1:38" ht="16">
      <c r="A39" t="s">
        <v>308</v>
      </c>
      <c r="B39">
        <v>30</v>
      </c>
      <c r="C39">
        <v>-5</v>
      </c>
      <c r="D39">
        <v>40</v>
      </c>
      <c r="E39">
        <v>47</v>
      </c>
      <c r="F39">
        <v>-21</v>
      </c>
      <c r="G39">
        <v>-22</v>
      </c>
      <c r="H39">
        <v>-22</v>
      </c>
      <c r="I39">
        <v>-19</v>
      </c>
      <c r="J39">
        <v>-18</v>
      </c>
      <c r="K39">
        <v>-28</v>
      </c>
      <c r="L39">
        <v>-28</v>
      </c>
      <c r="M39">
        <v>-23</v>
      </c>
      <c r="N39">
        <v>-23</v>
      </c>
      <c r="O39">
        <v>20</v>
      </c>
      <c r="P39">
        <v>20</v>
      </c>
      <c r="Q39">
        <v>26</v>
      </c>
      <c r="R39">
        <v>26</v>
      </c>
      <c r="S39">
        <v>65</v>
      </c>
      <c r="T39">
        <v>74</v>
      </c>
      <c r="U39" s="50">
        <v>57</v>
      </c>
      <c r="V39" s="50">
        <v>58</v>
      </c>
      <c r="W39" s="50">
        <v>58</v>
      </c>
      <c r="X39" s="50">
        <v>36</v>
      </c>
      <c r="Y39" s="50">
        <v>32</v>
      </c>
      <c r="Z39" s="50">
        <v>39</v>
      </c>
      <c r="AA39" s="50">
        <v>41</v>
      </c>
      <c r="AB39" s="50">
        <v>36</v>
      </c>
      <c r="AC39" s="50">
        <v>68</v>
      </c>
      <c r="AD39" s="50">
        <v>67</v>
      </c>
      <c r="AE39" s="50">
        <v>68</v>
      </c>
      <c r="AF39" s="50">
        <v>4</v>
      </c>
      <c r="AG39" s="50">
        <v>8</v>
      </c>
      <c r="AH39" s="50">
        <v>3</v>
      </c>
      <c r="AI39" s="50">
        <v>48</v>
      </c>
      <c r="AJ39" s="50">
        <v>50</v>
      </c>
      <c r="AK39" s="50">
        <v>40</v>
      </c>
      <c r="AL39" s="50">
        <v>47</v>
      </c>
    </row>
    <row r="40" spans="1:38" ht="16">
      <c r="A40" t="s">
        <v>309</v>
      </c>
      <c r="B40" s="51" t="s">
        <v>310</v>
      </c>
      <c r="C40" s="51" t="s">
        <v>311</v>
      </c>
      <c r="D40" s="51" t="s">
        <v>312</v>
      </c>
      <c r="E40" s="51" t="s">
        <v>313</v>
      </c>
      <c r="F40" s="51" t="s">
        <v>314</v>
      </c>
      <c r="G40" s="51" t="s">
        <v>315</v>
      </c>
      <c r="H40" s="51" t="s">
        <v>316</v>
      </c>
      <c r="I40" s="51" t="s">
        <v>317</v>
      </c>
      <c r="J40" s="51" t="s">
        <v>317</v>
      </c>
      <c r="K40" s="51" t="s">
        <v>318</v>
      </c>
      <c r="L40" s="51" t="s">
        <v>319</v>
      </c>
      <c r="M40" s="51" t="s">
        <v>320</v>
      </c>
      <c r="N40" s="51" t="s">
        <v>319</v>
      </c>
      <c r="O40" s="51" t="s">
        <v>321</v>
      </c>
      <c r="P40" s="51" t="s">
        <v>321</v>
      </c>
      <c r="Q40" s="51" t="s">
        <v>321</v>
      </c>
      <c r="R40" s="51" t="s">
        <v>321</v>
      </c>
      <c r="S40" s="51" t="s">
        <v>322</v>
      </c>
      <c r="T40" s="51" t="s">
        <v>323</v>
      </c>
      <c r="U40" s="50" t="s">
        <v>324</v>
      </c>
      <c r="V40" s="50" t="s">
        <v>325</v>
      </c>
      <c r="W40" s="50" t="s">
        <v>326</v>
      </c>
      <c r="X40" s="50" t="s">
        <v>327</v>
      </c>
      <c r="Y40" s="50" t="s">
        <v>327</v>
      </c>
      <c r="Z40" s="50" t="s">
        <v>328</v>
      </c>
      <c r="AA40" s="50" t="s">
        <v>328</v>
      </c>
      <c r="AB40" s="50" t="s">
        <v>328</v>
      </c>
      <c r="AC40" s="50" t="s">
        <v>329</v>
      </c>
      <c r="AD40" s="50" t="s">
        <v>329</v>
      </c>
      <c r="AE40" s="50" t="s">
        <v>329</v>
      </c>
      <c r="AF40" s="50" t="s">
        <v>330</v>
      </c>
      <c r="AG40" s="50" t="s">
        <v>331</v>
      </c>
      <c r="AH40" s="50" t="s">
        <v>331</v>
      </c>
      <c r="AI40" s="50" t="s">
        <v>332</v>
      </c>
      <c r="AJ40" s="50" t="s">
        <v>332</v>
      </c>
      <c r="AK40" s="50" t="s">
        <v>332</v>
      </c>
      <c r="AL40" s="50" t="s">
        <v>333</v>
      </c>
    </row>
    <row r="41" spans="1:38" ht="16">
      <c r="A41" t="s">
        <v>334</v>
      </c>
      <c r="B41" s="51">
        <v>1</v>
      </c>
      <c r="C41" s="51">
        <v>10</v>
      </c>
      <c r="D41" s="51">
        <v>17</v>
      </c>
      <c r="E41" s="51">
        <v>22</v>
      </c>
      <c r="F41" s="51">
        <v>26</v>
      </c>
      <c r="G41" s="51">
        <v>28</v>
      </c>
      <c r="H41" s="51">
        <v>29</v>
      </c>
      <c r="I41" s="51">
        <v>30</v>
      </c>
      <c r="J41" s="51">
        <v>31</v>
      </c>
      <c r="K41" s="51">
        <v>34</v>
      </c>
      <c r="L41" s="51">
        <v>35</v>
      </c>
      <c r="M41" s="51">
        <v>36</v>
      </c>
      <c r="N41">
        <v>37</v>
      </c>
      <c r="O41">
        <v>41</v>
      </c>
      <c r="P41">
        <v>42</v>
      </c>
      <c r="Q41">
        <v>43</v>
      </c>
      <c r="R41">
        <v>44</v>
      </c>
      <c r="S41">
        <v>49</v>
      </c>
      <c r="T41">
        <v>55</v>
      </c>
      <c r="U41" s="50">
        <v>1</v>
      </c>
      <c r="V41" s="50">
        <v>2</v>
      </c>
      <c r="W41" s="50">
        <v>3</v>
      </c>
      <c r="X41" s="50">
        <v>9</v>
      </c>
      <c r="Y41" s="50">
        <v>10</v>
      </c>
      <c r="Z41" s="50">
        <v>15</v>
      </c>
      <c r="AA41" s="50">
        <v>16</v>
      </c>
      <c r="AB41" s="50">
        <v>17</v>
      </c>
      <c r="AC41" s="50">
        <v>25</v>
      </c>
      <c r="AD41" s="50">
        <v>26</v>
      </c>
      <c r="AE41" s="50">
        <v>29</v>
      </c>
      <c r="AF41" s="50">
        <v>38</v>
      </c>
      <c r="AG41" s="50">
        <v>41</v>
      </c>
      <c r="AH41" s="50">
        <v>42</v>
      </c>
      <c r="AI41" s="50">
        <v>46</v>
      </c>
      <c r="AJ41" s="50">
        <v>47</v>
      </c>
      <c r="AK41" s="50">
        <v>51</v>
      </c>
      <c r="AL41" s="50">
        <v>57</v>
      </c>
    </row>
    <row r="42" spans="1:38" ht="16">
      <c r="A42" t="s">
        <v>335</v>
      </c>
      <c r="B42" s="51">
        <v>41977.412175925929</v>
      </c>
      <c r="C42" s="51">
        <v>41977.47729166667</v>
      </c>
      <c r="D42" s="51">
        <v>41977.545312499999</v>
      </c>
      <c r="E42" s="51">
        <v>41977.55736111111</v>
      </c>
      <c r="F42" s="51">
        <v>41977.567094907405</v>
      </c>
      <c r="G42" s="51">
        <v>41977.571863425925</v>
      </c>
      <c r="H42" s="51">
        <v>41977.574293981481</v>
      </c>
      <c r="I42" s="51">
        <v>41977.576701388891</v>
      </c>
      <c r="J42" s="51">
        <v>41977.57912037037</v>
      </c>
      <c r="K42" s="51">
        <v>41977.586342592593</v>
      </c>
      <c r="L42" s="51">
        <v>41977.588750000003</v>
      </c>
      <c r="M42" s="51">
        <v>41977.591122685182</v>
      </c>
      <c r="N42" s="51">
        <v>41977.593541666669</v>
      </c>
      <c r="O42" s="51">
        <v>41977.603379629632</v>
      </c>
      <c r="P42" s="51">
        <v>41977.605810185189</v>
      </c>
      <c r="Q42" s="51">
        <v>41977.608240740738</v>
      </c>
      <c r="R42" s="51">
        <v>41977.610648148147</v>
      </c>
      <c r="S42" s="51">
        <v>41977.63108796296</v>
      </c>
      <c r="T42" s="51">
        <v>41977.664849537039</v>
      </c>
      <c r="U42" s="50">
        <v>41978.410567129627</v>
      </c>
      <c r="V42" s="50">
        <v>41978.416018518517</v>
      </c>
      <c r="W42" s="50">
        <v>41978.419756944444</v>
      </c>
      <c r="X42" s="50">
        <v>41978.442881944444</v>
      </c>
      <c r="Y42" s="50">
        <v>41978.446180555555</v>
      </c>
      <c r="Z42" s="50">
        <v>41978.504120370373</v>
      </c>
      <c r="AA42" s="50">
        <v>41978.506493055553</v>
      </c>
      <c r="AB42" s="50">
        <v>41978.508877314816</v>
      </c>
      <c r="AC42" s="50">
        <v>41978.527881944443</v>
      </c>
      <c r="AD42" s="50">
        <v>41978.530231481483</v>
      </c>
      <c r="AE42" s="50">
        <v>41978.53738425926</v>
      </c>
      <c r="AF42" s="50">
        <v>41978.64203703704</v>
      </c>
      <c r="AG42" s="50">
        <v>41978.649143518516</v>
      </c>
      <c r="AH42" s="50">
        <v>41978.651504629626</v>
      </c>
      <c r="AI42" s="50">
        <v>41978.660914351851</v>
      </c>
      <c r="AJ42" s="50">
        <v>41978.663252314815</v>
      </c>
      <c r="AK42" s="50">
        <v>41978.672569444447</v>
      </c>
      <c r="AL42" s="50">
        <v>41978.686620370368</v>
      </c>
    </row>
  </sheetData>
  <phoneticPr fontId="2"/>
  <pageMargins left="0.78740157499999996" right="0.78740157499999996" top="0.984251969" bottom="0.984251969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0"/>
  <sheetViews>
    <sheetView topLeftCell="A108" workbookViewId="0">
      <selection activeCell="C140" sqref="C140"/>
    </sheetView>
  </sheetViews>
  <sheetFormatPr baseColWidth="10" defaultRowHeight="13"/>
  <cols>
    <col min="1" max="1" width="38.19921875" style="1" customWidth="1"/>
    <col min="2" max="25" width="11" style="2" customWidth="1"/>
    <col min="26" max="28" width="11" style="1" customWidth="1"/>
  </cols>
  <sheetData>
    <row r="1" spans="1:4">
      <c r="A1" s="1" t="s">
        <v>15</v>
      </c>
    </row>
    <row r="3" spans="1:4">
      <c r="B3" s="2" t="s">
        <v>111</v>
      </c>
      <c r="C3" s="2" t="s">
        <v>81</v>
      </c>
      <c r="D3" s="2" t="s">
        <v>112</v>
      </c>
    </row>
    <row r="4" spans="1:4">
      <c r="A4" s="1" t="s">
        <v>274</v>
      </c>
      <c r="B4" s="2">
        <v>60.08</v>
      </c>
      <c r="C4" s="2">
        <v>1</v>
      </c>
      <c r="D4" s="2">
        <v>4</v>
      </c>
    </row>
    <row r="5" spans="1:4">
      <c r="A5" s="1" t="s">
        <v>109</v>
      </c>
      <c r="B5" s="2">
        <v>79.900000000000006</v>
      </c>
      <c r="C5" s="2">
        <v>1</v>
      </c>
      <c r="D5" s="2">
        <v>4</v>
      </c>
    </row>
    <row r="6" spans="1:4">
      <c r="A6" s="1" t="s">
        <v>113</v>
      </c>
      <c r="B6" s="2">
        <v>151.99080000000001</v>
      </c>
      <c r="C6" s="2">
        <v>2</v>
      </c>
      <c r="D6" s="2">
        <v>3</v>
      </c>
    </row>
    <row r="7" spans="1:4">
      <c r="A7" s="1" t="s">
        <v>105</v>
      </c>
      <c r="B7" s="2">
        <v>101.94</v>
      </c>
      <c r="C7" s="2">
        <v>2</v>
      </c>
      <c r="D7" s="2">
        <v>3</v>
      </c>
    </row>
    <row r="8" spans="1:4">
      <c r="A8" s="1" t="s">
        <v>104</v>
      </c>
      <c r="B8" s="2">
        <v>71.849999999999994</v>
      </c>
      <c r="C8" s="2">
        <v>1</v>
      </c>
      <c r="D8" s="2">
        <v>2</v>
      </c>
    </row>
    <row r="9" spans="1:4">
      <c r="A9" s="1" t="s">
        <v>107</v>
      </c>
      <c r="B9" s="2">
        <v>70.936999999999998</v>
      </c>
      <c r="C9" s="2">
        <v>1</v>
      </c>
      <c r="D9" s="2">
        <v>2</v>
      </c>
    </row>
    <row r="10" spans="1:4">
      <c r="A10" s="1" t="s">
        <v>114</v>
      </c>
      <c r="B10" s="2">
        <v>74.709400000000002</v>
      </c>
      <c r="C10" s="2">
        <v>1</v>
      </c>
      <c r="D10" s="2">
        <v>2</v>
      </c>
    </row>
    <row r="11" spans="1:4">
      <c r="A11" s="1" t="s">
        <v>106</v>
      </c>
      <c r="B11" s="2">
        <v>40.31</v>
      </c>
      <c r="C11" s="2">
        <v>1</v>
      </c>
      <c r="D11" s="2">
        <v>2</v>
      </c>
    </row>
    <row r="12" spans="1:4">
      <c r="A12" s="1" t="s">
        <v>108</v>
      </c>
      <c r="B12" s="2">
        <v>56.08</v>
      </c>
      <c r="C12" s="2">
        <v>1</v>
      </c>
      <c r="D12" s="2">
        <v>2</v>
      </c>
    </row>
    <row r="13" spans="1:4">
      <c r="A13" s="1" t="s">
        <v>103</v>
      </c>
      <c r="B13" s="2">
        <v>61.981999999999999</v>
      </c>
      <c r="C13" s="2">
        <v>2</v>
      </c>
      <c r="D13" s="2">
        <v>1</v>
      </c>
    </row>
    <row r="14" spans="1:4">
      <c r="A14" s="1" t="s">
        <v>273</v>
      </c>
      <c r="B14" s="2">
        <v>94.2</v>
      </c>
      <c r="C14" s="2">
        <v>2</v>
      </c>
      <c r="D14" s="2">
        <v>1</v>
      </c>
    </row>
    <row r="15" spans="1:4">
      <c r="A15" s="1" t="s">
        <v>133</v>
      </c>
      <c r="B15" s="2">
        <v>159.691</v>
      </c>
      <c r="C15" s="2">
        <v>2</v>
      </c>
      <c r="D15" s="2">
        <v>3</v>
      </c>
    </row>
    <row r="16" spans="1:4">
      <c r="A16" s="1" t="s">
        <v>85</v>
      </c>
      <c r="B16" s="2">
        <v>18.015339999999998</v>
      </c>
      <c r="C16" s="2">
        <v>2</v>
      </c>
      <c r="D16" s="2">
        <v>0</v>
      </c>
    </row>
    <row r="17" spans="1:25">
      <c r="A17" s="1" t="s">
        <v>86</v>
      </c>
      <c r="B17" s="2">
        <v>18.9984</v>
      </c>
      <c r="C17" s="2">
        <v>1</v>
      </c>
      <c r="D17" s="2">
        <v>0</v>
      </c>
    </row>
    <row r="18" spans="1:25">
      <c r="A18" s="1" t="s">
        <v>87</v>
      </c>
      <c r="B18" s="2">
        <v>35.453000000000003</v>
      </c>
      <c r="C18" s="2">
        <v>1</v>
      </c>
      <c r="D18" s="2">
        <v>0</v>
      </c>
    </row>
    <row r="20" spans="1: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5" s="1" customFormat="1">
      <c r="A21" s="6" t="s">
        <v>82</v>
      </c>
      <c r="B21" s="7" t="str">
        <f>Input!B1</f>
        <v xml:space="preserve">1 / 1 . </v>
      </c>
      <c r="C21" s="7" t="str">
        <f>Input!C1</f>
        <v xml:space="preserve">4 / 1 . </v>
      </c>
      <c r="D21" s="7" t="str">
        <f>Input!D1</f>
        <v xml:space="preserve">5 / 1 . </v>
      </c>
      <c r="E21" s="7" t="str">
        <f>Input!E1</f>
        <v xml:space="preserve">6 / 1 . </v>
      </c>
      <c r="F21" s="7" t="str">
        <f>Input!F1</f>
        <v xml:space="preserve">17 / 1 . </v>
      </c>
      <c r="G21" s="7" t="str">
        <f>Input!G1</f>
        <v xml:space="preserve">18 / 1 . </v>
      </c>
      <c r="H21" s="7" t="str">
        <f>Input!H1</f>
        <v xml:space="preserve">19 / 1 . </v>
      </c>
      <c r="I21" s="7" t="str">
        <f>Input!I1</f>
        <v xml:space="preserve">20 / 1 . </v>
      </c>
      <c r="J21" s="7" t="str">
        <f>Input!J1</f>
        <v xml:space="preserve">26 / 1 . </v>
      </c>
      <c r="K21" s="7" t="str">
        <f>Input!K1</f>
        <v xml:space="preserve">27 / 1 . </v>
      </c>
      <c r="L21" s="7" t="str">
        <f>Input!L1</f>
        <v xml:space="preserve">28 / 1 . </v>
      </c>
      <c r="M21" s="7" t="str">
        <f>Input!M1</f>
        <v xml:space="preserve">33 / 1 . </v>
      </c>
      <c r="N21" s="7" t="str">
        <f>Input!N1</f>
        <v xml:space="preserve">34 / 1 . </v>
      </c>
      <c r="O21" s="7" t="str">
        <f>Input!O1</f>
        <v xml:space="preserve">35 / 1 . </v>
      </c>
      <c r="P21" s="7" t="str">
        <f>Input!P1</f>
        <v xml:space="preserve">43 / 1 . </v>
      </c>
      <c r="Q21" s="7" t="str">
        <f>Input!Q1</f>
        <v xml:space="preserve">44 / 1 . </v>
      </c>
      <c r="R21" s="7" t="str">
        <f>Input!R1</f>
        <v xml:space="preserve">50 / 1 . </v>
      </c>
      <c r="S21" s="7" t="str">
        <f>Input!S1</f>
        <v xml:space="preserve">51 / 1 . </v>
      </c>
      <c r="T21" s="7" t="str">
        <f>Input!T1</f>
        <v xml:space="preserve">52 / 1 . </v>
      </c>
      <c r="U21" s="2"/>
      <c r="V21" s="2"/>
      <c r="W21" s="2"/>
      <c r="X21" s="2"/>
      <c r="Y21" s="2"/>
    </row>
    <row r="22" spans="1:25" s="1" customFormat="1">
      <c r="A22" s="6"/>
      <c r="B22" s="7" t="str">
        <f>Input!B2</f>
        <v>YG182_test amph</v>
      </c>
      <c r="C22" s="7" t="str">
        <f>Input!C2</f>
        <v>YG182_1_AmphC</v>
      </c>
      <c r="D22" s="7" t="str">
        <f>Input!D2</f>
        <v>YG182_1_AmphB</v>
      </c>
      <c r="E22" s="7" t="str">
        <f>Input!E2</f>
        <v>YG182_1_AmphB</v>
      </c>
      <c r="F22" s="7" t="str">
        <f>Input!F2</f>
        <v>YG182_2_AmphC</v>
      </c>
      <c r="G22" s="7" t="str">
        <f>Input!G2</f>
        <v>YG182_2_AmphB</v>
      </c>
      <c r="H22" s="7" t="str">
        <f>Input!H2</f>
        <v>YG182_2_AmphC</v>
      </c>
      <c r="I22" s="7" t="str">
        <f>Input!I2</f>
        <v>YG182_2_AmphB</v>
      </c>
      <c r="J22" s="7" t="str">
        <f>Input!J2</f>
        <v>YG182_3_AmphC</v>
      </c>
      <c r="K22" s="7" t="str">
        <f>Input!K2</f>
        <v>YG182_3_AmphB</v>
      </c>
      <c r="L22" s="7" t="str">
        <f>Input!L2</f>
        <v>YG182_3_AmphB</v>
      </c>
      <c r="M22" s="7" t="str">
        <f>Input!M2</f>
        <v>YG182_4_AmpC</v>
      </c>
      <c r="N22" s="7" t="str">
        <f>Input!N2</f>
        <v>YG182_4_AmpC</v>
      </c>
      <c r="O22" s="7" t="str">
        <f>Input!O2</f>
        <v>YG182_4_AmpB</v>
      </c>
      <c r="P22" s="7" t="str">
        <f>Input!P2</f>
        <v>19NC11C_1_AmphC</v>
      </c>
      <c r="Q22" s="7" t="str">
        <f>Input!Q2</f>
        <v>19NC11C_1_AmphB</v>
      </c>
      <c r="R22" s="7" t="str">
        <f>Input!R2</f>
        <v>19NC11C_2_AmphC</v>
      </c>
      <c r="S22" s="7" t="str">
        <f>Input!S2</f>
        <v>19NC11C_2_AmphB</v>
      </c>
      <c r="T22" s="7" t="str">
        <f>Input!T2</f>
        <v>19NC11C_2_AmphB</v>
      </c>
      <c r="U22" s="2"/>
      <c r="V22" s="2"/>
      <c r="W22" s="2"/>
      <c r="X22" s="2"/>
      <c r="Y22" s="2"/>
    </row>
    <row r="23" spans="1:25" s="1" customFormat="1">
      <c r="A23" s="6" t="s">
        <v>274</v>
      </c>
      <c r="B23" s="7">
        <f>Input!B3</f>
        <v>46.44</v>
      </c>
      <c r="C23" s="7">
        <f>Input!C3</f>
        <v>45.22</v>
      </c>
      <c r="D23" s="7">
        <f>Input!D3</f>
        <v>44.98</v>
      </c>
      <c r="E23" s="7">
        <f>Input!E3</f>
        <v>44.03</v>
      </c>
      <c r="F23" s="7">
        <f>Input!F3</f>
        <v>44.95</v>
      </c>
      <c r="G23" s="7">
        <f>Input!G3</f>
        <v>44.23</v>
      </c>
      <c r="H23" s="7">
        <f>Input!H3</f>
        <v>44.96</v>
      </c>
      <c r="I23" s="7">
        <f>Input!I3</f>
        <v>45.33</v>
      </c>
      <c r="J23" s="7">
        <f>Input!J3</f>
        <v>45.95</v>
      </c>
      <c r="K23" s="7">
        <f>Input!K3</f>
        <v>44.19</v>
      </c>
      <c r="L23" s="7">
        <f>Input!L3</f>
        <v>45.63</v>
      </c>
      <c r="M23" s="7">
        <f>Input!M3</f>
        <v>44.73</v>
      </c>
      <c r="N23" s="7">
        <f>Input!N3</f>
        <v>45.72</v>
      </c>
      <c r="O23" s="7">
        <f>Input!O3</f>
        <v>44.31</v>
      </c>
      <c r="P23" s="7">
        <f>Input!P3</f>
        <v>44.7</v>
      </c>
      <c r="Q23" s="7">
        <f>Input!Q3</f>
        <v>51.09</v>
      </c>
      <c r="R23" s="7">
        <f>Input!R3</f>
        <v>42.91</v>
      </c>
      <c r="S23" s="7">
        <f>Input!S3</f>
        <v>42.89</v>
      </c>
      <c r="T23" s="7">
        <f>Input!T3</f>
        <v>42.61</v>
      </c>
      <c r="U23" s="2"/>
      <c r="V23" s="2"/>
      <c r="W23" s="2"/>
      <c r="X23" s="2"/>
      <c r="Y23" s="2"/>
    </row>
    <row r="24" spans="1:25" s="1" customFormat="1">
      <c r="A24" s="6" t="s">
        <v>109</v>
      </c>
      <c r="B24" s="7">
        <f>Input!B4</f>
        <v>0.44</v>
      </c>
      <c r="C24" s="7">
        <f>Input!C4</f>
        <v>0.55000000000000004</v>
      </c>
      <c r="D24" s="7">
        <f>Input!D4</f>
        <v>0.56999999999999995</v>
      </c>
      <c r="E24" s="7">
        <f>Input!E4</f>
        <v>0.39</v>
      </c>
      <c r="F24" s="7">
        <f>Input!F4</f>
        <v>0.62</v>
      </c>
      <c r="G24" s="7">
        <f>Input!G4</f>
        <v>0.57999999999999996</v>
      </c>
      <c r="H24" s="7">
        <f>Input!H4</f>
        <v>0.6</v>
      </c>
      <c r="I24" s="7">
        <f>Input!I4</f>
        <v>0.61</v>
      </c>
      <c r="J24" s="7">
        <f>Input!J4</f>
        <v>0.49</v>
      </c>
      <c r="K24" s="7">
        <f>Input!K4</f>
        <v>0.44</v>
      </c>
      <c r="L24" s="7">
        <f>Input!L4</f>
        <v>0.6</v>
      </c>
      <c r="M24" s="7">
        <f>Input!M4</f>
        <v>0.63</v>
      </c>
      <c r="N24" s="7">
        <f>Input!N4</f>
        <v>0.63</v>
      </c>
      <c r="O24" s="7">
        <f>Input!O4</f>
        <v>0.79</v>
      </c>
      <c r="P24" s="7">
        <f>Input!P4</f>
        <v>1.37</v>
      </c>
      <c r="Q24" s="7">
        <f>Input!Q4</f>
        <v>0.08</v>
      </c>
      <c r="R24" s="7">
        <f>Input!R4</f>
        <v>1.63</v>
      </c>
      <c r="S24" s="7">
        <f>Input!S4</f>
        <v>1.59</v>
      </c>
      <c r="T24" s="7">
        <f>Input!T4</f>
        <v>1.59</v>
      </c>
      <c r="U24" s="2"/>
      <c r="V24" s="2"/>
      <c r="W24" s="2"/>
      <c r="X24" s="2"/>
      <c r="Y24" s="2"/>
    </row>
    <row r="25" spans="1:25" s="1" customFormat="1">
      <c r="A25" s="6" t="s">
        <v>113</v>
      </c>
      <c r="B25" s="7">
        <f>Input!B5</f>
        <v>0.05</v>
      </c>
      <c r="C25" s="7">
        <f>Input!C5</f>
        <v>0.04</v>
      </c>
      <c r="D25" s="7">
        <f>Input!D5</f>
        <v>0.03</v>
      </c>
      <c r="E25" s="7">
        <f>Input!E5</f>
        <v>0.05</v>
      </c>
      <c r="F25" s="7">
        <f>Input!F5</f>
        <v>0.03</v>
      </c>
      <c r="G25" s="7">
        <f>Input!G5</f>
        <v>0.02</v>
      </c>
      <c r="H25" s="7">
        <f>Input!H5</f>
        <v>7.0000000000000007E-2</v>
      </c>
      <c r="I25" s="7">
        <f>Input!I5</f>
        <v>0.05</v>
      </c>
      <c r="J25" s="7">
        <f>Input!J5</f>
        <v>0.06</v>
      </c>
      <c r="K25" s="7">
        <f>Input!K5</f>
        <v>0.01</v>
      </c>
      <c r="L25" s="7">
        <f>Input!L5</f>
        <v>0.05</v>
      </c>
      <c r="M25" s="7">
        <f>Input!M5</f>
        <v>0.04</v>
      </c>
      <c r="N25" s="7">
        <f>Input!N5</f>
        <v>0.06</v>
      </c>
      <c r="O25" s="7">
        <f>Input!O5</f>
        <v>0.04</v>
      </c>
      <c r="P25" s="7">
        <f>Input!P5</f>
        <v>0.09</v>
      </c>
      <c r="Q25" s="7">
        <f>Input!Q5</f>
        <v>0.02</v>
      </c>
      <c r="R25" s="7">
        <f>Input!R5</f>
        <v>0.11</v>
      </c>
      <c r="S25" s="7">
        <f>Input!S5</f>
        <v>0.11</v>
      </c>
      <c r="T25" s="7">
        <f>Input!T5</f>
        <v>0.1</v>
      </c>
      <c r="U25" s="2"/>
      <c r="V25" s="2"/>
      <c r="W25" s="2"/>
      <c r="X25" s="2"/>
      <c r="Y25" s="2"/>
    </row>
    <row r="26" spans="1:25" s="1" customFormat="1">
      <c r="A26" s="6" t="s">
        <v>105</v>
      </c>
      <c r="B26" s="7">
        <f>Input!B6</f>
        <v>9.56</v>
      </c>
      <c r="C26" s="7">
        <f>Input!C6</f>
        <v>11.21</v>
      </c>
      <c r="D26" s="7">
        <f>Input!D6</f>
        <v>11.78</v>
      </c>
      <c r="E26" s="7">
        <f>Input!E6</f>
        <v>11.73</v>
      </c>
      <c r="F26" s="7">
        <f>Input!F6</f>
        <v>11.48</v>
      </c>
      <c r="G26" s="7">
        <f>Input!G6</f>
        <v>11.91</v>
      </c>
      <c r="H26" s="7">
        <f>Input!H6</f>
        <v>11.54</v>
      </c>
      <c r="I26" s="7">
        <f>Input!I6</f>
        <v>11.44</v>
      </c>
      <c r="J26" s="7">
        <f>Input!J6</f>
        <v>10.87</v>
      </c>
      <c r="K26" s="7">
        <f>Input!K6</f>
        <v>9.27</v>
      </c>
      <c r="L26" s="7">
        <f>Input!L6</f>
        <v>11.37</v>
      </c>
      <c r="M26" s="7">
        <f>Input!M6</f>
        <v>11.74</v>
      </c>
      <c r="N26" s="7">
        <f>Input!N6</f>
        <v>11.6</v>
      </c>
      <c r="O26" s="7">
        <f>Input!O6</f>
        <v>12.23</v>
      </c>
      <c r="P26" s="7">
        <f>Input!P6</f>
        <v>9.49</v>
      </c>
      <c r="Q26" s="7">
        <f>Input!Q6</f>
        <v>4.8099999999999996</v>
      </c>
      <c r="R26" s="7">
        <f>Input!R6</f>
        <v>11.31</v>
      </c>
      <c r="S26" s="7">
        <f>Input!S6</f>
        <v>11.45</v>
      </c>
      <c r="T26" s="7">
        <f>Input!T6</f>
        <v>11.29</v>
      </c>
      <c r="U26" s="2"/>
      <c r="V26" s="2"/>
      <c r="W26" s="2"/>
      <c r="X26" s="2"/>
      <c r="Y26" s="2"/>
    </row>
    <row r="27" spans="1:25" s="1" customFormat="1">
      <c r="A27" s="6" t="s">
        <v>104</v>
      </c>
      <c r="B27" s="7">
        <f>Input!B7</f>
        <v>13.78</v>
      </c>
      <c r="C27" s="7">
        <f>Input!C7</f>
        <v>13.44</v>
      </c>
      <c r="D27" s="7">
        <f>Input!D7</f>
        <v>14.5</v>
      </c>
      <c r="E27" s="7">
        <f>Input!E7</f>
        <v>14.61</v>
      </c>
      <c r="F27" s="7">
        <f>Input!F7</f>
        <v>13.9</v>
      </c>
      <c r="G27" s="7">
        <f>Input!G7</f>
        <v>14.65</v>
      </c>
      <c r="H27" s="7">
        <f>Input!H7</f>
        <v>13.48</v>
      </c>
      <c r="I27" s="7">
        <f>Input!I7</f>
        <v>14.11</v>
      </c>
      <c r="J27" s="7">
        <f>Input!J7</f>
        <v>13.8</v>
      </c>
      <c r="K27" s="7">
        <f>Input!K7</f>
        <v>14.59</v>
      </c>
      <c r="L27" s="7">
        <f>Input!L7</f>
        <v>13.72</v>
      </c>
      <c r="M27" s="7">
        <f>Input!M7</f>
        <v>13.89</v>
      </c>
      <c r="N27" s="7">
        <f>Input!N7</f>
        <v>13.89</v>
      </c>
      <c r="O27" s="7">
        <f>Input!O7</f>
        <v>14.45</v>
      </c>
      <c r="P27" s="7">
        <f>Input!P7</f>
        <v>13.43</v>
      </c>
      <c r="Q27" s="7">
        <f>Input!Q7</f>
        <v>10.050000000000001</v>
      </c>
      <c r="R27" s="7">
        <f>Input!R7</f>
        <v>14.33</v>
      </c>
      <c r="S27" s="7">
        <f>Input!S7</f>
        <v>14.27</v>
      </c>
      <c r="T27" s="7">
        <f>Input!T7</f>
        <v>14.68</v>
      </c>
      <c r="U27" s="2"/>
      <c r="V27" s="2"/>
      <c r="W27" s="2"/>
      <c r="X27" s="2"/>
      <c r="Y27" s="2"/>
    </row>
    <row r="28" spans="1:25" s="1" customFormat="1">
      <c r="A28" s="6" t="s">
        <v>107</v>
      </c>
      <c r="B28" s="7">
        <f>Input!B8</f>
        <v>0.68</v>
      </c>
      <c r="C28" s="7">
        <f>Input!C8</f>
        <v>0.84</v>
      </c>
      <c r="D28" s="7">
        <f>Input!D8</f>
        <v>1.01</v>
      </c>
      <c r="E28" s="7">
        <f>Input!E8</f>
        <v>1.1100000000000001</v>
      </c>
      <c r="F28" s="7">
        <f>Input!F8</f>
        <v>0.85</v>
      </c>
      <c r="G28" s="7">
        <f>Input!G8</f>
        <v>0.84</v>
      </c>
      <c r="H28" s="7">
        <f>Input!H8</f>
        <v>0.81</v>
      </c>
      <c r="I28" s="7">
        <f>Input!I8</f>
        <v>0.85</v>
      </c>
      <c r="J28" s="7">
        <f>Input!J8</f>
        <v>0.89</v>
      </c>
      <c r="K28" s="7">
        <f>Input!K8</f>
        <v>0.89</v>
      </c>
      <c r="L28" s="7">
        <f>Input!L8</f>
        <v>0.9</v>
      </c>
      <c r="M28" s="7">
        <f>Input!M8</f>
        <v>0.77</v>
      </c>
      <c r="N28" s="7">
        <f>Input!N8</f>
        <v>0.69</v>
      </c>
      <c r="O28" s="7">
        <f>Input!O8</f>
        <v>0.7</v>
      </c>
      <c r="P28" s="7">
        <f>Input!P8</f>
        <v>0.22</v>
      </c>
      <c r="Q28" s="7">
        <f>Input!Q8</f>
        <v>0.23</v>
      </c>
      <c r="R28" s="7">
        <f>Input!R8</f>
        <v>0.18</v>
      </c>
      <c r="S28" s="7">
        <f>Input!S8</f>
        <v>0.2</v>
      </c>
      <c r="T28" s="7">
        <f>Input!T8</f>
        <v>0.21</v>
      </c>
      <c r="U28" s="2"/>
      <c r="V28" s="2"/>
      <c r="W28" s="2"/>
      <c r="X28" s="2"/>
      <c r="Y28" s="2"/>
    </row>
    <row r="29" spans="1:25" s="1" customFormat="1">
      <c r="A29" s="6" t="s">
        <v>114</v>
      </c>
      <c r="B29" s="7">
        <f>Input!B9</f>
        <v>0.03</v>
      </c>
      <c r="C29" s="7">
        <f>Input!C9</f>
        <v>0</v>
      </c>
      <c r="D29" s="7">
        <f>Input!D9</f>
        <v>0</v>
      </c>
      <c r="E29" s="7">
        <f>Input!E9</f>
        <v>0.03</v>
      </c>
      <c r="F29" s="7">
        <f>Input!F9</f>
        <v>0</v>
      </c>
      <c r="G29" s="7">
        <f>Input!G9</f>
        <v>0</v>
      </c>
      <c r="H29" s="7">
        <f>Input!H9</f>
        <v>0</v>
      </c>
      <c r="I29" s="7">
        <f>Input!I9</f>
        <v>0</v>
      </c>
      <c r="J29" s="7">
        <f>Input!J9</f>
        <v>0</v>
      </c>
      <c r="K29" s="7">
        <f>Input!K9</f>
        <v>0</v>
      </c>
      <c r="L29" s="7">
        <f>Input!L9</f>
        <v>0</v>
      </c>
      <c r="M29" s="7">
        <f>Input!M9</f>
        <v>0</v>
      </c>
      <c r="N29" s="7">
        <f>Input!N9</f>
        <v>0</v>
      </c>
      <c r="O29" s="7">
        <f>Input!O9</f>
        <v>0</v>
      </c>
      <c r="P29" s="7">
        <f>Input!P9</f>
        <v>0</v>
      </c>
      <c r="Q29" s="7">
        <f>Input!Q9</f>
        <v>0</v>
      </c>
      <c r="R29" s="7">
        <f>Input!R9</f>
        <v>0</v>
      </c>
      <c r="S29" s="7">
        <f>Input!S9</f>
        <v>0</v>
      </c>
      <c r="T29" s="7">
        <f>Input!T9</f>
        <v>0</v>
      </c>
      <c r="U29" s="2"/>
      <c r="V29" s="2"/>
      <c r="W29" s="2"/>
      <c r="X29" s="2"/>
      <c r="Y29" s="2"/>
    </row>
    <row r="30" spans="1:25" s="1" customFormat="1">
      <c r="A30" s="6" t="s">
        <v>106</v>
      </c>
      <c r="B30" s="7">
        <f>Input!B10</f>
        <v>12.46</v>
      </c>
      <c r="C30" s="7">
        <f>Input!C10</f>
        <v>13</v>
      </c>
      <c r="D30" s="7">
        <f>Input!D10</f>
        <v>12.06</v>
      </c>
      <c r="E30" s="7">
        <f>Input!E10</f>
        <v>11.98</v>
      </c>
      <c r="F30" s="7">
        <f>Input!F10</f>
        <v>12.24</v>
      </c>
      <c r="G30" s="7">
        <f>Input!G10</f>
        <v>11.92</v>
      </c>
      <c r="H30" s="7">
        <f>Input!H10</f>
        <v>12.39</v>
      </c>
      <c r="I30" s="7">
        <f>Input!I10</f>
        <v>12.42</v>
      </c>
      <c r="J30" s="7">
        <f>Input!J10</f>
        <v>12.84</v>
      </c>
      <c r="K30" s="7">
        <f>Input!K10</f>
        <v>11.1</v>
      </c>
      <c r="L30" s="7">
        <f>Input!L10</f>
        <v>12.84</v>
      </c>
      <c r="M30" s="7">
        <f>Input!M10</f>
        <v>12.18</v>
      </c>
      <c r="N30" s="7">
        <f>Input!N10</f>
        <v>11.8</v>
      </c>
      <c r="O30" s="7">
        <f>Input!O10</f>
        <v>12.09</v>
      </c>
      <c r="P30" s="7">
        <f>Input!P10</f>
        <v>12.36</v>
      </c>
      <c r="Q30" s="7">
        <f>Input!Q10</f>
        <v>16.41</v>
      </c>
      <c r="R30" s="7">
        <f>Input!R10</f>
        <v>11.66</v>
      </c>
      <c r="S30" s="7">
        <f>Input!S10</f>
        <v>11.64</v>
      </c>
      <c r="T30" s="7">
        <f>Input!T10</f>
        <v>11.74</v>
      </c>
      <c r="U30" s="2"/>
      <c r="V30" s="2"/>
      <c r="W30" s="2"/>
      <c r="X30" s="2"/>
      <c r="Y30" s="2"/>
    </row>
    <row r="31" spans="1:25" s="1" customFormat="1">
      <c r="A31" s="6" t="s">
        <v>108</v>
      </c>
      <c r="B31" s="7">
        <f>Input!B11</f>
        <v>10.49</v>
      </c>
      <c r="C31" s="7">
        <f>Input!C11</f>
        <v>10.53</v>
      </c>
      <c r="D31" s="7">
        <f>Input!D11</f>
        <v>10.55</v>
      </c>
      <c r="E31" s="7">
        <f>Input!E11</f>
        <v>10</v>
      </c>
      <c r="F31" s="7">
        <f>Input!F11</f>
        <v>10.87</v>
      </c>
      <c r="G31" s="7">
        <f>Input!G11</f>
        <v>10.94</v>
      </c>
      <c r="H31" s="7">
        <f>Input!H11</f>
        <v>11.02</v>
      </c>
      <c r="I31" s="7">
        <f>Input!I11</f>
        <v>10.81</v>
      </c>
      <c r="J31" s="7">
        <f>Input!J11</f>
        <v>10.26</v>
      </c>
      <c r="K31" s="7">
        <f>Input!K11</f>
        <v>10.35</v>
      </c>
      <c r="L31" s="7">
        <f>Input!L11</f>
        <v>10.48</v>
      </c>
      <c r="M31" s="7">
        <f>Input!M11</f>
        <v>10.81</v>
      </c>
      <c r="N31" s="7">
        <f>Input!N11</f>
        <v>10.39</v>
      </c>
      <c r="O31" s="7">
        <f>Input!O11</f>
        <v>10.85</v>
      </c>
      <c r="P31" s="7">
        <f>Input!P11</f>
        <v>12.13</v>
      </c>
      <c r="Q31" s="7">
        <f>Input!Q11</f>
        <v>12.64</v>
      </c>
      <c r="R31" s="7">
        <f>Input!R11</f>
        <v>11.95</v>
      </c>
      <c r="S31" s="7">
        <f>Input!S11</f>
        <v>12.03</v>
      </c>
      <c r="T31" s="7">
        <f>Input!T11</f>
        <v>12.07</v>
      </c>
      <c r="U31" s="2"/>
      <c r="V31" s="2"/>
      <c r="W31" s="2"/>
      <c r="X31" s="2"/>
      <c r="Y31" s="2"/>
    </row>
    <row r="32" spans="1:25" s="1" customFormat="1">
      <c r="A32" s="6" t="s">
        <v>103</v>
      </c>
      <c r="B32" s="7">
        <f>Input!B12</f>
        <v>1.35</v>
      </c>
      <c r="C32" s="7">
        <f>Input!C12</f>
        <v>1.4</v>
      </c>
      <c r="D32" s="7">
        <f>Input!D12</f>
        <v>1.51</v>
      </c>
      <c r="E32" s="7">
        <f>Input!E12</f>
        <v>1.39</v>
      </c>
      <c r="F32" s="7">
        <f>Input!F12</f>
        <v>1.39</v>
      </c>
      <c r="G32" s="7">
        <f>Input!G12</f>
        <v>1.47</v>
      </c>
      <c r="H32" s="7">
        <f>Input!H12</f>
        <v>1.37</v>
      </c>
      <c r="I32" s="7">
        <f>Input!I12</f>
        <v>1.41</v>
      </c>
      <c r="J32" s="7">
        <f>Input!J12</f>
        <v>1.41</v>
      </c>
      <c r="K32" s="7">
        <f>Input!K12</f>
        <v>1.29</v>
      </c>
      <c r="L32" s="7">
        <f>Input!L12</f>
        <v>1.53</v>
      </c>
      <c r="M32" s="7">
        <f>Input!M12</f>
        <v>1.45</v>
      </c>
      <c r="N32" s="7">
        <f>Input!N12</f>
        <v>1.63</v>
      </c>
      <c r="O32" s="7">
        <f>Input!O12</f>
        <v>1.51</v>
      </c>
      <c r="P32" s="7">
        <f>Input!P12</f>
        <v>1.38</v>
      </c>
      <c r="Q32" s="7">
        <f>Input!Q12</f>
        <v>0.74</v>
      </c>
      <c r="R32" s="7">
        <f>Input!R12</f>
        <v>1.67</v>
      </c>
      <c r="S32" s="7">
        <f>Input!S12</f>
        <v>1.57</v>
      </c>
      <c r="T32" s="7">
        <f>Input!T12</f>
        <v>1.6</v>
      </c>
      <c r="U32" s="2"/>
      <c r="V32" s="2"/>
      <c r="W32" s="2"/>
      <c r="X32" s="2"/>
      <c r="Y32" s="2"/>
    </row>
    <row r="33" spans="1:32" s="1" customFormat="1">
      <c r="A33" s="6" t="s">
        <v>273</v>
      </c>
      <c r="B33" s="7">
        <f>Input!B13</f>
        <v>0.24</v>
      </c>
      <c r="C33" s="7">
        <f>Input!C13</f>
        <v>0.14000000000000001</v>
      </c>
      <c r="D33" s="7">
        <f>Input!D13</f>
        <v>0.27</v>
      </c>
      <c r="E33" s="7">
        <f>Input!E13</f>
        <v>0.25</v>
      </c>
      <c r="F33" s="7">
        <f>Input!F13</f>
        <v>0.34</v>
      </c>
      <c r="G33" s="7">
        <f>Input!G13</f>
        <v>0.26</v>
      </c>
      <c r="H33" s="7">
        <f>Input!H13</f>
        <v>0.21</v>
      </c>
      <c r="I33" s="7">
        <f>Input!I13</f>
        <v>0.23</v>
      </c>
      <c r="J33" s="7">
        <f>Input!J13</f>
        <v>0.16</v>
      </c>
      <c r="K33" s="7">
        <f>Input!K13</f>
        <v>0.27</v>
      </c>
      <c r="L33" s="7">
        <f>Input!L13</f>
        <v>0.14000000000000001</v>
      </c>
      <c r="M33" s="7">
        <f>Input!M13</f>
        <v>0.22</v>
      </c>
      <c r="N33" s="7">
        <f>Input!N13</f>
        <v>0.25</v>
      </c>
      <c r="O33" s="7">
        <f>Input!O13</f>
        <v>0.25</v>
      </c>
      <c r="P33" s="7">
        <f>Input!P13</f>
        <v>0.73</v>
      </c>
      <c r="Q33" s="7">
        <f>Input!Q13</f>
        <v>0.26</v>
      </c>
      <c r="R33" s="7">
        <f>Input!R13</f>
        <v>0.99</v>
      </c>
      <c r="S33" s="7">
        <f>Input!S13</f>
        <v>1.02</v>
      </c>
      <c r="T33" s="7">
        <f>Input!T13</f>
        <v>0.94</v>
      </c>
      <c r="U33" s="2"/>
      <c r="V33" s="2"/>
      <c r="W33" s="2"/>
      <c r="X33" s="2"/>
      <c r="Y33" s="2"/>
    </row>
    <row r="34" spans="1:32" s="1" customFormat="1">
      <c r="A34" s="6" t="s">
        <v>85</v>
      </c>
      <c r="B34" s="7">
        <f>Input!B14</f>
        <v>0</v>
      </c>
      <c r="C34" s="7">
        <f>Input!C14</f>
        <v>0</v>
      </c>
      <c r="D34" s="7">
        <f>Input!D14</f>
        <v>0</v>
      </c>
      <c r="E34" s="7">
        <f>Input!E14</f>
        <v>0</v>
      </c>
      <c r="F34" s="7">
        <f>Input!F14</f>
        <v>0</v>
      </c>
      <c r="G34" s="7">
        <f>Input!G14</f>
        <v>0</v>
      </c>
      <c r="H34" s="7">
        <f>Input!H14</f>
        <v>0</v>
      </c>
      <c r="I34" s="7">
        <f>Input!I14</f>
        <v>0</v>
      </c>
      <c r="J34" s="7">
        <f>Input!J14</f>
        <v>0</v>
      </c>
      <c r="K34" s="7">
        <f>Input!K14</f>
        <v>0</v>
      </c>
      <c r="L34" s="7">
        <f>Input!L14</f>
        <v>0</v>
      </c>
      <c r="M34" s="7">
        <f>Input!M14</f>
        <v>0</v>
      </c>
      <c r="N34" s="7">
        <f>Input!N14</f>
        <v>0</v>
      </c>
      <c r="O34" s="7">
        <f>Input!O14</f>
        <v>0</v>
      </c>
      <c r="P34" s="7">
        <f>Input!P14</f>
        <v>0</v>
      </c>
      <c r="Q34" s="7">
        <f>Input!Q14</f>
        <v>0</v>
      </c>
      <c r="R34" s="7">
        <f>Input!R14</f>
        <v>0</v>
      </c>
      <c r="S34" s="7">
        <f>Input!S14</f>
        <v>0</v>
      </c>
      <c r="T34" s="7">
        <f>Input!T14</f>
        <v>0</v>
      </c>
      <c r="U34" s="2"/>
      <c r="V34" s="2"/>
      <c r="W34" s="2"/>
      <c r="X34" s="2"/>
      <c r="Y34" s="2"/>
    </row>
    <row r="35" spans="1:32" s="1" customFormat="1">
      <c r="A35" s="6" t="s">
        <v>86</v>
      </c>
      <c r="B35" s="7">
        <f>Input!B15</f>
        <v>0</v>
      </c>
      <c r="C35" s="7">
        <f>Input!C15</f>
        <v>0</v>
      </c>
      <c r="D35" s="7">
        <f>Input!D15</f>
        <v>0</v>
      </c>
      <c r="E35" s="7">
        <f>Input!E15</f>
        <v>0</v>
      </c>
      <c r="F35" s="7">
        <f>Input!F15</f>
        <v>0</v>
      </c>
      <c r="G35" s="7">
        <f>Input!G15</f>
        <v>0</v>
      </c>
      <c r="H35" s="7">
        <f>Input!H15</f>
        <v>0</v>
      </c>
      <c r="I35" s="7">
        <f>Input!I15</f>
        <v>0</v>
      </c>
      <c r="J35" s="7">
        <f>Input!J15</f>
        <v>0</v>
      </c>
      <c r="K35" s="7">
        <f>Input!K15</f>
        <v>0</v>
      </c>
      <c r="L35" s="7">
        <f>Input!L15</f>
        <v>0</v>
      </c>
      <c r="M35" s="7">
        <f>Input!M15</f>
        <v>0</v>
      </c>
      <c r="N35" s="7">
        <f>Input!N15</f>
        <v>0</v>
      </c>
      <c r="O35" s="7">
        <f>Input!O15</f>
        <v>0</v>
      </c>
      <c r="P35" s="7">
        <f>Input!P15</f>
        <v>0</v>
      </c>
      <c r="Q35" s="7">
        <f>Input!Q15</f>
        <v>0</v>
      </c>
      <c r="R35" s="7">
        <f>Input!R15</f>
        <v>0</v>
      </c>
      <c r="S35" s="7">
        <f>Input!S15</f>
        <v>0</v>
      </c>
      <c r="T35" s="7">
        <f>Input!T15</f>
        <v>0</v>
      </c>
      <c r="U35" s="2"/>
      <c r="V35" s="2"/>
      <c r="W35" s="2"/>
      <c r="X35" s="2"/>
      <c r="Y35" s="2"/>
    </row>
    <row r="36" spans="1:32" s="1" customFormat="1">
      <c r="A36" s="6" t="s">
        <v>87</v>
      </c>
      <c r="B36" s="7">
        <f>Input!B16</f>
        <v>0</v>
      </c>
      <c r="C36" s="7">
        <f>Input!C16</f>
        <v>0</v>
      </c>
      <c r="D36" s="7">
        <f>Input!D16</f>
        <v>0</v>
      </c>
      <c r="E36" s="7">
        <f>Input!E16</f>
        <v>0</v>
      </c>
      <c r="F36" s="7">
        <f>Input!F16</f>
        <v>0</v>
      </c>
      <c r="G36" s="7">
        <f>Input!G16</f>
        <v>0</v>
      </c>
      <c r="H36" s="7">
        <f>Input!H16</f>
        <v>0</v>
      </c>
      <c r="I36" s="7">
        <f>Input!I16</f>
        <v>0</v>
      </c>
      <c r="J36" s="7">
        <f>Input!J16</f>
        <v>0</v>
      </c>
      <c r="K36" s="7">
        <f>Input!K16</f>
        <v>0</v>
      </c>
      <c r="L36" s="7">
        <f>Input!L16</f>
        <v>0</v>
      </c>
      <c r="M36" s="7">
        <f>Input!M16</f>
        <v>0</v>
      </c>
      <c r="N36" s="7">
        <f>Input!N16</f>
        <v>0</v>
      </c>
      <c r="O36" s="7">
        <f>Input!O16</f>
        <v>0</v>
      </c>
      <c r="P36" s="7">
        <f>Input!P16</f>
        <v>0</v>
      </c>
      <c r="Q36" s="7">
        <f>Input!Q16</f>
        <v>0</v>
      </c>
      <c r="R36" s="7">
        <f>Input!R16</f>
        <v>0</v>
      </c>
      <c r="S36" s="7">
        <f>Input!S16</f>
        <v>0</v>
      </c>
      <c r="T36" s="7">
        <f>Input!T16</f>
        <v>0</v>
      </c>
      <c r="U36" s="2"/>
      <c r="V36" s="2"/>
      <c r="W36" s="2"/>
      <c r="X36" s="2"/>
      <c r="Y36" s="2"/>
    </row>
    <row r="37" spans="1:32" s="1" customForma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"/>
      <c r="V37" s="2"/>
      <c r="W37" s="2"/>
      <c r="X37" s="2"/>
      <c r="Y37" s="2"/>
    </row>
    <row r="38" spans="1:32" s="1" customFormat="1">
      <c r="A38" s="1" t="s">
        <v>115</v>
      </c>
      <c r="B38" s="2">
        <f>SUM(B23:B33)</f>
        <v>95.519999999999982</v>
      </c>
      <c r="C38" s="2">
        <f t="shared" ref="C38:T38" si="0">SUM(C23:C33)</f>
        <v>96.37</v>
      </c>
      <c r="D38" s="2">
        <f t="shared" si="0"/>
        <v>97.26</v>
      </c>
      <c r="E38" s="2">
        <f t="shared" si="0"/>
        <v>95.570000000000007</v>
      </c>
      <c r="F38" s="2">
        <f t="shared" si="0"/>
        <v>96.67</v>
      </c>
      <c r="G38" s="2">
        <f t="shared" si="0"/>
        <v>96.820000000000007</v>
      </c>
      <c r="H38" s="2">
        <f t="shared" si="0"/>
        <v>96.45</v>
      </c>
      <c r="I38" s="2">
        <f t="shared" si="0"/>
        <v>97.259999999999991</v>
      </c>
      <c r="J38" s="2">
        <f t="shared" si="0"/>
        <v>96.73</v>
      </c>
      <c r="K38" s="2">
        <f t="shared" si="0"/>
        <v>92.399999999999991</v>
      </c>
      <c r="L38" s="2">
        <f t="shared" si="0"/>
        <v>97.260000000000019</v>
      </c>
      <c r="M38" s="2">
        <f t="shared" si="0"/>
        <v>96.46</v>
      </c>
      <c r="N38" s="2">
        <f t="shared" si="0"/>
        <v>96.66</v>
      </c>
      <c r="O38" s="2">
        <f t="shared" si="0"/>
        <v>97.220000000000013</v>
      </c>
      <c r="P38" s="2">
        <f t="shared" si="0"/>
        <v>95.9</v>
      </c>
      <c r="Q38" s="2">
        <f t="shared" si="0"/>
        <v>96.330000000000013</v>
      </c>
      <c r="R38" s="2">
        <f t="shared" si="0"/>
        <v>96.740000000000009</v>
      </c>
      <c r="S38" s="2">
        <f t="shared" si="0"/>
        <v>96.77</v>
      </c>
      <c r="T38" s="2">
        <f t="shared" si="0"/>
        <v>96.829999999999984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>
      <c r="A41" s="1" t="s">
        <v>110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>
      <c r="A42" s="1" t="s">
        <v>116</v>
      </c>
      <c r="B42" s="2">
        <f t="shared" ref="B42:Q42" si="1">B23*$C4/$B4</f>
        <v>0.77296937416777634</v>
      </c>
      <c r="C42" s="2">
        <f t="shared" si="1"/>
        <v>0.75266311584553924</v>
      </c>
      <c r="D42" s="2">
        <f t="shared" si="1"/>
        <v>0.74866844207723038</v>
      </c>
      <c r="E42" s="2">
        <f t="shared" si="1"/>
        <v>0.73285619174434091</v>
      </c>
      <c r="F42" s="2">
        <f t="shared" si="1"/>
        <v>0.74816910785619184</v>
      </c>
      <c r="G42" s="2">
        <f t="shared" si="1"/>
        <v>0.73618508655126491</v>
      </c>
      <c r="H42" s="2">
        <f t="shared" si="1"/>
        <v>0.74833555259653795</v>
      </c>
      <c r="I42" s="2">
        <f t="shared" si="1"/>
        <v>0.75449400798934751</v>
      </c>
      <c r="J42" s="2">
        <f t="shared" si="1"/>
        <v>0.76481358189081228</v>
      </c>
      <c r="K42" s="2">
        <f t="shared" si="1"/>
        <v>0.73551930758988016</v>
      </c>
      <c r="L42" s="2">
        <f t="shared" si="1"/>
        <v>0.75948735019973379</v>
      </c>
      <c r="M42" s="2">
        <f t="shared" si="1"/>
        <v>0.74450732356857519</v>
      </c>
      <c r="N42" s="2">
        <f t="shared" si="1"/>
        <v>0.76098535286284952</v>
      </c>
      <c r="O42" s="2">
        <f t="shared" si="1"/>
        <v>0.73751664447403464</v>
      </c>
      <c r="P42" s="2">
        <f t="shared" si="1"/>
        <v>0.74400798934753665</v>
      </c>
      <c r="Q42" s="2">
        <f t="shared" si="1"/>
        <v>0.85036617842876172</v>
      </c>
      <c r="R42" s="2">
        <f t="shared" ref="C42:T52" si="2">R23*$C4/$B4</f>
        <v>0.71421438082556588</v>
      </c>
      <c r="S42" s="2">
        <f t="shared" si="2"/>
        <v>0.71388149134487355</v>
      </c>
      <c r="T42" s="2">
        <f t="shared" si="2"/>
        <v>0.70922103861517982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>
      <c r="A43" s="1" t="s">
        <v>117</v>
      </c>
      <c r="B43" s="2">
        <f t="shared" ref="B43:B52" si="3">B24*$C5/$B5</f>
        <v>5.5068836045056319E-3</v>
      </c>
      <c r="C43" s="2">
        <f t="shared" si="2"/>
        <v>6.8836045056320403E-3</v>
      </c>
      <c r="D43" s="2">
        <f t="shared" si="2"/>
        <v>7.1339173967459313E-3</v>
      </c>
      <c r="E43" s="2">
        <f t="shared" si="2"/>
        <v>4.8811013767209007E-3</v>
      </c>
      <c r="F43" s="2">
        <f t="shared" si="2"/>
        <v>7.7596996245306625E-3</v>
      </c>
      <c r="G43" s="2">
        <f t="shared" si="2"/>
        <v>7.2590738423028772E-3</v>
      </c>
      <c r="H43" s="2">
        <f t="shared" si="2"/>
        <v>7.5093867334167699E-3</v>
      </c>
      <c r="I43" s="2">
        <f t="shared" si="2"/>
        <v>7.6345431789737166E-3</v>
      </c>
      <c r="J43" s="2">
        <f t="shared" si="2"/>
        <v>6.1326658322903623E-3</v>
      </c>
      <c r="K43" s="2">
        <f t="shared" si="2"/>
        <v>5.5068836045056319E-3</v>
      </c>
      <c r="L43" s="2">
        <f t="shared" si="2"/>
        <v>7.5093867334167699E-3</v>
      </c>
      <c r="M43" s="2">
        <f t="shared" si="2"/>
        <v>7.8848560700876084E-3</v>
      </c>
      <c r="N43" s="2">
        <f t="shared" si="2"/>
        <v>7.8848560700876084E-3</v>
      </c>
      <c r="O43" s="2">
        <f t="shared" si="2"/>
        <v>9.8873591989987481E-3</v>
      </c>
      <c r="P43" s="2">
        <f t="shared" si="2"/>
        <v>1.7146433041301628E-2</v>
      </c>
      <c r="Q43" s="2">
        <f t="shared" si="2"/>
        <v>1.0012515644555694E-3</v>
      </c>
      <c r="R43" s="2">
        <f t="shared" si="2"/>
        <v>2.0400500625782227E-2</v>
      </c>
      <c r="S43" s="2">
        <f t="shared" si="2"/>
        <v>1.9899874843554443E-2</v>
      </c>
      <c r="T43" s="2">
        <f t="shared" si="2"/>
        <v>1.9899874843554443E-2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>
      <c r="A44" s="1" t="s">
        <v>118</v>
      </c>
      <c r="B44" s="2">
        <f t="shared" si="3"/>
        <v>6.5793455919700402E-4</v>
      </c>
      <c r="C44" s="2">
        <f t="shared" si="2"/>
        <v>5.2634764735760321E-4</v>
      </c>
      <c r="D44" s="2">
        <f t="shared" si="2"/>
        <v>3.9476073551820241E-4</v>
      </c>
      <c r="E44" s="2">
        <f t="shared" si="2"/>
        <v>6.5793455919700402E-4</v>
      </c>
      <c r="F44" s="2">
        <f t="shared" si="2"/>
        <v>3.9476073551820241E-4</v>
      </c>
      <c r="G44" s="2">
        <f t="shared" si="2"/>
        <v>2.6317382367880161E-4</v>
      </c>
      <c r="H44" s="2">
        <f t="shared" si="2"/>
        <v>9.2110838287580573E-4</v>
      </c>
      <c r="I44" s="2">
        <f t="shared" si="2"/>
        <v>6.5793455919700402E-4</v>
      </c>
      <c r="J44" s="2">
        <f t="shared" si="2"/>
        <v>7.8952147103640482E-4</v>
      </c>
      <c r="K44" s="2">
        <f t="shared" si="2"/>
        <v>1.315869118394008E-4</v>
      </c>
      <c r="L44" s="2">
        <f t="shared" si="2"/>
        <v>6.5793455919700402E-4</v>
      </c>
      <c r="M44" s="2">
        <f t="shared" si="2"/>
        <v>5.2634764735760321E-4</v>
      </c>
      <c r="N44" s="2">
        <f t="shared" si="2"/>
        <v>7.8952147103640482E-4</v>
      </c>
      <c r="O44" s="2">
        <f t="shared" si="2"/>
        <v>5.2634764735760321E-4</v>
      </c>
      <c r="P44" s="2">
        <f t="shared" si="2"/>
        <v>1.1842822065546072E-3</v>
      </c>
      <c r="Q44" s="2">
        <f t="shared" si="2"/>
        <v>2.6317382367880161E-4</v>
      </c>
      <c r="R44" s="2">
        <f t="shared" si="2"/>
        <v>1.4474560302334088E-3</v>
      </c>
      <c r="S44" s="2">
        <f t="shared" si="2"/>
        <v>1.4474560302334088E-3</v>
      </c>
      <c r="T44" s="2">
        <f t="shared" si="2"/>
        <v>1.315869118394008E-3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>
      <c r="A45" s="1" t="s">
        <v>119</v>
      </c>
      <c r="B45" s="2">
        <f t="shared" si="3"/>
        <v>0.18756131057484796</v>
      </c>
      <c r="C45" s="2">
        <f t="shared" si="2"/>
        <v>0.21993329409456544</v>
      </c>
      <c r="D45" s="2">
        <f t="shared" si="2"/>
        <v>0.23111634294683145</v>
      </c>
      <c r="E45" s="2">
        <f t="shared" si="2"/>
        <v>0.23013537374926429</v>
      </c>
      <c r="F45" s="2">
        <f t="shared" si="2"/>
        <v>0.2252305277614283</v>
      </c>
      <c r="G45" s="2">
        <f t="shared" si="2"/>
        <v>0.2336668628605062</v>
      </c>
      <c r="H45" s="2">
        <f t="shared" si="2"/>
        <v>0.22640769079850892</v>
      </c>
      <c r="I45" s="2">
        <f t="shared" si="2"/>
        <v>0.22444575240337453</v>
      </c>
      <c r="J45" s="2">
        <f t="shared" si="2"/>
        <v>0.21326270355110849</v>
      </c>
      <c r="K45" s="2">
        <f t="shared" si="2"/>
        <v>0.18187168922895822</v>
      </c>
      <c r="L45" s="2">
        <f t="shared" si="2"/>
        <v>0.22307239552678046</v>
      </c>
      <c r="M45" s="2">
        <f t="shared" si="2"/>
        <v>0.23033156758877771</v>
      </c>
      <c r="N45" s="2">
        <f t="shared" si="2"/>
        <v>0.22758485383558957</v>
      </c>
      <c r="O45" s="2">
        <f t="shared" si="2"/>
        <v>0.23994506572493626</v>
      </c>
      <c r="P45" s="2">
        <f t="shared" si="2"/>
        <v>0.18618795369825389</v>
      </c>
      <c r="Q45" s="2">
        <f t="shared" si="2"/>
        <v>9.4369236805964291E-2</v>
      </c>
      <c r="R45" s="2">
        <f t="shared" si="2"/>
        <v>0.22189523248969983</v>
      </c>
      <c r="S45" s="2">
        <f t="shared" si="2"/>
        <v>0.22464194624288797</v>
      </c>
      <c r="T45" s="2">
        <f t="shared" si="2"/>
        <v>0.22150284481067292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>
      <c r="A46" s="1" t="s">
        <v>120</v>
      </c>
      <c r="B46" s="2">
        <f t="shared" si="3"/>
        <v>0.19178844815588031</v>
      </c>
      <c r="C46" s="2">
        <f t="shared" si="2"/>
        <v>0.18705636743215032</v>
      </c>
      <c r="D46" s="2">
        <f t="shared" si="2"/>
        <v>0.20180932498260265</v>
      </c>
      <c r="E46" s="2">
        <f t="shared" si="2"/>
        <v>0.20334029227557412</v>
      </c>
      <c r="F46" s="2">
        <f t="shared" si="2"/>
        <v>0.19345859429366738</v>
      </c>
      <c r="G46" s="2">
        <f t="shared" si="2"/>
        <v>0.20389700765483648</v>
      </c>
      <c r="H46" s="2">
        <f t="shared" si="2"/>
        <v>0.18761308281141267</v>
      </c>
      <c r="I46" s="2">
        <f t="shared" si="2"/>
        <v>0.1963813500347947</v>
      </c>
      <c r="J46" s="2">
        <f t="shared" si="2"/>
        <v>0.1920668058455115</v>
      </c>
      <c r="K46" s="2">
        <f t="shared" si="2"/>
        <v>0.20306193458594296</v>
      </c>
      <c r="L46" s="2">
        <f t="shared" si="2"/>
        <v>0.19095337508698682</v>
      </c>
      <c r="M46" s="2">
        <f t="shared" si="2"/>
        <v>0.19331941544885181</v>
      </c>
      <c r="N46" s="2">
        <f t="shared" si="2"/>
        <v>0.19331941544885181</v>
      </c>
      <c r="O46" s="2">
        <f t="shared" si="2"/>
        <v>0.2011134307585247</v>
      </c>
      <c r="P46" s="2">
        <f t="shared" si="2"/>
        <v>0.18691718858733475</v>
      </c>
      <c r="Q46" s="2">
        <f t="shared" si="2"/>
        <v>0.13987473903966599</v>
      </c>
      <c r="R46" s="2">
        <f t="shared" si="2"/>
        <v>0.19944328462073765</v>
      </c>
      <c r="S46" s="2">
        <f t="shared" si="2"/>
        <v>0.19860821155184413</v>
      </c>
      <c r="T46" s="2">
        <f t="shared" si="2"/>
        <v>0.20431454418928324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>
      <c r="A47" s="1" t="s">
        <v>121</v>
      </c>
      <c r="B47" s="2">
        <f t="shared" si="3"/>
        <v>9.585970650013393E-3</v>
      </c>
      <c r="C47" s="2">
        <f t="shared" si="2"/>
        <v>1.1841493155898896E-2</v>
      </c>
      <c r="D47" s="2">
        <f t="shared" si="2"/>
        <v>1.4237985818402245E-2</v>
      </c>
      <c r="E47" s="2">
        <f t="shared" si="2"/>
        <v>1.5647687384580687E-2</v>
      </c>
      <c r="F47" s="2">
        <f t="shared" si="2"/>
        <v>1.198246331251674E-2</v>
      </c>
      <c r="G47" s="2">
        <f t="shared" si="2"/>
        <v>1.1841493155898896E-2</v>
      </c>
      <c r="H47" s="2">
        <f t="shared" si="2"/>
        <v>1.1418582686045365E-2</v>
      </c>
      <c r="I47" s="2">
        <f t="shared" si="2"/>
        <v>1.198246331251674E-2</v>
      </c>
      <c r="J47" s="2">
        <f t="shared" si="2"/>
        <v>1.2546343938988116E-2</v>
      </c>
      <c r="K47" s="2">
        <f t="shared" si="2"/>
        <v>1.2546343938988116E-2</v>
      </c>
      <c r="L47" s="2">
        <f t="shared" si="2"/>
        <v>1.2687314095605961E-2</v>
      </c>
      <c r="M47" s="2">
        <f t="shared" si="2"/>
        <v>1.0854702059573989E-2</v>
      </c>
      <c r="N47" s="2">
        <f t="shared" si="2"/>
        <v>9.7269408066312357E-3</v>
      </c>
      <c r="O47" s="2">
        <f t="shared" si="2"/>
        <v>9.86791096324908E-3</v>
      </c>
      <c r="P47" s="2">
        <f t="shared" si="2"/>
        <v>3.1013434455925684E-3</v>
      </c>
      <c r="Q47" s="2">
        <f t="shared" si="2"/>
        <v>3.2423136022104123E-3</v>
      </c>
      <c r="R47" s="2">
        <f t="shared" si="2"/>
        <v>2.5374628191211922E-3</v>
      </c>
      <c r="S47" s="2">
        <f t="shared" si="2"/>
        <v>2.8194031323568805E-3</v>
      </c>
      <c r="T47" s="2">
        <f t="shared" si="2"/>
        <v>2.960373288974724E-3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>
      <c r="A48" s="1" t="s">
        <v>122</v>
      </c>
      <c r="B48" s="2">
        <f t="shared" si="3"/>
        <v>4.0155589524209801E-4</v>
      </c>
      <c r="C48" s="2">
        <f t="shared" si="2"/>
        <v>0</v>
      </c>
      <c r="D48" s="2">
        <f t="shared" si="2"/>
        <v>0</v>
      </c>
      <c r="E48" s="2">
        <f t="shared" si="2"/>
        <v>4.0155589524209801E-4</v>
      </c>
      <c r="F48" s="2">
        <f t="shared" si="2"/>
        <v>0</v>
      </c>
      <c r="G48" s="2">
        <f t="shared" si="2"/>
        <v>0</v>
      </c>
      <c r="H48" s="2">
        <f t="shared" si="2"/>
        <v>0</v>
      </c>
      <c r="I48" s="2">
        <f t="shared" si="2"/>
        <v>0</v>
      </c>
      <c r="J48" s="2">
        <f t="shared" si="2"/>
        <v>0</v>
      </c>
      <c r="K48" s="2">
        <f t="shared" si="2"/>
        <v>0</v>
      </c>
      <c r="L48" s="2">
        <f t="shared" si="2"/>
        <v>0</v>
      </c>
      <c r="M48" s="2">
        <f t="shared" si="2"/>
        <v>0</v>
      </c>
      <c r="N48" s="2">
        <f t="shared" si="2"/>
        <v>0</v>
      </c>
      <c r="O48" s="2">
        <f t="shared" si="2"/>
        <v>0</v>
      </c>
      <c r="P48" s="2">
        <f t="shared" si="2"/>
        <v>0</v>
      </c>
      <c r="Q48" s="2">
        <f t="shared" si="2"/>
        <v>0</v>
      </c>
      <c r="R48" s="2">
        <f t="shared" si="2"/>
        <v>0</v>
      </c>
      <c r="S48" s="2">
        <f t="shared" si="2"/>
        <v>0</v>
      </c>
      <c r="T48" s="2">
        <f t="shared" si="2"/>
        <v>0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>
      <c r="A49" s="1" t="s">
        <v>123</v>
      </c>
      <c r="B49" s="2">
        <f t="shared" si="3"/>
        <v>0.30910444058546266</v>
      </c>
      <c r="C49" s="2">
        <f t="shared" si="2"/>
        <v>0.32250062019350034</v>
      </c>
      <c r="D49" s="2">
        <f t="shared" si="2"/>
        <v>0.29918134457950879</v>
      </c>
      <c r="E49" s="2">
        <f t="shared" si="2"/>
        <v>0.29719672537831804</v>
      </c>
      <c r="F49" s="2">
        <f t="shared" si="2"/>
        <v>0.30364673778218804</v>
      </c>
      <c r="G49" s="2">
        <f t="shared" si="2"/>
        <v>0.29570826097742492</v>
      </c>
      <c r="H49" s="2">
        <f t="shared" si="2"/>
        <v>0.30736789878442072</v>
      </c>
      <c r="I49" s="2">
        <f t="shared" si="2"/>
        <v>0.30811213098486728</v>
      </c>
      <c r="J49" s="2">
        <f t="shared" si="2"/>
        <v>0.31853138179111878</v>
      </c>
      <c r="K49" s="2">
        <f t="shared" si="2"/>
        <v>0.27536591416521955</v>
      </c>
      <c r="L49" s="2">
        <f t="shared" si="2"/>
        <v>0.31853138179111878</v>
      </c>
      <c r="M49" s="2">
        <f t="shared" si="2"/>
        <v>0.30215827338129492</v>
      </c>
      <c r="N49" s="2">
        <f t="shared" si="2"/>
        <v>0.29273133217563879</v>
      </c>
      <c r="O49" s="2">
        <f t="shared" si="2"/>
        <v>0.29992557677995535</v>
      </c>
      <c r="P49" s="2">
        <f t="shared" si="2"/>
        <v>0.30662366658397416</v>
      </c>
      <c r="Q49" s="2">
        <f t="shared" si="2"/>
        <v>0.40709501364425699</v>
      </c>
      <c r="R49" s="2">
        <f t="shared" si="2"/>
        <v>0.28925824857355492</v>
      </c>
      <c r="S49" s="2">
        <f t="shared" si="2"/>
        <v>0.28876209377325723</v>
      </c>
      <c r="T49" s="2">
        <f t="shared" si="2"/>
        <v>0.29124286777474573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>
      <c r="A50" s="1" t="s">
        <v>124</v>
      </c>
      <c r="B50" s="2">
        <f t="shared" si="3"/>
        <v>0.18705420827389443</v>
      </c>
      <c r="C50" s="2">
        <f t="shared" si="2"/>
        <v>0.18776747503566332</v>
      </c>
      <c r="D50" s="2">
        <f t="shared" si="2"/>
        <v>0.18812410841654781</v>
      </c>
      <c r="E50" s="2">
        <f t="shared" si="2"/>
        <v>0.1783166904422254</v>
      </c>
      <c r="F50" s="2">
        <f t="shared" si="2"/>
        <v>0.193830242510699</v>
      </c>
      <c r="G50" s="2">
        <f t="shared" si="2"/>
        <v>0.19507845934379459</v>
      </c>
      <c r="H50" s="2">
        <f t="shared" si="2"/>
        <v>0.19650499286733239</v>
      </c>
      <c r="I50" s="2">
        <f t="shared" si="2"/>
        <v>0.19276034236804565</v>
      </c>
      <c r="J50" s="2">
        <f t="shared" si="2"/>
        <v>0.18295292439372327</v>
      </c>
      <c r="K50" s="2">
        <f t="shared" si="2"/>
        <v>0.18455777460770328</v>
      </c>
      <c r="L50" s="2">
        <f t="shared" si="2"/>
        <v>0.18687589158345222</v>
      </c>
      <c r="M50" s="2">
        <f t="shared" si="2"/>
        <v>0.19276034236804565</v>
      </c>
      <c r="N50" s="2">
        <f t="shared" si="2"/>
        <v>0.1852710413694722</v>
      </c>
      <c r="O50" s="2">
        <f t="shared" si="2"/>
        <v>0.19347360912981454</v>
      </c>
      <c r="P50" s="2">
        <f t="shared" si="2"/>
        <v>0.21629814550641943</v>
      </c>
      <c r="Q50" s="2">
        <f t="shared" si="2"/>
        <v>0.2253922967189729</v>
      </c>
      <c r="R50" s="2">
        <f t="shared" si="2"/>
        <v>0.21308844507845934</v>
      </c>
      <c r="S50" s="2">
        <f t="shared" si="2"/>
        <v>0.21451497860199714</v>
      </c>
      <c r="T50" s="2">
        <f t="shared" si="2"/>
        <v>0.21522824536376606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>
      <c r="A51" s="1" t="s">
        <v>125</v>
      </c>
      <c r="B51" s="2">
        <f t="shared" si="3"/>
        <v>4.3561033848536677E-2</v>
      </c>
      <c r="C51" s="2">
        <f t="shared" si="2"/>
        <v>4.5174405472556543E-2</v>
      </c>
      <c r="D51" s="2">
        <f t="shared" si="2"/>
        <v>4.872382304540028E-2</v>
      </c>
      <c r="E51" s="2">
        <f t="shared" si="2"/>
        <v>4.4851731147752573E-2</v>
      </c>
      <c r="F51" s="2">
        <f t="shared" si="2"/>
        <v>4.4851731147752573E-2</v>
      </c>
      <c r="G51" s="2">
        <f t="shared" si="2"/>
        <v>4.7433125746184378E-2</v>
      </c>
      <c r="H51" s="2">
        <f t="shared" si="2"/>
        <v>4.4206382498144625E-2</v>
      </c>
      <c r="I51" s="2">
        <f t="shared" si="2"/>
        <v>4.5497079797360521E-2</v>
      </c>
      <c r="J51" s="2">
        <f t="shared" si="2"/>
        <v>4.5497079797360521E-2</v>
      </c>
      <c r="K51" s="2">
        <f t="shared" si="2"/>
        <v>4.162498789971282E-2</v>
      </c>
      <c r="L51" s="2">
        <f t="shared" si="2"/>
        <v>4.9369171695008228E-2</v>
      </c>
      <c r="M51" s="2">
        <f t="shared" si="2"/>
        <v>4.6787777096576423E-2</v>
      </c>
      <c r="N51" s="2">
        <f t="shared" si="2"/>
        <v>5.2595914943047981E-2</v>
      </c>
      <c r="O51" s="2">
        <f t="shared" si="2"/>
        <v>4.872382304540028E-2</v>
      </c>
      <c r="P51" s="2">
        <f t="shared" si="2"/>
        <v>4.4529056822948596E-2</v>
      </c>
      <c r="Q51" s="2">
        <f t="shared" si="2"/>
        <v>2.3877900035494174E-2</v>
      </c>
      <c r="R51" s="2">
        <f t="shared" si="2"/>
        <v>5.3886612242263883E-2</v>
      </c>
      <c r="S51" s="2">
        <f t="shared" si="2"/>
        <v>5.065986899422413E-2</v>
      </c>
      <c r="T51" s="2">
        <f t="shared" si="2"/>
        <v>5.1627891968636062E-2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>
      <c r="A52" s="1" t="s">
        <v>126</v>
      </c>
      <c r="B52" s="2">
        <f t="shared" si="3"/>
        <v>5.0955414012738851E-3</v>
      </c>
      <c r="C52" s="2">
        <f t="shared" si="2"/>
        <v>2.9723991507431E-3</v>
      </c>
      <c r="D52" s="2">
        <f t="shared" si="2"/>
        <v>5.7324840764331215E-3</v>
      </c>
      <c r="E52" s="2">
        <f t="shared" si="2"/>
        <v>5.3078556263269636E-3</v>
      </c>
      <c r="F52" s="2">
        <f t="shared" si="2"/>
        <v>7.218683651804671E-3</v>
      </c>
      <c r="G52" s="2">
        <f t="shared" si="2"/>
        <v>5.5201698513800421E-3</v>
      </c>
      <c r="H52" s="2">
        <f t="shared" si="2"/>
        <v>4.4585987261146496E-3</v>
      </c>
      <c r="I52" s="2">
        <f t="shared" si="2"/>
        <v>4.8832271762208066E-3</v>
      </c>
      <c r="J52" s="2">
        <f t="shared" si="2"/>
        <v>3.397027600849257E-3</v>
      </c>
      <c r="K52" s="2">
        <f t="shared" si="2"/>
        <v>5.7324840764331215E-3</v>
      </c>
      <c r="L52" s="2">
        <f t="shared" si="2"/>
        <v>2.9723991507431E-3</v>
      </c>
      <c r="M52" s="2">
        <f t="shared" si="2"/>
        <v>4.6709129511677281E-3</v>
      </c>
      <c r="N52" s="2">
        <f t="shared" si="2"/>
        <v>5.3078556263269636E-3</v>
      </c>
      <c r="O52" s="2">
        <f t="shared" si="2"/>
        <v>5.3078556263269636E-3</v>
      </c>
      <c r="P52" s="2">
        <f t="shared" si="2"/>
        <v>1.5498938428874733E-2</v>
      </c>
      <c r="Q52" s="2">
        <f t="shared" si="2"/>
        <v>5.5201698513800421E-3</v>
      </c>
      <c r="R52" s="2">
        <f t="shared" si="2"/>
        <v>2.1019108280254776E-2</v>
      </c>
      <c r="S52" s="2">
        <f t="shared" si="2"/>
        <v>2.1656050955414011E-2</v>
      </c>
      <c r="T52" s="2">
        <f t="shared" si="2"/>
        <v>1.9957537154989383E-2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>
      <c r="A53" s="1" t="s">
        <v>89</v>
      </c>
      <c r="B53" s="2">
        <f>B34*$C16/$B16</f>
        <v>0</v>
      </c>
      <c r="C53" s="2">
        <f t="shared" ref="C53:T53" si="4">C34*$C16/$B16</f>
        <v>0</v>
      </c>
      <c r="D53" s="2">
        <f t="shared" si="4"/>
        <v>0</v>
      </c>
      <c r="E53" s="2">
        <f t="shared" si="4"/>
        <v>0</v>
      </c>
      <c r="F53" s="2">
        <f t="shared" si="4"/>
        <v>0</v>
      </c>
      <c r="G53" s="2">
        <f t="shared" si="4"/>
        <v>0</v>
      </c>
      <c r="H53" s="2">
        <f t="shared" si="4"/>
        <v>0</v>
      </c>
      <c r="I53" s="2">
        <f t="shared" si="4"/>
        <v>0</v>
      </c>
      <c r="J53" s="2">
        <f t="shared" si="4"/>
        <v>0</v>
      </c>
      <c r="K53" s="2">
        <f t="shared" si="4"/>
        <v>0</v>
      </c>
      <c r="L53" s="2">
        <f t="shared" si="4"/>
        <v>0</v>
      </c>
      <c r="M53" s="2">
        <f t="shared" si="4"/>
        <v>0</v>
      </c>
      <c r="N53" s="2">
        <f t="shared" si="4"/>
        <v>0</v>
      </c>
      <c r="O53" s="2">
        <f t="shared" si="4"/>
        <v>0</v>
      </c>
      <c r="P53" s="2">
        <f t="shared" si="4"/>
        <v>0</v>
      </c>
      <c r="Q53" s="2">
        <f t="shared" si="4"/>
        <v>0</v>
      </c>
      <c r="R53" s="2">
        <f t="shared" si="4"/>
        <v>0</v>
      </c>
      <c r="S53" s="2">
        <f t="shared" si="4"/>
        <v>0</v>
      </c>
      <c r="T53" s="2">
        <f t="shared" si="4"/>
        <v>0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>
      <c r="A54" s="1" t="s">
        <v>86</v>
      </c>
      <c r="B54" s="2">
        <f>B35*$C17/$B17</f>
        <v>0</v>
      </c>
      <c r="C54" s="2">
        <f t="shared" ref="C54:T54" si="5">C35*$C17/$B17</f>
        <v>0</v>
      </c>
      <c r="D54" s="2">
        <f t="shared" si="5"/>
        <v>0</v>
      </c>
      <c r="E54" s="2">
        <f t="shared" si="5"/>
        <v>0</v>
      </c>
      <c r="F54" s="2">
        <f t="shared" si="5"/>
        <v>0</v>
      </c>
      <c r="G54" s="2">
        <f t="shared" si="5"/>
        <v>0</v>
      </c>
      <c r="H54" s="2">
        <f t="shared" si="5"/>
        <v>0</v>
      </c>
      <c r="I54" s="2">
        <f t="shared" si="5"/>
        <v>0</v>
      </c>
      <c r="J54" s="2">
        <f t="shared" si="5"/>
        <v>0</v>
      </c>
      <c r="K54" s="2">
        <f t="shared" si="5"/>
        <v>0</v>
      </c>
      <c r="L54" s="2">
        <f t="shared" si="5"/>
        <v>0</v>
      </c>
      <c r="M54" s="2">
        <f t="shared" si="5"/>
        <v>0</v>
      </c>
      <c r="N54" s="2">
        <f t="shared" si="5"/>
        <v>0</v>
      </c>
      <c r="O54" s="2">
        <f t="shared" si="5"/>
        <v>0</v>
      </c>
      <c r="P54" s="2">
        <f t="shared" si="5"/>
        <v>0</v>
      </c>
      <c r="Q54" s="2">
        <f t="shared" si="5"/>
        <v>0</v>
      </c>
      <c r="R54" s="2">
        <f t="shared" si="5"/>
        <v>0</v>
      </c>
      <c r="S54" s="2">
        <f t="shared" si="5"/>
        <v>0</v>
      </c>
      <c r="T54" s="2">
        <f t="shared" si="5"/>
        <v>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>
      <c r="A55" s="1" t="s">
        <v>87</v>
      </c>
      <c r="B55" s="2">
        <f>B36*$C18/$B18</f>
        <v>0</v>
      </c>
      <c r="C55" s="2">
        <f t="shared" ref="C55:T55" si="6">C36*$C18/$B18</f>
        <v>0</v>
      </c>
      <c r="D55" s="2">
        <f t="shared" si="6"/>
        <v>0</v>
      </c>
      <c r="E55" s="2">
        <f t="shared" si="6"/>
        <v>0</v>
      </c>
      <c r="F55" s="2">
        <f t="shared" si="6"/>
        <v>0</v>
      </c>
      <c r="G55" s="2">
        <f t="shared" si="6"/>
        <v>0</v>
      </c>
      <c r="H55" s="2">
        <f t="shared" si="6"/>
        <v>0</v>
      </c>
      <c r="I55" s="2">
        <f t="shared" si="6"/>
        <v>0</v>
      </c>
      <c r="J55" s="2">
        <f t="shared" si="6"/>
        <v>0</v>
      </c>
      <c r="K55" s="2">
        <f t="shared" si="6"/>
        <v>0</v>
      </c>
      <c r="L55" s="2">
        <f t="shared" si="6"/>
        <v>0</v>
      </c>
      <c r="M55" s="2">
        <f t="shared" si="6"/>
        <v>0</v>
      </c>
      <c r="N55" s="2">
        <f t="shared" si="6"/>
        <v>0</v>
      </c>
      <c r="O55" s="2">
        <f t="shared" si="6"/>
        <v>0</v>
      </c>
      <c r="P55" s="2">
        <f t="shared" si="6"/>
        <v>0</v>
      </c>
      <c r="Q55" s="2">
        <f t="shared" si="6"/>
        <v>0</v>
      </c>
      <c r="R55" s="2">
        <f t="shared" si="6"/>
        <v>0</v>
      </c>
      <c r="S55" s="2">
        <f t="shared" si="6"/>
        <v>0</v>
      </c>
      <c r="T55" s="2">
        <f t="shared" si="6"/>
        <v>0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>
      <c r="A56" s="1" t="s">
        <v>115</v>
      </c>
      <c r="B56" s="2">
        <f>SUM(B42:B49)</f>
        <v>1.4775759181929256</v>
      </c>
      <c r="C56" s="2">
        <f t="shared" ref="C56:T56" si="7">SUM(C42:C49)</f>
        <v>1.501404842874644</v>
      </c>
      <c r="D56" s="2">
        <f t="shared" si="7"/>
        <v>1.5025421185368399</v>
      </c>
      <c r="E56" s="2">
        <f t="shared" si="7"/>
        <v>1.4851168623632383</v>
      </c>
      <c r="F56" s="2">
        <f t="shared" si="7"/>
        <v>1.4906418913660413</v>
      </c>
      <c r="G56" s="2">
        <f t="shared" si="7"/>
        <v>1.4888209588659131</v>
      </c>
      <c r="H56" s="2">
        <f t="shared" si="7"/>
        <v>1.4895733027932181</v>
      </c>
      <c r="I56" s="2">
        <f t="shared" si="7"/>
        <v>1.5037081824630716</v>
      </c>
      <c r="J56" s="2">
        <f t="shared" si="7"/>
        <v>1.5081430043208659</v>
      </c>
      <c r="K56" s="2">
        <f t="shared" si="7"/>
        <v>1.4140036600253343</v>
      </c>
      <c r="L56" s="2">
        <f t="shared" si="7"/>
        <v>1.5128991379928396</v>
      </c>
      <c r="M56" s="2">
        <f t="shared" si="7"/>
        <v>1.4895824857645188</v>
      </c>
      <c r="N56" s="2">
        <f t="shared" si="7"/>
        <v>1.493022272670685</v>
      </c>
      <c r="O56" s="2">
        <f t="shared" si="7"/>
        <v>1.4987823355470564</v>
      </c>
      <c r="P56" s="2">
        <f t="shared" si="7"/>
        <v>1.4451688569105483</v>
      </c>
      <c r="Q56" s="2">
        <f t="shared" si="7"/>
        <v>1.4962119069089939</v>
      </c>
      <c r="R56" s="2">
        <f t="shared" si="7"/>
        <v>1.4491965659846953</v>
      </c>
      <c r="S56" s="2">
        <f t="shared" si="7"/>
        <v>1.450060476919008</v>
      </c>
      <c r="T56" s="2">
        <f t="shared" si="7"/>
        <v>1.4504574126408047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>
      <c r="Z57" s="2"/>
      <c r="AA57" s="2"/>
      <c r="AB57" s="2"/>
      <c r="AC57" s="2"/>
      <c r="AD57" s="2"/>
      <c r="AE57" s="2"/>
      <c r="AF57" s="2"/>
    </row>
    <row r="58" spans="1:32">
      <c r="A58" s="1" t="s">
        <v>88</v>
      </c>
      <c r="Z58" s="2"/>
      <c r="AA58" s="2"/>
      <c r="AB58" s="2"/>
      <c r="AC58" s="2"/>
      <c r="AD58" s="2"/>
      <c r="AE58" s="2"/>
      <c r="AF58" s="2"/>
    </row>
    <row r="59" spans="1:32">
      <c r="A59" s="1" t="s">
        <v>116</v>
      </c>
      <c r="B59" s="2">
        <f t="shared" ref="B59:B72" si="8">B42*13/B$56</f>
        <v>6.8007347307544963</v>
      </c>
      <c r="C59" s="2">
        <f t="shared" ref="C59:T72" si="9">C42*13/C$56</f>
        <v>6.516976785060864</v>
      </c>
      <c r="D59" s="2">
        <f t="shared" si="9"/>
        <v>6.4774821463784242</v>
      </c>
      <c r="E59" s="2">
        <f t="shared" si="9"/>
        <v>6.4150712540668957</v>
      </c>
      <c r="F59" s="2">
        <f t="shared" si="9"/>
        <v>6.5248390364350319</v>
      </c>
      <c r="G59" s="2">
        <f t="shared" si="9"/>
        <v>6.4281779942542965</v>
      </c>
      <c r="H59" s="2">
        <f t="shared" si="9"/>
        <v>6.5309724372157874</v>
      </c>
      <c r="I59" s="2">
        <f t="shared" si="9"/>
        <v>6.5228228576872791</v>
      </c>
      <c r="J59" s="2">
        <f t="shared" si="9"/>
        <v>6.5925953547474201</v>
      </c>
      <c r="K59" s="2">
        <f t="shared" si="9"/>
        <v>6.7621826371348481</v>
      </c>
      <c r="L59" s="2">
        <f t="shared" si="9"/>
        <v>6.5261029665834007</v>
      </c>
      <c r="M59" s="2">
        <f t="shared" si="9"/>
        <v>6.4975221573070527</v>
      </c>
      <c r="N59" s="2">
        <f t="shared" si="9"/>
        <v>6.6260294761182674</v>
      </c>
      <c r="O59" s="2">
        <f t="shared" si="9"/>
        <v>6.3970038549079433</v>
      </c>
      <c r="P59" s="2">
        <f t="shared" si="9"/>
        <v>6.6927153981125764</v>
      </c>
      <c r="Q59" s="2">
        <f t="shared" si="9"/>
        <v>7.3884990946314533</v>
      </c>
      <c r="R59" s="2">
        <f t="shared" si="9"/>
        <v>6.406851333120267</v>
      </c>
      <c r="S59" s="2">
        <f t="shared" si="9"/>
        <v>6.4000498842654192</v>
      </c>
      <c r="T59" s="2">
        <f t="shared" si="9"/>
        <v>6.3565282383651569</v>
      </c>
      <c r="Z59" s="2"/>
      <c r="AA59" s="2"/>
      <c r="AB59" s="2"/>
      <c r="AC59" s="2"/>
      <c r="AD59" s="2"/>
      <c r="AE59" s="2"/>
      <c r="AF59" s="2"/>
    </row>
    <row r="60" spans="1:32">
      <c r="A60" s="1" t="s">
        <v>117</v>
      </c>
      <c r="B60" s="2">
        <f t="shared" si="8"/>
        <v>4.8450631860681055E-2</v>
      </c>
      <c r="C60" s="2">
        <f t="shared" ref="C60:Q60" si="10">C43*13/C$56</f>
        <v>5.9602084672833303E-2</v>
      </c>
      <c r="D60" s="2">
        <f t="shared" si="10"/>
        <v>6.1722679859388743E-2</v>
      </c>
      <c r="E60" s="2">
        <f t="shared" si="10"/>
        <v>4.2726818007034185E-2</v>
      </c>
      <c r="F60" s="2">
        <f t="shared" si="10"/>
        <v>6.7672923794228401E-2</v>
      </c>
      <c r="G60" s="2">
        <f t="shared" si="10"/>
        <v>6.3384357526657054E-2</v>
      </c>
      <c r="H60" s="2">
        <f t="shared" si="10"/>
        <v>6.553690734880864E-2</v>
      </c>
      <c r="I60" s="2">
        <f t="shared" si="10"/>
        <v>6.6002873751799709E-2</v>
      </c>
      <c r="J60" s="2">
        <f t="shared" si="10"/>
        <v>5.286279589625232E-2</v>
      </c>
      <c r="K60" s="2">
        <f t="shared" si="10"/>
        <v>5.0628926135375472E-2</v>
      </c>
      <c r="L60" s="2">
        <f t="shared" si="10"/>
        <v>6.452646120476542E-2</v>
      </c>
      <c r="M60" s="2">
        <f t="shared" si="10"/>
        <v>6.8813328493540812E-2</v>
      </c>
      <c r="N60" s="2">
        <f t="shared" si="10"/>
        <v>6.8654788871825467E-2</v>
      </c>
      <c r="O60" s="2">
        <f t="shared" si="10"/>
        <v>8.5760064379240317E-2</v>
      </c>
      <c r="P60" s="2">
        <f t="shared" si="10"/>
        <v>0.15424054322166883</v>
      </c>
      <c r="Q60" s="2">
        <f t="shared" si="10"/>
        <v>8.6994831934017677E-3</v>
      </c>
      <c r="R60" s="2">
        <f t="shared" si="9"/>
        <v>0.18300244035906013</v>
      </c>
      <c r="S60" s="2">
        <f t="shared" si="9"/>
        <v>0.17840523004659284</v>
      </c>
      <c r="T60" s="2">
        <f t="shared" si="9"/>
        <v>0.17835640723515161</v>
      </c>
      <c r="Z60" s="2"/>
      <c r="AA60" s="2"/>
      <c r="AB60" s="2"/>
      <c r="AC60" s="2"/>
      <c r="AD60" s="2"/>
      <c r="AE60" s="2"/>
      <c r="AF60" s="2"/>
    </row>
    <row r="61" spans="1:32">
      <c r="A61" s="1" t="s">
        <v>118</v>
      </c>
      <c r="B61" s="2">
        <f t="shared" si="8"/>
        <v>5.7886360790324384E-3</v>
      </c>
      <c r="C61" s="2">
        <f t="shared" si="9"/>
        <v>4.5574113125597133E-3</v>
      </c>
      <c r="D61" s="2">
        <f t="shared" si="9"/>
        <v>3.4154713524663207E-3</v>
      </c>
      <c r="E61" s="2">
        <f t="shared" si="9"/>
        <v>5.7592432530532232E-3</v>
      </c>
      <c r="F61" s="2">
        <f t="shared" si="9"/>
        <v>3.4427380522854549E-3</v>
      </c>
      <c r="G61" s="2">
        <f t="shared" si="9"/>
        <v>2.2979658416620585E-3</v>
      </c>
      <c r="H61" s="2">
        <f t="shared" si="9"/>
        <v>8.0388182004412292E-3</v>
      </c>
      <c r="I61" s="2">
        <f t="shared" si="9"/>
        <v>5.688037991221812E-3</v>
      </c>
      <c r="J61" s="2">
        <f t="shared" si="9"/>
        <v>6.805574202225711E-3</v>
      </c>
      <c r="K61" s="2">
        <f t="shared" si="9"/>
        <v>1.2097775290635115E-3</v>
      </c>
      <c r="L61" s="2">
        <f t="shared" si="9"/>
        <v>5.6534828097717727E-3</v>
      </c>
      <c r="M61" s="2">
        <f t="shared" si="9"/>
        <v>4.5935820815837282E-3</v>
      </c>
      <c r="N61" s="2">
        <f t="shared" si="9"/>
        <v>6.874498332240981E-3</v>
      </c>
      <c r="O61" s="2">
        <f t="shared" si="9"/>
        <v>4.5653856823388026E-3</v>
      </c>
      <c r="P61" s="2">
        <f t="shared" si="9"/>
        <v>1.0653197106753623E-2</v>
      </c>
      <c r="Q61" s="2">
        <f t="shared" si="9"/>
        <v>2.2866144107169684E-3</v>
      </c>
      <c r="R61" s="2">
        <f t="shared" si="9"/>
        <v>1.2984386545415701E-2</v>
      </c>
      <c r="S61" s="2">
        <f t="shared" si="9"/>
        <v>1.2976650762191155E-2</v>
      </c>
      <c r="T61" s="2">
        <f t="shared" si="9"/>
        <v>1.1793726854742446E-2</v>
      </c>
      <c r="Z61" s="2"/>
      <c r="AA61" s="2"/>
      <c r="AB61" s="2"/>
      <c r="AC61" s="2"/>
      <c r="AD61" s="2"/>
      <c r="AE61" s="2"/>
      <c r="AF61" s="2"/>
    </row>
    <row r="62" spans="1:32">
      <c r="A62" s="1" t="s">
        <v>119</v>
      </c>
      <c r="B62" s="2">
        <f t="shared" si="8"/>
        <v>1.6502008509011565</v>
      </c>
      <c r="C62" s="2">
        <f t="shared" si="9"/>
        <v>1.9043050492331912</v>
      </c>
      <c r="D62" s="2">
        <f t="shared" si="9"/>
        <v>1.9996194590768424</v>
      </c>
      <c r="E62" s="2">
        <f t="shared" si="9"/>
        <v>2.0144945724875178</v>
      </c>
      <c r="F62" s="2">
        <f t="shared" si="9"/>
        <v>1.9642523652782347</v>
      </c>
      <c r="G62" s="2">
        <f t="shared" si="9"/>
        <v>2.0403186824428365</v>
      </c>
      <c r="H62" s="2">
        <f t="shared" si="9"/>
        <v>1.9759349706801261</v>
      </c>
      <c r="I62" s="2">
        <f t="shared" si="9"/>
        <v>1.9403996169419826</v>
      </c>
      <c r="J62" s="2">
        <f t="shared" si="9"/>
        <v>1.8382972557783808</v>
      </c>
      <c r="K62" s="2">
        <f t="shared" si="9"/>
        <v>1.6720833381252322</v>
      </c>
      <c r="L62" s="2">
        <f t="shared" si="9"/>
        <v>1.9168106247290828</v>
      </c>
      <c r="M62" s="2">
        <f t="shared" si="9"/>
        <v>2.0101675518273159</v>
      </c>
      <c r="N62" s="2">
        <f t="shared" si="9"/>
        <v>1.9816202035421622</v>
      </c>
      <c r="O62" s="2">
        <f t="shared" si="9"/>
        <v>2.0812133826528121</v>
      </c>
      <c r="P62" s="2">
        <f t="shared" si="9"/>
        <v>1.6748516178598492</v>
      </c>
      <c r="Q62" s="2">
        <f t="shared" si="9"/>
        <v>0.81993738508067826</v>
      </c>
      <c r="R62" s="2">
        <f t="shared" si="9"/>
        <v>1.9905084583236321</v>
      </c>
      <c r="S62" s="2">
        <f t="shared" si="9"/>
        <v>2.0139472440228832</v>
      </c>
      <c r="T62" s="2">
        <f t="shared" si="9"/>
        <v>1.9852613096003009</v>
      </c>
      <c r="Z62" s="2"/>
      <c r="AA62" s="2"/>
      <c r="AB62" s="2"/>
      <c r="AC62" s="2"/>
      <c r="AD62" s="2"/>
      <c r="AE62" s="2"/>
      <c r="AF62" s="2"/>
    </row>
    <row r="63" spans="1:32">
      <c r="A63" s="1" t="s">
        <v>120</v>
      </c>
      <c r="B63" s="2">
        <f t="shared" si="8"/>
        <v>1.6873920286110828</v>
      </c>
      <c r="C63" s="2">
        <f t="shared" si="9"/>
        <v>1.6196382928684783</v>
      </c>
      <c r="D63" s="2">
        <f t="shared" si="9"/>
        <v>1.7460550306094531</v>
      </c>
      <c r="E63" s="2">
        <f t="shared" si="9"/>
        <v>1.7799432937392103</v>
      </c>
      <c r="F63" s="2">
        <f t="shared" si="9"/>
        <v>1.6871669449145401</v>
      </c>
      <c r="G63" s="2">
        <f t="shared" si="9"/>
        <v>1.7803759973475759</v>
      </c>
      <c r="H63" s="2">
        <f t="shared" si="9"/>
        <v>1.637361566547183</v>
      </c>
      <c r="I63" s="2">
        <f t="shared" si="9"/>
        <v>1.6977745949819802</v>
      </c>
      <c r="J63" s="2">
        <f t="shared" si="9"/>
        <v>1.655591325781482</v>
      </c>
      <c r="K63" s="2">
        <f t="shared" si="9"/>
        <v>1.8669012140816961</v>
      </c>
      <c r="L63" s="2">
        <f t="shared" si="9"/>
        <v>1.6408191490043518</v>
      </c>
      <c r="M63" s="2">
        <f t="shared" si="9"/>
        <v>1.6871522220840385</v>
      </c>
      <c r="N63" s="2">
        <f t="shared" si="9"/>
        <v>1.683265177511118</v>
      </c>
      <c r="O63" s="2">
        <f t="shared" si="9"/>
        <v>1.7443991284475182</v>
      </c>
      <c r="P63" s="2">
        <f t="shared" si="9"/>
        <v>1.6814114420026953</v>
      </c>
      <c r="Q63" s="2">
        <f t="shared" si="9"/>
        <v>1.2153168940302113</v>
      </c>
      <c r="R63" s="2">
        <f t="shared" si="9"/>
        <v>1.789103535660028</v>
      </c>
      <c r="S63" s="2">
        <f t="shared" si="9"/>
        <v>1.7805510813313368</v>
      </c>
      <c r="T63" s="2">
        <f t="shared" si="9"/>
        <v>1.8312079012542806</v>
      </c>
      <c r="Z63" s="2"/>
      <c r="AA63" s="2"/>
      <c r="AB63" s="2"/>
      <c r="AC63" s="2"/>
      <c r="AD63" s="2"/>
      <c r="AE63" s="2"/>
      <c r="AF63" s="2"/>
    </row>
    <row r="64" spans="1:32">
      <c r="A64" s="1" t="s">
        <v>121</v>
      </c>
      <c r="B64" s="2">
        <f t="shared" si="8"/>
        <v>8.4339232194973357E-2</v>
      </c>
      <c r="C64" s="2">
        <f t="shared" si="9"/>
        <v>0.10253024809214528</v>
      </c>
      <c r="D64" s="2">
        <f t="shared" si="9"/>
        <v>0.12318710627524482</v>
      </c>
      <c r="E64" s="2">
        <f t="shared" si="9"/>
        <v>0.13697234282011361</v>
      </c>
      <c r="F64" s="2">
        <f t="shared" si="9"/>
        <v>0.10449996338152442</v>
      </c>
      <c r="G64" s="2">
        <f t="shared" si="9"/>
        <v>0.10339685917905581</v>
      </c>
      <c r="H64" s="2">
        <f t="shared" si="9"/>
        <v>9.9653756307417088E-2</v>
      </c>
      <c r="I64" s="2">
        <f t="shared" si="9"/>
        <v>0.10359192353902291</v>
      </c>
      <c r="J64" s="2">
        <f t="shared" si="9"/>
        <v>0.10814788169262</v>
      </c>
      <c r="K64" s="2">
        <f t="shared" si="9"/>
        <v>0.11534798375551818</v>
      </c>
      <c r="L64" s="2">
        <f t="shared" si="9"/>
        <v>0.10901921952424175</v>
      </c>
      <c r="M64" s="2">
        <f t="shared" si="9"/>
        <v>9.4731999149437821E-2</v>
      </c>
      <c r="N64" s="2">
        <f t="shared" si="9"/>
        <v>8.4694135379517629E-2</v>
      </c>
      <c r="O64" s="2">
        <f t="shared" si="9"/>
        <v>8.5591376065567742E-2</v>
      </c>
      <c r="P64" s="2">
        <f t="shared" si="9"/>
        <v>2.7898099657982678E-2</v>
      </c>
      <c r="Q64" s="2">
        <f t="shared" si="9"/>
        <v>2.8171194624304719E-2</v>
      </c>
      <c r="R64" s="2">
        <f t="shared" si="9"/>
        <v>2.2762279060578365E-2</v>
      </c>
      <c r="S64" s="2">
        <f t="shared" si="9"/>
        <v>2.5276353161845837E-2</v>
      </c>
      <c r="T64" s="2">
        <f t="shared" si="9"/>
        <v>2.6532907771902921E-2</v>
      </c>
      <c r="Z64" s="2"/>
      <c r="AA64" s="2"/>
      <c r="AB64" s="2"/>
      <c r="AC64" s="2"/>
      <c r="AD64" s="2"/>
      <c r="AE64" s="2"/>
      <c r="AF64" s="2"/>
    </row>
    <row r="65" spans="1:32">
      <c r="A65" s="1" t="s">
        <v>122</v>
      </c>
      <c r="B65" s="2">
        <f t="shared" si="8"/>
        <v>3.5329667828720491E-3</v>
      </c>
      <c r="C65" s="2">
        <f t="shared" si="9"/>
        <v>0</v>
      </c>
      <c r="D65" s="2">
        <f t="shared" si="9"/>
        <v>0</v>
      </c>
      <c r="E65" s="2">
        <f t="shared" si="9"/>
        <v>3.5150275176597393E-3</v>
      </c>
      <c r="F65" s="2">
        <f t="shared" si="9"/>
        <v>0</v>
      </c>
      <c r="G65" s="2">
        <f t="shared" si="9"/>
        <v>0</v>
      </c>
      <c r="H65" s="2">
        <f t="shared" si="9"/>
        <v>0</v>
      </c>
      <c r="I65" s="2">
        <f t="shared" si="9"/>
        <v>0</v>
      </c>
      <c r="J65" s="2">
        <f t="shared" si="9"/>
        <v>0</v>
      </c>
      <c r="K65" s="2">
        <f t="shared" si="9"/>
        <v>0</v>
      </c>
      <c r="L65" s="2">
        <f t="shared" si="9"/>
        <v>0</v>
      </c>
      <c r="M65" s="2">
        <f t="shared" si="9"/>
        <v>0</v>
      </c>
      <c r="N65" s="2">
        <f t="shared" si="9"/>
        <v>0</v>
      </c>
      <c r="O65" s="2">
        <f t="shared" si="9"/>
        <v>0</v>
      </c>
      <c r="P65" s="2">
        <f t="shared" si="9"/>
        <v>0</v>
      </c>
      <c r="Q65" s="2">
        <f t="shared" si="9"/>
        <v>0</v>
      </c>
      <c r="R65" s="2">
        <f t="shared" si="9"/>
        <v>0</v>
      </c>
      <c r="S65" s="2">
        <f t="shared" si="9"/>
        <v>0</v>
      </c>
      <c r="T65" s="2">
        <f t="shared" si="9"/>
        <v>0</v>
      </c>
      <c r="Z65" s="2"/>
      <c r="AA65" s="2"/>
      <c r="AB65" s="2"/>
      <c r="AC65" s="2"/>
      <c r="AD65" s="2"/>
      <c r="AE65" s="2"/>
      <c r="AF65" s="2"/>
    </row>
    <row r="66" spans="1:32">
      <c r="A66" s="1" t="s">
        <v>123</v>
      </c>
      <c r="B66" s="2">
        <f t="shared" si="8"/>
        <v>2.7195609228157047</v>
      </c>
      <c r="C66" s="2">
        <f t="shared" si="9"/>
        <v>2.792390128759926</v>
      </c>
      <c r="D66" s="2">
        <f t="shared" si="9"/>
        <v>2.5885181064481775</v>
      </c>
      <c r="E66" s="2">
        <f t="shared" si="9"/>
        <v>2.6015174481085137</v>
      </c>
      <c r="F66" s="2">
        <f t="shared" si="9"/>
        <v>2.6481260281441541</v>
      </c>
      <c r="G66" s="2">
        <f t="shared" si="9"/>
        <v>2.5820481434079157</v>
      </c>
      <c r="H66" s="2">
        <f t="shared" si="9"/>
        <v>2.682501543700238</v>
      </c>
      <c r="I66" s="2">
        <f t="shared" si="9"/>
        <v>2.6637200951067124</v>
      </c>
      <c r="J66" s="2">
        <f t="shared" si="9"/>
        <v>2.7456998119016189</v>
      </c>
      <c r="K66" s="2">
        <f t="shared" si="9"/>
        <v>2.5316461232382643</v>
      </c>
      <c r="L66" s="2">
        <f t="shared" si="9"/>
        <v>2.7370680961443861</v>
      </c>
      <c r="M66" s="2">
        <f t="shared" si="9"/>
        <v>2.6370191590570315</v>
      </c>
      <c r="N66" s="2">
        <f t="shared" si="9"/>
        <v>2.5488617202448678</v>
      </c>
      <c r="O66" s="2">
        <f t="shared" si="9"/>
        <v>2.6014668078645791</v>
      </c>
      <c r="P66" s="2">
        <f t="shared" si="9"/>
        <v>2.7582297020384741</v>
      </c>
      <c r="Q66" s="2">
        <f t="shared" si="9"/>
        <v>3.5370893340292322</v>
      </c>
      <c r="R66" s="2">
        <f t="shared" si="9"/>
        <v>2.5947875669310183</v>
      </c>
      <c r="S66" s="2">
        <f t="shared" si="9"/>
        <v>2.5887935564097275</v>
      </c>
      <c r="T66" s="2">
        <f t="shared" si="9"/>
        <v>2.6103195089184661</v>
      </c>
      <c r="Z66" s="2"/>
      <c r="AA66" s="2"/>
      <c r="AB66" s="2"/>
      <c r="AC66" s="2"/>
      <c r="AD66" s="2"/>
      <c r="AE66" s="2"/>
      <c r="AF66" s="2"/>
    </row>
    <row r="67" spans="1:32">
      <c r="A67" s="1" t="s">
        <v>124</v>
      </c>
      <c r="B67" s="2">
        <f t="shared" si="8"/>
        <v>1.6457392663346877</v>
      </c>
      <c r="C67" s="2">
        <f t="shared" si="9"/>
        <v>1.625795458865072</v>
      </c>
      <c r="D67" s="2">
        <f t="shared" si="9"/>
        <v>1.6276504859621737</v>
      </c>
      <c r="E67" s="2">
        <f t="shared" si="9"/>
        <v>1.5608986972649104</v>
      </c>
      <c r="F67" s="2">
        <f t="shared" si="9"/>
        <v>1.6904081169555216</v>
      </c>
      <c r="G67" s="2">
        <f t="shared" si="9"/>
        <v>1.7033747116248983</v>
      </c>
      <c r="H67" s="2">
        <f t="shared" si="9"/>
        <v>1.7149642132314349</v>
      </c>
      <c r="I67" s="2">
        <f t="shared" si="9"/>
        <v>1.666469917507504</v>
      </c>
      <c r="J67" s="2">
        <f t="shared" si="9"/>
        <v>1.5770308321586637</v>
      </c>
      <c r="K67" s="2">
        <f t="shared" si="9"/>
        <v>1.696778542890869</v>
      </c>
      <c r="L67" s="2">
        <f t="shared" si="9"/>
        <v>1.6057822557873498</v>
      </c>
      <c r="M67" s="2">
        <f t="shared" si="9"/>
        <v>1.6822730360571232</v>
      </c>
      <c r="N67" s="2">
        <f t="shared" si="9"/>
        <v>1.6131866093965399</v>
      </c>
      <c r="O67" s="2">
        <f t="shared" si="9"/>
        <v>1.6781335481709925</v>
      </c>
      <c r="P67" s="2">
        <f t="shared" si="9"/>
        <v>1.9457075054845991</v>
      </c>
      <c r="Q67" s="2">
        <f t="shared" si="9"/>
        <v>1.958345501607393</v>
      </c>
      <c r="R67" s="2">
        <f t="shared" si="9"/>
        <v>1.9115072799925654</v>
      </c>
      <c r="S67" s="2">
        <f t="shared" si="9"/>
        <v>1.9231575277130482</v>
      </c>
      <c r="T67" s="2">
        <f t="shared" si="9"/>
        <v>1.9290240205224523</v>
      </c>
      <c r="Z67" s="2"/>
      <c r="AA67" s="2"/>
      <c r="AB67" s="2"/>
      <c r="AC67" s="2"/>
      <c r="AD67" s="2"/>
      <c r="AE67" s="2"/>
      <c r="AF67" s="2"/>
    </row>
    <row r="68" spans="1:32">
      <c r="A68" s="1" t="s">
        <v>125</v>
      </c>
      <c r="B68" s="2">
        <f t="shared" si="8"/>
        <v>0.38325843908146079</v>
      </c>
      <c r="C68" s="2">
        <f t="shared" si="9"/>
        <v>0.39114518241384644</v>
      </c>
      <c r="D68" s="2">
        <f t="shared" si="9"/>
        <v>0.42155869827263909</v>
      </c>
      <c r="E68" s="2">
        <f t="shared" si="9"/>
        <v>0.39261052089392562</v>
      </c>
      <c r="F68" s="2">
        <f t="shared" si="9"/>
        <v>0.39115531926078445</v>
      </c>
      <c r="G68" s="2">
        <f t="shared" si="9"/>
        <v>0.41417380043474533</v>
      </c>
      <c r="H68" s="2">
        <f t="shared" si="9"/>
        <v>0.3858037542685856</v>
      </c>
      <c r="I68" s="2">
        <f t="shared" si="9"/>
        <v>0.39333565133420567</v>
      </c>
      <c r="J68" s="2">
        <f t="shared" si="9"/>
        <v>0.39217901463663185</v>
      </c>
      <c r="K68" s="2">
        <f t="shared" si="9"/>
        <v>0.38268984585695592</v>
      </c>
      <c r="L68" s="2">
        <f t="shared" si="9"/>
        <v>0.42421812262156533</v>
      </c>
      <c r="M68" s="2">
        <f t="shared" si="9"/>
        <v>0.4083299233632689</v>
      </c>
      <c r="N68" s="2">
        <f t="shared" si="9"/>
        <v>0.45796161703371813</v>
      </c>
      <c r="O68" s="2">
        <f t="shared" si="9"/>
        <v>0.42261620287845786</v>
      </c>
      <c r="P68" s="2">
        <f t="shared" si="9"/>
        <v>0.4005606237155182</v>
      </c>
      <c r="Q68" s="2">
        <f t="shared" si="9"/>
        <v>0.20746573331494342</v>
      </c>
      <c r="R68" s="2">
        <f t="shared" si="9"/>
        <v>0.48338919342762826</v>
      </c>
      <c r="S68" s="2">
        <f t="shared" si="9"/>
        <v>0.45417298616690593</v>
      </c>
      <c r="T68" s="2">
        <f t="shared" si="9"/>
        <v>0.46272478581105181</v>
      </c>
      <c r="Z68" s="2"/>
      <c r="AA68" s="2"/>
      <c r="AB68" s="2"/>
      <c r="AC68" s="2"/>
      <c r="AD68" s="2"/>
      <c r="AE68" s="2"/>
      <c r="AF68" s="2"/>
    </row>
    <row r="69" spans="1:32">
      <c r="A69" s="1" t="s">
        <v>126</v>
      </c>
      <c r="B69" s="2">
        <f t="shared" si="8"/>
        <v>4.4831563238777253E-2</v>
      </c>
      <c r="C69" s="2">
        <f t="shared" si="9"/>
        <v>2.5736688637340802E-2</v>
      </c>
      <c r="D69" s="2">
        <f t="shared" si="9"/>
        <v>4.9597473557812563E-2</v>
      </c>
      <c r="E69" s="2">
        <f t="shared" si="9"/>
        <v>4.6462419820921544E-2</v>
      </c>
      <c r="F69" s="2">
        <f t="shared" si="9"/>
        <v>6.2954682822889158E-2</v>
      </c>
      <c r="G69" s="2">
        <f t="shared" si="9"/>
        <v>4.8200697095642939E-2</v>
      </c>
      <c r="H69" s="2">
        <f t="shared" si="9"/>
        <v>3.8911669087249127E-2</v>
      </c>
      <c r="I69" s="2">
        <f t="shared" si="9"/>
        <v>4.2216936790812135E-2</v>
      </c>
      <c r="J69" s="2">
        <f t="shared" si="9"/>
        <v>2.9281943877017623E-2</v>
      </c>
      <c r="K69" s="2">
        <f t="shared" si="9"/>
        <v>5.2703041088518393E-2</v>
      </c>
      <c r="L69" s="2">
        <f t="shared" si="9"/>
        <v>2.5541153398319399E-2</v>
      </c>
      <c r="M69" s="2">
        <f t="shared" si="9"/>
        <v>4.0764354404996476E-2</v>
      </c>
      <c r="N69" s="2">
        <f t="shared" si="9"/>
        <v>4.6216405746460208E-2</v>
      </c>
      <c r="O69" s="2">
        <f t="shared" si="9"/>
        <v>4.6038788625744453E-2</v>
      </c>
      <c r="P69" s="2">
        <f t="shared" si="9"/>
        <v>0.13942052419127307</v>
      </c>
      <c r="Q69" s="2">
        <f t="shared" si="9"/>
        <v>4.7962596565745308E-2</v>
      </c>
      <c r="R69" s="2">
        <f t="shared" si="9"/>
        <v>0.18855165272741739</v>
      </c>
      <c r="S69" s="2">
        <f t="shared" si="9"/>
        <v>0.19414960058669797</v>
      </c>
      <c r="T69" s="2">
        <f t="shared" si="9"/>
        <v>0.17887321665135467</v>
      </c>
      <c r="Z69" s="2"/>
      <c r="AA69" s="2"/>
      <c r="AB69" s="2"/>
      <c r="AC69" s="2"/>
      <c r="AD69" s="2"/>
      <c r="AE69" s="2"/>
      <c r="AF69" s="2"/>
    </row>
    <row r="70" spans="1:32">
      <c r="A70" s="1" t="s">
        <v>89</v>
      </c>
      <c r="B70" s="2">
        <f t="shared" si="8"/>
        <v>0</v>
      </c>
      <c r="C70" s="2">
        <f t="shared" si="9"/>
        <v>0</v>
      </c>
      <c r="D70" s="2">
        <f t="shared" si="9"/>
        <v>0</v>
      </c>
      <c r="E70" s="2">
        <f t="shared" si="9"/>
        <v>0</v>
      </c>
      <c r="F70" s="2">
        <f t="shared" si="9"/>
        <v>0</v>
      </c>
      <c r="G70" s="2">
        <f t="shared" si="9"/>
        <v>0</v>
      </c>
      <c r="H70" s="2">
        <f t="shared" si="9"/>
        <v>0</v>
      </c>
      <c r="I70" s="2">
        <f t="shared" si="9"/>
        <v>0</v>
      </c>
      <c r="J70" s="2">
        <f t="shared" si="9"/>
        <v>0</v>
      </c>
      <c r="K70" s="2">
        <f t="shared" si="9"/>
        <v>0</v>
      </c>
      <c r="L70" s="2">
        <f t="shared" si="9"/>
        <v>0</v>
      </c>
      <c r="M70" s="2">
        <f t="shared" si="9"/>
        <v>0</v>
      </c>
      <c r="N70" s="2">
        <f t="shared" si="9"/>
        <v>0</v>
      </c>
      <c r="O70" s="2">
        <f t="shared" si="9"/>
        <v>0</v>
      </c>
      <c r="P70" s="2">
        <f t="shared" si="9"/>
        <v>0</v>
      </c>
      <c r="Q70" s="2">
        <f t="shared" si="9"/>
        <v>0</v>
      </c>
      <c r="R70" s="2">
        <f t="shared" si="9"/>
        <v>0</v>
      </c>
      <c r="S70" s="2">
        <f t="shared" si="9"/>
        <v>0</v>
      </c>
      <c r="T70" s="2">
        <f t="shared" si="9"/>
        <v>0</v>
      </c>
      <c r="Z70" s="2"/>
      <c r="AA70" s="2"/>
      <c r="AB70" s="2"/>
      <c r="AC70" s="2"/>
      <c r="AD70" s="2"/>
      <c r="AE70" s="2"/>
      <c r="AF70" s="2"/>
    </row>
    <row r="71" spans="1:32">
      <c r="A71" s="1" t="s">
        <v>86</v>
      </c>
      <c r="B71" s="2">
        <f t="shared" si="8"/>
        <v>0</v>
      </c>
      <c r="C71" s="2">
        <f t="shared" si="9"/>
        <v>0</v>
      </c>
      <c r="D71" s="2">
        <f t="shared" si="9"/>
        <v>0</v>
      </c>
      <c r="E71" s="2">
        <f t="shared" si="9"/>
        <v>0</v>
      </c>
      <c r="F71" s="2">
        <f t="shared" si="9"/>
        <v>0</v>
      </c>
      <c r="G71" s="2">
        <f t="shared" si="9"/>
        <v>0</v>
      </c>
      <c r="H71" s="2">
        <f t="shared" si="9"/>
        <v>0</v>
      </c>
      <c r="I71" s="2">
        <f t="shared" si="9"/>
        <v>0</v>
      </c>
      <c r="J71" s="2">
        <f t="shared" si="9"/>
        <v>0</v>
      </c>
      <c r="K71" s="2">
        <f t="shared" si="9"/>
        <v>0</v>
      </c>
      <c r="L71" s="2">
        <f t="shared" si="9"/>
        <v>0</v>
      </c>
      <c r="M71" s="2">
        <f t="shared" si="9"/>
        <v>0</v>
      </c>
      <c r="N71" s="2">
        <f t="shared" si="9"/>
        <v>0</v>
      </c>
      <c r="O71" s="2">
        <f t="shared" si="9"/>
        <v>0</v>
      </c>
      <c r="P71" s="2">
        <f t="shared" si="9"/>
        <v>0</v>
      </c>
      <c r="Q71" s="2">
        <f t="shared" si="9"/>
        <v>0</v>
      </c>
      <c r="R71" s="2">
        <f t="shared" si="9"/>
        <v>0</v>
      </c>
      <c r="S71" s="2">
        <f t="shared" si="9"/>
        <v>0</v>
      </c>
      <c r="T71" s="2">
        <f t="shared" si="9"/>
        <v>0</v>
      </c>
      <c r="Z71" s="2"/>
      <c r="AA71" s="2"/>
      <c r="AB71" s="2"/>
      <c r="AC71" s="2"/>
      <c r="AD71" s="2"/>
      <c r="AE71" s="2"/>
      <c r="AF71" s="2"/>
    </row>
    <row r="72" spans="1:32">
      <c r="A72" s="1" t="s">
        <v>87</v>
      </c>
      <c r="B72" s="2">
        <f t="shared" si="8"/>
        <v>0</v>
      </c>
      <c r="C72" s="2">
        <f t="shared" si="9"/>
        <v>0</v>
      </c>
      <c r="D72" s="2">
        <f t="shared" si="9"/>
        <v>0</v>
      </c>
      <c r="E72" s="2">
        <f t="shared" si="9"/>
        <v>0</v>
      </c>
      <c r="F72" s="2">
        <f t="shared" si="9"/>
        <v>0</v>
      </c>
      <c r="G72" s="2">
        <f t="shared" si="9"/>
        <v>0</v>
      </c>
      <c r="H72" s="2">
        <f t="shared" si="9"/>
        <v>0</v>
      </c>
      <c r="I72" s="2">
        <f t="shared" si="9"/>
        <v>0</v>
      </c>
      <c r="J72" s="2">
        <f t="shared" si="9"/>
        <v>0</v>
      </c>
      <c r="K72" s="2">
        <f t="shared" si="9"/>
        <v>0</v>
      </c>
      <c r="L72" s="2">
        <f t="shared" si="9"/>
        <v>0</v>
      </c>
      <c r="M72" s="2">
        <f t="shared" si="9"/>
        <v>0</v>
      </c>
      <c r="N72" s="2">
        <f t="shared" si="9"/>
        <v>0</v>
      </c>
      <c r="O72" s="2">
        <f t="shared" si="9"/>
        <v>0</v>
      </c>
      <c r="P72" s="2">
        <f t="shared" si="9"/>
        <v>0</v>
      </c>
      <c r="Q72" s="2">
        <f t="shared" si="9"/>
        <v>0</v>
      </c>
      <c r="R72" s="2">
        <f t="shared" si="9"/>
        <v>0</v>
      </c>
      <c r="S72" s="2">
        <f t="shared" si="9"/>
        <v>0</v>
      </c>
      <c r="T72" s="2">
        <f t="shared" si="9"/>
        <v>0</v>
      </c>
      <c r="Z72" s="2"/>
      <c r="AA72" s="2"/>
      <c r="AB72" s="2"/>
      <c r="AC72" s="2"/>
      <c r="AD72" s="2"/>
      <c r="AE72" s="2"/>
      <c r="AF72" s="2"/>
    </row>
    <row r="73" spans="1:32">
      <c r="A73" s="1" t="s">
        <v>115</v>
      </c>
      <c r="B73" s="2">
        <f>SUM(B59:B69)</f>
        <v>15.073829268654924</v>
      </c>
      <c r="C73" s="2">
        <f t="shared" ref="C73:T73" si="11">SUM(C59:C69)</f>
        <v>15.042677329916257</v>
      </c>
      <c r="D73" s="2">
        <f t="shared" si="11"/>
        <v>15.098806657792622</v>
      </c>
      <c r="E73" s="2">
        <f t="shared" si="11"/>
        <v>14.999971637979755</v>
      </c>
      <c r="F73" s="2">
        <f t="shared" si="11"/>
        <v>15.144518119039196</v>
      </c>
      <c r="G73" s="2">
        <f t="shared" si="11"/>
        <v>15.165749209155287</v>
      </c>
      <c r="H73" s="2">
        <f t="shared" si="11"/>
        <v>15.139679636587269</v>
      </c>
      <c r="I73" s="2">
        <f t="shared" si="11"/>
        <v>15.102022505632522</v>
      </c>
      <c r="J73" s="2">
        <f t="shared" si="11"/>
        <v>14.998491790672315</v>
      </c>
      <c r="K73" s="2">
        <f t="shared" si="11"/>
        <v>15.13217142983634</v>
      </c>
      <c r="L73" s="2">
        <f t="shared" si="11"/>
        <v>15.055541531807236</v>
      </c>
      <c r="M73" s="2">
        <f t="shared" si="11"/>
        <v>15.131367313825391</v>
      </c>
      <c r="N73" s="2">
        <f t="shared" si="11"/>
        <v>15.117364632176717</v>
      </c>
      <c r="O73" s="2">
        <f t="shared" si="11"/>
        <v>15.146788539675194</v>
      </c>
      <c r="P73" s="2">
        <f t="shared" si="11"/>
        <v>15.485688653391389</v>
      </c>
      <c r="Q73" s="2">
        <f t="shared" si="11"/>
        <v>15.21377383148808</v>
      </c>
      <c r="R73" s="2">
        <f t="shared" si="11"/>
        <v>15.583448126147609</v>
      </c>
      <c r="S73" s="2">
        <f t="shared" si="11"/>
        <v>15.571480114466651</v>
      </c>
      <c r="T73" s="2">
        <f t="shared" si="11"/>
        <v>15.57062202298486</v>
      </c>
      <c r="Z73" s="2"/>
      <c r="AA73" s="2"/>
      <c r="AB73" s="2"/>
      <c r="AC73" s="2"/>
      <c r="AD73" s="2"/>
      <c r="AE73" s="2"/>
      <c r="AF73" s="2"/>
    </row>
    <row r="74" spans="1:32">
      <c r="Z74" s="2"/>
      <c r="AA74" s="2"/>
      <c r="AB74" s="2"/>
      <c r="AC74" s="2"/>
      <c r="AD74" s="2"/>
      <c r="AE74" s="2"/>
      <c r="AF74" s="2"/>
    </row>
    <row r="75" spans="1:32">
      <c r="A75" s="1" t="s">
        <v>127</v>
      </c>
      <c r="Z75" s="2"/>
      <c r="AA75" s="2"/>
      <c r="AB75" s="2"/>
      <c r="AC75" s="2"/>
      <c r="AD75" s="2"/>
      <c r="AE75" s="2"/>
      <c r="AF75" s="2"/>
    </row>
    <row r="76" spans="1:32">
      <c r="A76" s="1" t="s">
        <v>116</v>
      </c>
      <c r="B76" s="2">
        <f t="shared" ref="B76:Q76" si="12">B59*$D4</f>
        <v>27.202938923017985</v>
      </c>
      <c r="C76" s="2">
        <f t="shared" si="12"/>
        <v>26.067907140243456</v>
      </c>
      <c r="D76" s="2">
        <f t="shared" si="12"/>
        <v>25.909928585513697</v>
      </c>
      <c r="E76" s="2">
        <f t="shared" si="12"/>
        <v>25.660285016267583</v>
      </c>
      <c r="F76" s="2">
        <f t="shared" si="12"/>
        <v>26.099356145740128</v>
      </c>
      <c r="G76" s="2">
        <f t="shared" si="12"/>
        <v>25.712711977017186</v>
      </c>
      <c r="H76" s="2">
        <f t="shared" si="12"/>
        <v>26.123889748863149</v>
      </c>
      <c r="I76" s="2">
        <f t="shared" si="12"/>
        <v>26.091291430749116</v>
      </c>
      <c r="J76" s="2">
        <f t="shared" si="12"/>
        <v>26.37038141898968</v>
      </c>
      <c r="K76" s="2">
        <f t="shared" si="12"/>
        <v>27.048730548539393</v>
      </c>
      <c r="L76" s="2">
        <f t="shared" si="12"/>
        <v>26.104411866333603</v>
      </c>
      <c r="M76" s="2">
        <f t="shared" si="12"/>
        <v>25.990088629228211</v>
      </c>
      <c r="N76" s="2">
        <f t="shared" si="12"/>
        <v>26.50411790447307</v>
      </c>
      <c r="O76" s="2">
        <f t="shared" si="12"/>
        <v>25.588015419631773</v>
      </c>
      <c r="P76" s="2">
        <f t="shared" si="12"/>
        <v>26.770861592450306</v>
      </c>
      <c r="Q76" s="2">
        <f t="shared" si="12"/>
        <v>29.553996378525813</v>
      </c>
      <c r="R76" s="2">
        <f t="shared" ref="C76:T86" si="13">R59*$D4</f>
        <v>25.627405332481068</v>
      </c>
      <c r="S76" s="2">
        <f t="shared" si="13"/>
        <v>25.600199537061677</v>
      </c>
      <c r="T76" s="2">
        <f t="shared" si="13"/>
        <v>25.426112953460628</v>
      </c>
      <c r="Z76" s="2"/>
      <c r="AA76" s="2"/>
      <c r="AB76" s="2"/>
      <c r="AC76" s="2"/>
      <c r="AD76" s="2"/>
      <c r="AE76" s="2"/>
      <c r="AF76" s="2"/>
    </row>
    <row r="77" spans="1:32">
      <c r="A77" s="1" t="s">
        <v>117</v>
      </c>
      <c r="B77" s="2">
        <f t="shared" ref="B77:B86" si="14">B60*$D5</f>
        <v>0.19380252744272422</v>
      </c>
      <c r="C77" s="2">
        <f t="shared" si="13"/>
        <v>0.23840833869133321</v>
      </c>
      <c r="D77" s="2">
        <f t="shared" si="13"/>
        <v>0.24689071943755497</v>
      </c>
      <c r="E77" s="2">
        <f t="shared" si="13"/>
        <v>0.17090727202813674</v>
      </c>
      <c r="F77" s="2">
        <f t="shared" si="13"/>
        <v>0.2706916951769136</v>
      </c>
      <c r="G77" s="2">
        <f t="shared" si="13"/>
        <v>0.25353743010662821</v>
      </c>
      <c r="H77" s="2">
        <f t="shared" si="13"/>
        <v>0.26214762939523456</v>
      </c>
      <c r="I77" s="2">
        <f t="shared" si="13"/>
        <v>0.26401149500719884</v>
      </c>
      <c r="J77" s="2">
        <f t="shared" si="13"/>
        <v>0.21145118358500928</v>
      </c>
      <c r="K77" s="2">
        <f t="shared" si="13"/>
        <v>0.20251570454150189</v>
      </c>
      <c r="L77" s="2">
        <f t="shared" si="13"/>
        <v>0.25810584481906168</v>
      </c>
      <c r="M77" s="2">
        <f t="shared" si="13"/>
        <v>0.27525331397416325</v>
      </c>
      <c r="N77" s="2">
        <f t="shared" si="13"/>
        <v>0.27461915548730187</v>
      </c>
      <c r="O77" s="2">
        <f t="shared" si="13"/>
        <v>0.34304025751696127</v>
      </c>
      <c r="P77" s="2">
        <f t="shared" si="13"/>
        <v>0.61696217288667532</v>
      </c>
      <c r="Q77" s="2">
        <f t="shared" si="13"/>
        <v>3.4797932773607071E-2</v>
      </c>
      <c r="R77" s="2">
        <f t="shared" si="13"/>
        <v>0.73200976143624052</v>
      </c>
      <c r="S77" s="2">
        <f t="shared" si="13"/>
        <v>0.71362092018637135</v>
      </c>
      <c r="T77" s="2">
        <f t="shared" si="13"/>
        <v>0.71342562894060646</v>
      </c>
      <c r="Z77" s="2"/>
      <c r="AA77" s="2"/>
      <c r="AB77" s="2"/>
      <c r="AC77" s="2"/>
      <c r="AD77" s="2"/>
      <c r="AE77" s="2"/>
      <c r="AF77" s="2"/>
    </row>
    <row r="78" spans="1:32">
      <c r="A78" s="1" t="s">
        <v>118</v>
      </c>
      <c r="B78" s="2">
        <f t="shared" si="14"/>
        <v>1.7365908237097313E-2</v>
      </c>
      <c r="C78" s="2">
        <f t="shared" si="13"/>
        <v>1.367223393767914E-2</v>
      </c>
      <c r="D78" s="2">
        <f t="shared" si="13"/>
        <v>1.0246414057398963E-2</v>
      </c>
      <c r="E78" s="2">
        <f t="shared" si="13"/>
        <v>1.7277729759159671E-2</v>
      </c>
      <c r="F78" s="2">
        <f t="shared" si="13"/>
        <v>1.0328214156856365E-2</v>
      </c>
      <c r="G78" s="2">
        <f t="shared" si="13"/>
        <v>6.8938975249861756E-3</v>
      </c>
      <c r="H78" s="2">
        <f t="shared" si="13"/>
        <v>2.4116454601323688E-2</v>
      </c>
      <c r="I78" s="2">
        <f t="shared" si="13"/>
        <v>1.7064113973665435E-2</v>
      </c>
      <c r="J78" s="2">
        <f t="shared" si="13"/>
        <v>2.0416722606677134E-2</v>
      </c>
      <c r="K78" s="2">
        <f t="shared" si="13"/>
        <v>3.6293325871905348E-3</v>
      </c>
      <c r="L78" s="2">
        <f t="shared" si="13"/>
        <v>1.6960448429315319E-2</v>
      </c>
      <c r="M78" s="2">
        <f t="shared" si="13"/>
        <v>1.3780746244751185E-2</v>
      </c>
      <c r="N78" s="2">
        <f t="shared" si="13"/>
        <v>2.0623494996722943E-2</v>
      </c>
      <c r="O78" s="2">
        <f t="shared" si="13"/>
        <v>1.3696157047016409E-2</v>
      </c>
      <c r="P78" s="2">
        <f t="shared" si="13"/>
        <v>3.1959591320260869E-2</v>
      </c>
      <c r="Q78" s="2">
        <f t="shared" si="13"/>
        <v>6.8598432321509053E-3</v>
      </c>
      <c r="R78" s="2">
        <f t="shared" si="13"/>
        <v>3.8953159636247105E-2</v>
      </c>
      <c r="S78" s="2">
        <f t="shared" si="13"/>
        <v>3.8929952286573463E-2</v>
      </c>
      <c r="T78" s="2">
        <f t="shared" si="13"/>
        <v>3.5381180564227337E-2</v>
      </c>
      <c r="Z78" s="2"/>
      <c r="AA78" s="2"/>
      <c r="AB78" s="2"/>
      <c r="AC78" s="2"/>
      <c r="AD78" s="2"/>
      <c r="AE78" s="2"/>
      <c r="AF78" s="2"/>
    </row>
    <row r="79" spans="1:32">
      <c r="A79" s="1" t="s">
        <v>119</v>
      </c>
      <c r="B79" s="2">
        <f t="shared" si="14"/>
        <v>4.9506025527034696</v>
      </c>
      <c r="C79" s="2">
        <f t="shared" si="13"/>
        <v>5.7129151476995741</v>
      </c>
      <c r="D79" s="2">
        <f t="shared" si="13"/>
        <v>5.9988583772305271</v>
      </c>
      <c r="E79" s="2">
        <f t="shared" si="13"/>
        <v>6.0434837174625535</v>
      </c>
      <c r="F79" s="2">
        <f t="shared" si="13"/>
        <v>5.8927570958347042</v>
      </c>
      <c r="G79" s="2">
        <f t="shared" si="13"/>
        <v>6.1209560473285096</v>
      </c>
      <c r="H79" s="2">
        <f t="shared" si="13"/>
        <v>5.9278049120403784</v>
      </c>
      <c r="I79" s="2">
        <f t="shared" si="13"/>
        <v>5.8211988508259473</v>
      </c>
      <c r="J79" s="2">
        <f t="shared" si="13"/>
        <v>5.5148917673351425</v>
      </c>
      <c r="K79" s="2">
        <f t="shared" si="13"/>
        <v>5.0162500143756965</v>
      </c>
      <c r="L79" s="2">
        <f t="shared" si="13"/>
        <v>5.7504318741872487</v>
      </c>
      <c r="M79" s="2">
        <f t="shared" si="13"/>
        <v>6.0305026554819481</v>
      </c>
      <c r="N79" s="2">
        <f t="shared" si="13"/>
        <v>5.9448606106264865</v>
      </c>
      <c r="O79" s="2">
        <f t="shared" si="13"/>
        <v>6.2436401479584358</v>
      </c>
      <c r="P79" s="2">
        <f t="shared" si="13"/>
        <v>5.0245548535795477</v>
      </c>
      <c r="Q79" s="2">
        <f t="shared" si="13"/>
        <v>2.4598121552420347</v>
      </c>
      <c r="R79" s="2">
        <f t="shared" si="13"/>
        <v>5.9715253749708967</v>
      </c>
      <c r="S79" s="2">
        <f t="shared" si="13"/>
        <v>6.0418417320686491</v>
      </c>
      <c r="T79" s="2">
        <f t="shared" si="13"/>
        <v>5.9557839288009031</v>
      </c>
      <c r="Z79" s="2"/>
      <c r="AA79" s="2"/>
      <c r="AB79" s="2"/>
      <c r="AC79" s="2"/>
      <c r="AD79" s="2"/>
      <c r="AE79" s="2"/>
      <c r="AF79" s="2"/>
    </row>
    <row r="80" spans="1:32">
      <c r="A80" s="1" t="s">
        <v>120</v>
      </c>
      <c r="B80" s="2">
        <f t="shared" si="14"/>
        <v>3.3747840572221657</v>
      </c>
      <c r="C80" s="2">
        <f t="shared" si="13"/>
        <v>3.2392765857369565</v>
      </c>
      <c r="D80" s="2">
        <f t="shared" si="13"/>
        <v>3.4921100612189062</v>
      </c>
      <c r="E80" s="2">
        <f t="shared" si="13"/>
        <v>3.5598865874784207</v>
      </c>
      <c r="F80" s="2">
        <f t="shared" si="13"/>
        <v>3.3743338898290802</v>
      </c>
      <c r="G80" s="2">
        <f t="shared" si="13"/>
        <v>3.5607519946951518</v>
      </c>
      <c r="H80" s="2">
        <f t="shared" si="13"/>
        <v>3.274723133094366</v>
      </c>
      <c r="I80" s="2">
        <f t="shared" si="13"/>
        <v>3.3955491899639605</v>
      </c>
      <c r="J80" s="2">
        <f t="shared" si="13"/>
        <v>3.3111826515629641</v>
      </c>
      <c r="K80" s="2">
        <f t="shared" si="13"/>
        <v>3.7338024281633921</v>
      </c>
      <c r="L80" s="2">
        <f t="shared" si="13"/>
        <v>3.2816382980087035</v>
      </c>
      <c r="M80" s="2">
        <f t="shared" si="13"/>
        <v>3.374304444168077</v>
      </c>
      <c r="N80" s="2">
        <f t="shared" si="13"/>
        <v>3.3665303550222361</v>
      </c>
      <c r="O80" s="2">
        <f t="shared" si="13"/>
        <v>3.4887982568950364</v>
      </c>
      <c r="P80" s="2">
        <f t="shared" si="13"/>
        <v>3.3628228840053906</v>
      </c>
      <c r="Q80" s="2">
        <f t="shared" si="13"/>
        <v>2.4306337880604225</v>
      </c>
      <c r="R80" s="2">
        <f t="shared" si="13"/>
        <v>3.578207071320056</v>
      </c>
      <c r="S80" s="2">
        <f t="shared" si="13"/>
        <v>3.5611021626626735</v>
      </c>
      <c r="T80" s="2">
        <f t="shared" si="13"/>
        <v>3.6624158025085611</v>
      </c>
      <c r="Z80" s="2"/>
      <c r="AA80" s="2"/>
      <c r="AB80" s="2"/>
      <c r="AC80" s="2"/>
      <c r="AD80" s="2"/>
      <c r="AE80" s="2"/>
      <c r="AF80" s="2"/>
    </row>
    <row r="81" spans="1:32">
      <c r="A81" s="1" t="s">
        <v>121</v>
      </c>
      <c r="B81" s="2">
        <f t="shared" si="14"/>
        <v>0.16867846438994671</v>
      </c>
      <c r="C81" s="2">
        <f t="shared" si="13"/>
        <v>0.20506049618429056</v>
      </c>
      <c r="D81" s="2">
        <f t="shared" si="13"/>
        <v>0.24637421255048964</v>
      </c>
      <c r="E81" s="2">
        <f t="shared" si="13"/>
        <v>0.27394468564022723</v>
      </c>
      <c r="F81" s="2">
        <f t="shared" si="13"/>
        <v>0.20899992676304885</v>
      </c>
      <c r="G81" s="2">
        <f t="shared" si="13"/>
        <v>0.20679371835811161</v>
      </c>
      <c r="H81" s="2">
        <f t="shared" si="13"/>
        <v>0.19930751261483418</v>
      </c>
      <c r="I81" s="2">
        <f t="shared" si="13"/>
        <v>0.20718384707804582</v>
      </c>
      <c r="J81" s="2">
        <f t="shared" si="13"/>
        <v>0.21629576338524001</v>
      </c>
      <c r="K81" s="2">
        <f t="shared" si="13"/>
        <v>0.23069596751103635</v>
      </c>
      <c r="L81" s="2">
        <f t="shared" si="13"/>
        <v>0.2180384390484835</v>
      </c>
      <c r="M81" s="2">
        <f t="shared" si="13"/>
        <v>0.18946399829887564</v>
      </c>
      <c r="N81" s="2">
        <f t="shared" si="13"/>
        <v>0.16938827075903526</v>
      </c>
      <c r="O81" s="2">
        <f t="shared" si="13"/>
        <v>0.17118275213113548</v>
      </c>
      <c r="P81" s="2">
        <f t="shared" si="13"/>
        <v>5.5796199315965356E-2</v>
      </c>
      <c r="Q81" s="2">
        <f t="shared" si="13"/>
        <v>5.6342389248609438E-2</v>
      </c>
      <c r="R81" s="2">
        <f t="shared" si="13"/>
        <v>4.552455812115673E-2</v>
      </c>
      <c r="S81" s="2">
        <f t="shared" si="13"/>
        <v>5.0552706323691673E-2</v>
      </c>
      <c r="T81" s="2">
        <f t="shared" si="13"/>
        <v>5.3065815543805843E-2</v>
      </c>
      <c r="Z81" s="2"/>
      <c r="AA81" s="2"/>
      <c r="AB81" s="2"/>
      <c r="AC81" s="2"/>
      <c r="AD81" s="2"/>
      <c r="AE81" s="2"/>
      <c r="AF81" s="2"/>
    </row>
    <row r="82" spans="1:32">
      <c r="A82" s="1" t="s">
        <v>122</v>
      </c>
      <c r="B82" s="2">
        <f t="shared" si="14"/>
        <v>7.0659335657440982E-3</v>
      </c>
      <c r="C82" s="2">
        <f t="shared" si="13"/>
        <v>0</v>
      </c>
      <c r="D82" s="2">
        <f t="shared" si="13"/>
        <v>0</v>
      </c>
      <c r="E82" s="2">
        <f t="shared" si="13"/>
        <v>7.0300550353194786E-3</v>
      </c>
      <c r="F82" s="2">
        <f t="shared" si="13"/>
        <v>0</v>
      </c>
      <c r="G82" s="2">
        <f t="shared" si="13"/>
        <v>0</v>
      </c>
      <c r="H82" s="2">
        <f t="shared" si="13"/>
        <v>0</v>
      </c>
      <c r="I82" s="2">
        <f t="shared" si="13"/>
        <v>0</v>
      </c>
      <c r="J82" s="2">
        <f t="shared" si="13"/>
        <v>0</v>
      </c>
      <c r="K82" s="2">
        <f t="shared" si="13"/>
        <v>0</v>
      </c>
      <c r="L82" s="2">
        <f t="shared" si="13"/>
        <v>0</v>
      </c>
      <c r="M82" s="2">
        <f t="shared" si="13"/>
        <v>0</v>
      </c>
      <c r="N82" s="2">
        <f t="shared" si="13"/>
        <v>0</v>
      </c>
      <c r="O82" s="2">
        <f t="shared" si="13"/>
        <v>0</v>
      </c>
      <c r="P82" s="2">
        <f t="shared" si="13"/>
        <v>0</v>
      </c>
      <c r="Q82" s="2">
        <f t="shared" si="13"/>
        <v>0</v>
      </c>
      <c r="R82" s="2">
        <f t="shared" si="13"/>
        <v>0</v>
      </c>
      <c r="S82" s="2">
        <f t="shared" si="13"/>
        <v>0</v>
      </c>
      <c r="T82" s="2">
        <f t="shared" si="13"/>
        <v>0</v>
      </c>
      <c r="Z82" s="2"/>
      <c r="AA82" s="2"/>
      <c r="AB82" s="2"/>
      <c r="AC82" s="2"/>
      <c r="AD82" s="2"/>
      <c r="AE82" s="2"/>
      <c r="AF82" s="2"/>
    </row>
    <row r="83" spans="1:32">
      <c r="A83" s="1" t="s">
        <v>123</v>
      </c>
      <c r="B83" s="2">
        <f t="shared" si="14"/>
        <v>5.4391218456314094</v>
      </c>
      <c r="C83" s="2">
        <f t="shared" si="13"/>
        <v>5.584780257519852</v>
      </c>
      <c r="D83" s="2">
        <f t="shared" si="13"/>
        <v>5.177036212896355</v>
      </c>
      <c r="E83" s="2">
        <f t="shared" si="13"/>
        <v>5.2030348962170274</v>
      </c>
      <c r="F83" s="2">
        <f t="shared" si="13"/>
        <v>5.2962520562883082</v>
      </c>
      <c r="G83" s="2">
        <f t="shared" si="13"/>
        <v>5.1640962868158313</v>
      </c>
      <c r="H83" s="2">
        <f t="shared" si="13"/>
        <v>5.3650030874004759</v>
      </c>
      <c r="I83" s="2">
        <f t="shared" si="13"/>
        <v>5.3274401902134247</v>
      </c>
      <c r="J83" s="2">
        <f t="shared" si="13"/>
        <v>5.4913996238032379</v>
      </c>
      <c r="K83" s="2">
        <f t="shared" si="13"/>
        <v>5.0632922464765286</v>
      </c>
      <c r="L83" s="2">
        <f t="shared" si="13"/>
        <v>5.4741361922887721</v>
      </c>
      <c r="M83" s="2">
        <f t="shared" si="13"/>
        <v>5.2740383181140631</v>
      </c>
      <c r="N83" s="2">
        <f t="shared" si="13"/>
        <v>5.0977234404897356</v>
      </c>
      <c r="O83" s="2">
        <f t="shared" si="13"/>
        <v>5.2029336157291581</v>
      </c>
      <c r="P83" s="2">
        <f t="shared" si="13"/>
        <v>5.5164594040769481</v>
      </c>
      <c r="Q83" s="2">
        <f t="shared" si="13"/>
        <v>7.0741786680584644</v>
      </c>
      <c r="R83" s="2">
        <f t="shared" si="13"/>
        <v>5.1895751338620366</v>
      </c>
      <c r="S83" s="2">
        <f t="shared" si="13"/>
        <v>5.1775871128194551</v>
      </c>
      <c r="T83" s="2">
        <f t="shared" si="13"/>
        <v>5.2206390178369322</v>
      </c>
      <c r="Z83" s="2"/>
      <c r="AA83" s="2"/>
      <c r="AB83" s="2"/>
      <c r="AC83" s="2"/>
      <c r="AD83" s="2"/>
      <c r="AE83" s="2"/>
      <c r="AF83" s="2"/>
    </row>
    <row r="84" spans="1:32">
      <c r="A84" s="1" t="s">
        <v>124</v>
      </c>
      <c r="B84" s="2">
        <f t="shared" si="14"/>
        <v>3.2914785326693754</v>
      </c>
      <c r="C84" s="2">
        <f t="shared" si="13"/>
        <v>3.2515909177301441</v>
      </c>
      <c r="D84" s="2">
        <f t="shared" si="13"/>
        <v>3.2553009719243473</v>
      </c>
      <c r="E84" s="2">
        <f t="shared" si="13"/>
        <v>3.1217973945298207</v>
      </c>
      <c r="F84" s="2">
        <f t="shared" si="13"/>
        <v>3.3808162339110432</v>
      </c>
      <c r="G84" s="2">
        <f t="shared" si="13"/>
        <v>3.4067494232497966</v>
      </c>
      <c r="H84" s="2">
        <f t="shared" si="13"/>
        <v>3.4299284264628698</v>
      </c>
      <c r="I84" s="2">
        <f t="shared" si="13"/>
        <v>3.3329398350150079</v>
      </c>
      <c r="J84" s="2">
        <f t="shared" si="13"/>
        <v>3.1540616643173274</v>
      </c>
      <c r="K84" s="2">
        <f t="shared" si="13"/>
        <v>3.3935570857817381</v>
      </c>
      <c r="L84" s="2">
        <f t="shared" si="13"/>
        <v>3.2115645115746996</v>
      </c>
      <c r="M84" s="2">
        <f t="shared" si="13"/>
        <v>3.3645460721142464</v>
      </c>
      <c r="N84" s="2">
        <f t="shared" si="13"/>
        <v>3.2263732187930798</v>
      </c>
      <c r="O84" s="2">
        <f t="shared" si="13"/>
        <v>3.3562670963419849</v>
      </c>
      <c r="P84" s="2">
        <f t="shared" si="13"/>
        <v>3.8914150109691983</v>
      </c>
      <c r="Q84" s="2">
        <f t="shared" si="13"/>
        <v>3.9166910032147859</v>
      </c>
      <c r="R84" s="2">
        <f t="shared" si="13"/>
        <v>3.8230145599851308</v>
      </c>
      <c r="S84" s="2">
        <f t="shared" si="13"/>
        <v>3.8463150554260963</v>
      </c>
      <c r="T84" s="2">
        <f t="shared" si="13"/>
        <v>3.8580480410449045</v>
      </c>
      <c r="Z84" s="2"/>
      <c r="AA84" s="2"/>
      <c r="AB84" s="2"/>
      <c r="AC84" s="2"/>
      <c r="AD84" s="2"/>
      <c r="AE84" s="2"/>
      <c r="AF84" s="2"/>
    </row>
    <row r="85" spans="1:32">
      <c r="A85" s="1" t="s">
        <v>125</v>
      </c>
      <c r="B85" s="2">
        <f t="shared" si="14"/>
        <v>0.38325843908146079</v>
      </c>
      <c r="C85" s="2">
        <f t="shared" si="13"/>
        <v>0.39114518241384644</v>
      </c>
      <c r="D85" s="2">
        <f t="shared" si="13"/>
        <v>0.42155869827263909</v>
      </c>
      <c r="E85" s="2">
        <f t="shared" si="13"/>
        <v>0.39261052089392562</v>
      </c>
      <c r="F85" s="2">
        <f t="shared" si="13"/>
        <v>0.39115531926078445</v>
      </c>
      <c r="G85" s="2">
        <f t="shared" si="13"/>
        <v>0.41417380043474533</v>
      </c>
      <c r="H85" s="2">
        <f t="shared" si="13"/>
        <v>0.3858037542685856</v>
      </c>
      <c r="I85" s="2">
        <f t="shared" si="13"/>
        <v>0.39333565133420567</v>
      </c>
      <c r="J85" s="2">
        <f t="shared" si="13"/>
        <v>0.39217901463663185</v>
      </c>
      <c r="K85" s="2">
        <f t="shared" si="13"/>
        <v>0.38268984585695592</v>
      </c>
      <c r="L85" s="2">
        <f t="shared" si="13"/>
        <v>0.42421812262156533</v>
      </c>
      <c r="M85" s="2">
        <f t="shared" si="13"/>
        <v>0.4083299233632689</v>
      </c>
      <c r="N85" s="2">
        <f t="shared" si="13"/>
        <v>0.45796161703371813</v>
      </c>
      <c r="O85" s="2">
        <f t="shared" si="13"/>
        <v>0.42261620287845786</v>
      </c>
      <c r="P85" s="2">
        <f t="shared" si="13"/>
        <v>0.4005606237155182</v>
      </c>
      <c r="Q85" s="2">
        <f t="shared" si="13"/>
        <v>0.20746573331494342</v>
      </c>
      <c r="R85" s="2">
        <f t="shared" si="13"/>
        <v>0.48338919342762826</v>
      </c>
      <c r="S85" s="2">
        <f t="shared" si="13"/>
        <v>0.45417298616690593</v>
      </c>
      <c r="T85" s="2">
        <f t="shared" si="13"/>
        <v>0.46272478581105181</v>
      </c>
      <c r="Z85" s="2"/>
      <c r="AA85" s="2"/>
      <c r="AB85" s="2"/>
      <c r="AC85" s="2"/>
      <c r="AD85" s="2"/>
      <c r="AE85" s="2"/>
      <c r="AF85" s="2"/>
    </row>
    <row r="86" spans="1:32">
      <c r="A86" s="1" t="s">
        <v>126</v>
      </c>
      <c r="B86" s="2">
        <f t="shared" si="14"/>
        <v>4.4831563238777253E-2</v>
      </c>
      <c r="C86" s="2">
        <f t="shared" si="13"/>
        <v>2.5736688637340802E-2</v>
      </c>
      <c r="D86" s="2">
        <f t="shared" si="13"/>
        <v>4.9597473557812563E-2</v>
      </c>
      <c r="E86" s="2">
        <f t="shared" si="13"/>
        <v>4.6462419820921544E-2</v>
      </c>
      <c r="F86" s="2">
        <f t="shared" si="13"/>
        <v>6.2954682822889158E-2</v>
      </c>
      <c r="G86" s="2">
        <f t="shared" si="13"/>
        <v>4.8200697095642939E-2</v>
      </c>
      <c r="H86" s="2">
        <f t="shared" si="13"/>
        <v>3.8911669087249127E-2</v>
      </c>
      <c r="I86" s="2">
        <f t="shared" si="13"/>
        <v>4.2216936790812135E-2</v>
      </c>
      <c r="J86" s="2">
        <f t="shared" si="13"/>
        <v>2.9281943877017623E-2</v>
      </c>
      <c r="K86" s="2">
        <f t="shared" si="13"/>
        <v>5.2703041088518393E-2</v>
      </c>
      <c r="L86" s="2">
        <f t="shared" si="13"/>
        <v>2.5541153398319399E-2</v>
      </c>
      <c r="M86" s="2">
        <f t="shared" si="13"/>
        <v>4.0764354404996476E-2</v>
      </c>
      <c r="N86" s="2">
        <f t="shared" si="13"/>
        <v>4.6216405746460208E-2</v>
      </c>
      <c r="O86" s="2">
        <f t="shared" si="13"/>
        <v>4.6038788625744453E-2</v>
      </c>
      <c r="P86" s="2">
        <f t="shared" si="13"/>
        <v>0.13942052419127307</v>
      </c>
      <c r="Q86" s="2">
        <f t="shared" si="13"/>
        <v>4.7962596565745308E-2</v>
      </c>
      <c r="R86" s="2">
        <f t="shared" si="13"/>
        <v>0.18855165272741739</v>
      </c>
      <c r="S86" s="2">
        <f t="shared" si="13"/>
        <v>0.19414960058669797</v>
      </c>
      <c r="T86" s="2">
        <f t="shared" si="13"/>
        <v>0.17887321665135467</v>
      </c>
      <c r="Z86" s="2"/>
      <c r="AA86" s="2"/>
      <c r="AB86" s="2"/>
      <c r="AC86" s="2"/>
      <c r="AD86" s="2"/>
      <c r="AE86" s="2"/>
      <c r="AF86" s="2"/>
    </row>
    <row r="87" spans="1:32">
      <c r="A87" s="1" t="s">
        <v>89</v>
      </c>
      <c r="B87" s="2">
        <f>B70*$D16</f>
        <v>0</v>
      </c>
      <c r="C87" s="2">
        <f t="shared" ref="C87:T87" si="15">C70*$D16</f>
        <v>0</v>
      </c>
      <c r="D87" s="2">
        <f t="shared" si="15"/>
        <v>0</v>
      </c>
      <c r="E87" s="2">
        <f t="shared" si="15"/>
        <v>0</v>
      </c>
      <c r="F87" s="2">
        <f t="shared" si="15"/>
        <v>0</v>
      </c>
      <c r="G87" s="2">
        <f t="shared" si="15"/>
        <v>0</v>
      </c>
      <c r="H87" s="2">
        <f t="shared" si="15"/>
        <v>0</v>
      </c>
      <c r="I87" s="2">
        <f t="shared" si="15"/>
        <v>0</v>
      </c>
      <c r="J87" s="2">
        <f t="shared" si="15"/>
        <v>0</v>
      </c>
      <c r="K87" s="2">
        <f t="shared" si="15"/>
        <v>0</v>
      </c>
      <c r="L87" s="2">
        <f t="shared" si="15"/>
        <v>0</v>
      </c>
      <c r="M87" s="2">
        <f t="shared" si="15"/>
        <v>0</v>
      </c>
      <c r="N87" s="2">
        <f t="shared" si="15"/>
        <v>0</v>
      </c>
      <c r="O87" s="2">
        <f t="shared" si="15"/>
        <v>0</v>
      </c>
      <c r="P87" s="2">
        <f t="shared" si="15"/>
        <v>0</v>
      </c>
      <c r="Q87" s="2">
        <f t="shared" si="15"/>
        <v>0</v>
      </c>
      <c r="R87" s="2">
        <f t="shared" si="15"/>
        <v>0</v>
      </c>
      <c r="S87" s="2">
        <f t="shared" si="15"/>
        <v>0</v>
      </c>
      <c r="T87" s="2">
        <f t="shared" si="15"/>
        <v>0</v>
      </c>
      <c r="Z87" s="2"/>
      <c r="AA87" s="2"/>
      <c r="AB87" s="2"/>
      <c r="AC87" s="2"/>
      <c r="AD87" s="2"/>
      <c r="AE87" s="2"/>
      <c r="AF87" s="2"/>
    </row>
    <row r="88" spans="1:32">
      <c r="A88" s="1" t="s">
        <v>86</v>
      </c>
      <c r="B88" s="2">
        <f>B71*$D17</f>
        <v>0</v>
      </c>
      <c r="C88" s="2">
        <f t="shared" ref="C88:T88" si="16">C71*$D17</f>
        <v>0</v>
      </c>
      <c r="D88" s="2">
        <f t="shared" si="16"/>
        <v>0</v>
      </c>
      <c r="E88" s="2">
        <f t="shared" si="16"/>
        <v>0</v>
      </c>
      <c r="F88" s="2">
        <f t="shared" si="16"/>
        <v>0</v>
      </c>
      <c r="G88" s="2">
        <f t="shared" si="16"/>
        <v>0</v>
      </c>
      <c r="H88" s="2">
        <f t="shared" si="16"/>
        <v>0</v>
      </c>
      <c r="I88" s="2">
        <f t="shared" si="16"/>
        <v>0</v>
      </c>
      <c r="J88" s="2">
        <f t="shared" si="16"/>
        <v>0</v>
      </c>
      <c r="K88" s="2">
        <f t="shared" si="16"/>
        <v>0</v>
      </c>
      <c r="L88" s="2">
        <f t="shared" si="16"/>
        <v>0</v>
      </c>
      <c r="M88" s="2">
        <f t="shared" si="16"/>
        <v>0</v>
      </c>
      <c r="N88" s="2">
        <f t="shared" si="16"/>
        <v>0</v>
      </c>
      <c r="O88" s="2">
        <f t="shared" si="16"/>
        <v>0</v>
      </c>
      <c r="P88" s="2">
        <f t="shared" si="16"/>
        <v>0</v>
      </c>
      <c r="Q88" s="2">
        <f t="shared" si="16"/>
        <v>0</v>
      </c>
      <c r="R88" s="2">
        <f t="shared" si="16"/>
        <v>0</v>
      </c>
      <c r="S88" s="2">
        <f t="shared" si="16"/>
        <v>0</v>
      </c>
      <c r="T88" s="2">
        <f t="shared" si="16"/>
        <v>0</v>
      </c>
      <c r="Z88" s="2"/>
      <c r="AA88" s="2"/>
      <c r="AB88" s="2"/>
      <c r="AC88" s="2"/>
      <c r="AD88" s="2"/>
      <c r="AE88" s="2"/>
      <c r="AF88" s="2"/>
    </row>
    <row r="89" spans="1:32">
      <c r="A89" s="1" t="s">
        <v>87</v>
      </c>
      <c r="B89" s="2">
        <f>B72*$D18</f>
        <v>0</v>
      </c>
      <c r="C89" s="2">
        <f t="shared" ref="C89:T89" si="17">C72*$D18</f>
        <v>0</v>
      </c>
      <c r="D89" s="2">
        <f t="shared" si="17"/>
        <v>0</v>
      </c>
      <c r="E89" s="2">
        <f t="shared" si="17"/>
        <v>0</v>
      </c>
      <c r="F89" s="2">
        <f t="shared" si="17"/>
        <v>0</v>
      </c>
      <c r="G89" s="2">
        <f t="shared" si="17"/>
        <v>0</v>
      </c>
      <c r="H89" s="2">
        <f t="shared" si="17"/>
        <v>0</v>
      </c>
      <c r="I89" s="2">
        <f t="shared" si="17"/>
        <v>0</v>
      </c>
      <c r="J89" s="2">
        <f t="shared" si="17"/>
        <v>0</v>
      </c>
      <c r="K89" s="2">
        <f t="shared" si="17"/>
        <v>0</v>
      </c>
      <c r="L89" s="2">
        <f t="shared" si="17"/>
        <v>0</v>
      </c>
      <c r="M89" s="2">
        <f t="shared" si="17"/>
        <v>0</v>
      </c>
      <c r="N89" s="2">
        <f t="shared" si="17"/>
        <v>0</v>
      </c>
      <c r="O89" s="2">
        <f t="shared" si="17"/>
        <v>0</v>
      </c>
      <c r="P89" s="2">
        <f t="shared" si="17"/>
        <v>0</v>
      </c>
      <c r="Q89" s="2">
        <f t="shared" si="17"/>
        <v>0</v>
      </c>
      <c r="R89" s="2">
        <f t="shared" si="17"/>
        <v>0</v>
      </c>
      <c r="S89" s="2">
        <f t="shared" si="17"/>
        <v>0</v>
      </c>
      <c r="T89" s="2">
        <f t="shared" si="17"/>
        <v>0</v>
      </c>
      <c r="Z89" s="2"/>
      <c r="AA89" s="2"/>
      <c r="AB89" s="2"/>
      <c r="AC89" s="2"/>
      <c r="AD89" s="2"/>
      <c r="AE89" s="2"/>
      <c r="AF89" s="2"/>
    </row>
    <row r="90" spans="1:32">
      <c r="A90" s="1" t="s">
        <v>115</v>
      </c>
      <c r="B90" s="2">
        <f>SUM(B76:B86)</f>
        <v>45.073928747200156</v>
      </c>
      <c r="C90" s="2">
        <f t="shared" ref="C90:T90" si="18">SUM(C76:C86)</f>
        <v>44.730492988794467</v>
      </c>
      <c r="D90" s="2">
        <f t="shared" si="18"/>
        <v>44.807901726659736</v>
      </c>
      <c r="E90" s="2">
        <f t="shared" si="18"/>
        <v>44.496720295133095</v>
      </c>
      <c r="F90" s="2">
        <f t="shared" si="18"/>
        <v>44.987645259783761</v>
      </c>
      <c r="G90" s="2">
        <f t="shared" si="18"/>
        <v>44.894865272626603</v>
      </c>
      <c r="H90" s="2">
        <f t="shared" si="18"/>
        <v>45.031636327828473</v>
      </c>
      <c r="I90" s="2">
        <f t="shared" si="18"/>
        <v>44.892231540951386</v>
      </c>
      <c r="J90" s="2">
        <f t="shared" si="18"/>
        <v>44.711541754098924</v>
      </c>
      <c r="K90" s="2">
        <f t="shared" si="18"/>
        <v>45.127866214921958</v>
      </c>
      <c r="L90" s="2">
        <f t="shared" si="18"/>
        <v>44.765046750709779</v>
      </c>
      <c r="M90" s="2">
        <f t="shared" si="18"/>
        <v>44.961072455392603</v>
      </c>
      <c r="N90" s="2">
        <f t="shared" si="18"/>
        <v>45.10841447342785</v>
      </c>
      <c r="O90" s="2">
        <f t="shared" si="18"/>
        <v>44.87622869475571</v>
      </c>
      <c r="P90" s="2">
        <f t="shared" si="18"/>
        <v>45.810812856511085</v>
      </c>
      <c r="Q90" s="2">
        <f t="shared" si="18"/>
        <v>45.788740488236577</v>
      </c>
      <c r="R90" s="2">
        <f t="shared" si="18"/>
        <v>45.678155797967882</v>
      </c>
      <c r="S90" s="2">
        <f t="shared" si="18"/>
        <v>45.678471765588782</v>
      </c>
      <c r="T90" s="2">
        <f t="shared" si="18"/>
        <v>45.566470371162971</v>
      </c>
      <c r="Z90" s="2"/>
      <c r="AA90" s="2"/>
      <c r="AB90" s="2"/>
      <c r="AC90" s="2"/>
      <c r="AD90" s="2"/>
      <c r="AE90" s="2"/>
      <c r="AF90" s="2"/>
    </row>
    <row r="91" spans="1:32">
      <c r="Z91" s="2"/>
      <c r="AA91" s="2"/>
      <c r="AB91" s="2"/>
      <c r="AC91" s="2"/>
      <c r="AD91" s="2"/>
      <c r="AE91" s="2"/>
      <c r="AF91" s="2"/>
    </row>
    <row r="92" spans="1:32">
      <c r="A92" s="1" t="s">
        <v>128</v>
      </c>
      <c r="B92" s="2">
        <f>46-B90</f>
        <v>0.92607125279984359</v>
      </c>
      <c r="C92" s="2">
        <f t="shared" ref="C92:T92" si="19">46-C90</f>
        <v>1.2695070112055333</v>
      </c>
      <c r="D92" s="2">
        <f t="shared" si="19"/>
        <v>1.1920982733402639</v>
      </c>
      <c r="E92" s="2">
        <f t="shared" si="19"/>
        <v>1.5032797048669053</v>
      </c>
      <c r="F92" s="2">
        <f t="shared" si="19"/>
        <v>1.0123547402162387</v>
      </c>
      <c r="G92" s="2">
        <f t="shared" si="19"/>
        <v>1.1051347273733967</v>
      </c>
      <c r="H92" s="2">
        <f t="shared" si="19"/>
        <v>0.96836367217152741</v>
      </c>
      <c r="I92" s="2">
        <f t="shared" si="19"/>
        <v>1.1077684590486143</v>
      </c>
      <c r="J92" s="2">
        <f t="shared" si="19"/>
        <v>1.2884582459010758</v>
      </c>
      <c r="K92" s="2">
        <f t="shared" si="19"/>
        <v>0.87213378507804151</v>
      </c>
      <c r="L92" s="2">
        <f t="shared" si="19"/>
        <v>1.2349532492902213</v>
      </c>
      <c r="M92" s="2">
        <f t="shared" si="19"/>
        <v>1.0389275446073967</v>
      </c>
      <c r="N92" s="2">
        <f t="shared" si="19"/>
        <v>0.8915855265721504</v>
      </c>
      <c r="O92" s="2">
        <f t="shared" si="19"/>
        <v>1.1237713052442899</v>
      </c>
      <c r="P92" s="2">
        <f t="shared" si="19"/>
        <v>0.18918714348891541</v>
      </c>
      <c r="Q92" s="2">
        <f t="shared" si="19"/>
        <v>0.21125951176342284</v>
      </c>
      <c r="R92" s="2">
        <f t="shared" si="19"/>
        <v>0.32184420203211772</v>
      </c>
      <c r="S92" s="2">
        <f t="shared" si="19"/>
        <v>0.32152823441121825</v>
      </c>
      <c r="T92" s="2">
        <f t="shared" si="19"/>
        <v>0.43352962883702872</v>
      </c>
      <c r="Z92" s="2"/>
      <c r="AA92" s="2"/>
      <c r="AB92" s="2"/>
      <c r="AC92" s="2"/>
      <c r="AD92" s="2"/>
      <c r="AE92" s="2"/>
      <c r="AF92" s="2"/>
    </row>
    <row r="93" spans="1:32">
      <c r="Z93" s="2"/>
      <c r="AA93" s="2"/>
      <c r="AB93" s="2"/>
      <c r="AC93" s="2"/>
      <c r="AD93" s="2"/>
      <c r="AE93" s="2"/>
      <c r="AF93" s="2"/>
    </row>
    <row r="94" spans="1:32" s="23" customFormat="1">
      <c r="A94" s="21" t="s">
        <v>134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s="5" customFormat="1">
      <c r="A95" s="4" t="s">
        <v>129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s="5" customFormat="1">
      <c r="A96" s="4" t="s">
        <v>116</v>
      </c>
      <c r="B96" s="8">
        <f>B59</f>
        <v>6.8007347307544963</v>
      </c>
      <c r="C96" s="8">
        <f t="shared" ref="C96:T96" si="20">C59</f>
        <v>6.516976785060864</v>
      </c>
      <c r="D96" s="8">
        <f t="shared" si="20"/>
        <v>6.4774821463784242</v>
      </c>
      <c r="E96" s="8">
        <f t="shared" si="20"/>
        <v>6.4150712540668957</v>
      </c>
      <c r="F96" s="8">
        <f t="shared" si="20"/>
        <v>6.5248390364350319</v>
      </c>
      <c r="G96" s="8">
        <f t="shared" si="20"/>
        <v>6.4281779942542965</v>
      </c>
      <c r="H96" s="8">
        <f t="shared" si="20"/>
        <v>6.5309724372157874</v>
      </c>
      <c r="I96" s="8">
        <f t="shared" si="20"/>
        <v>6.5228228576872791</v>
      </c>
      <c r="J96" s="8">
        <f t="shared" si="20"/>
        <v>6.5925953547474201</v>
      </c>
      <c r="K96" s="8">
        <f t="shared" si="20"/>
        <v>6.7621826371348481</v>
      </c>
      <c r="L96" s="8">
        <f t="shared" si="20"/>
        <v>6.5261029665834007</v>
      </c>
      <c r="M96" s="8">
        <f t="shared" si="20"/>
        <v>6.4975221573070527</v>
      </c>
      <c r="N96" s="8">
        <f t="shared" si="20"/>
        <v>6.6260294761182674</v>
      </c>
      <c r="O96" s="8">
        <f t="shared" si="20"/>
        <v>6.3970038549079433</v>
      </c>
      <c r="P96" s="8">
        <f t="shared" si="20"/>
        <v>6.6927153981125764</v>
      </c>
      <c r="Q96" s="8">
        <f t="shared" si="20"/>
        <v>7.3884990946314533</v>
      </c>
      <c r="R96" s="8">
        <f t="shared" si="20"/>
        <v>6.406851333120267</v>
      </c>
      <c r="S96" s="8">
        <f t="shared" si="20"/>
        <v>6.4000498842654192</v>
      </c>
      <c r="T96" s="8">
        <f t="shared" si="20"/>
        <v>6.3565282383651569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s="5" customFormat="1">
      <c r="A97" s="4" t="s">
        <v>117</v>
      </c>
      <c r="B97" s="8">
        <f>B60</f>
        <v>4.8450631860681055E-2</v>
      </c>
      <c r="C97" s="8">
        <f t="shared" ref="C97:T97" si="21">C60</f>
        <v>5.9602084672833303E-2</v>
      </c>
      <c r="D97" s="8">
        <f t="shared" si="21"/>
        <v>6.1722679859388743E-2</v>
      </c>
      <c r="E97" s="8">
        <f t="shared" si="21"/>
        <v>4.2726818007034185E-2</v>
      </c>
      <c r="F97" s="8">
        <f t="shared" si="21"/>
        <v>6.7672923794228401E-2</v>
      </c>
      <c r="G97" s="8">
        <f t="shared" si="21"/>
        <v>6.3384357526657054E-2</v>
      </c>
      <c r="H97" s="8">
        <f t="shared" si="21"/>
        <v>6.553690734880864E-2</v>
      </c>
      <c r="I97" s="8">
        <f t="shared" si="21"/>
        <v>6.6002873751799709E-2</v>
      </c>
      <c r="J97" s="8">
        <f t="shared" si="21"/>
        <v>5.286279589625232E-2</v>
      </c>
      <c r="K97" s="8">
        <f t="shared" si="21"/>
        <v>5.0628926135375472E-2</v>
      </c>
      <c r="L97" s="8">
        <f t="shared" si="21"/>
        <v>6.452646120476542E-2</v>
      </c>
      <c r="M97" s="8">
        <f t="shared" si="21"/>
        <v>6.8813328493540812E-2</v>
      </c>
      <c r="N97" s="8">
        <f t="shared" si="21"/>
        <v>6.8654788871825467E-2</v>
      </c>
      <c r="O97" s="8">
        <f t="shared" si="21"/>
        <v>8.5760064379240317E-2</v>
      </c>
      <c r="P97" s="8">
        <f t="shared" si="21"/>
        <v>0.15424054322166883</v>
      </c>
      <c r="Q97" s="8">
        <f t="shared" si="21"/>
        <v>8.6994831934017677E-3</v>
      </c>
      <c r="R97" s="8">
        <f t="shared" si="21"/>
        <v>0.18300244035906013</v>
      </c>
      <c r="S97" s="8">
        <f t="shared" si="21"/>
        <v>0.17840523004659284</v>
      </c>
      <c r="T97" s="8">
        <f t="shared" si="21"/>
        <v>0.17835640723515161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s="5" customFormat="1">
      <c r="A98" s="4" t="s">
        <v>118</v>
      </c>
      <c r="B98" s="8">
        <f>B61</f>
        <v>5.7886360790324384E-3</v>
      </c>
      <c r="C98" s="8">
        <f t="shared" ref="C98:T98" si="22">C61</f>
        <v>4.5574113125597133E-3</v>
      </c>
      <c r="D98" s="8">
        <f t="shared" si="22"/>
        <v>3.4154713524663207E-3</v>
      </c>
      <c r="E98" s="8">
        <f t="shared" si="22"/>
        <v>5.7592432530532232E-3</v>
      </c>
      <c r="F98" s="8">
        <f t="shared" si="22"/>
        <v>3.4427380522854549E-3</v>
      </c>
      <c r="G98" s="8">
        <f t="shared" si="22"/>
        <v>2.2979658416620585E-3</v>
      </c>
      <c r="H98" s="8">
        <f t="shared" si="22"/>
        <v>8.0388182004412292E-3</v>
      </c>
      <c r="I98" s="8">
        <f t="shared" si="22"/>
        <v>5.688037991221812E-3</v>
      </c>
      <c r="J98" s="8">
        <f t="shared" si="22"/>
        <v>6.805574202225711E-3</v>
      </c>
      <c r="K98" s="8">
        <f t="shared" si="22"/>
        <v>1.2097775290635115E-3</v>
      </c>
      <c r="L98" s="8">
        <f t="shared" si="22"/>
        <v>5.6534828097717727E-3</v>
      </c>
      <c r="M98" s="8">
        <f t="shared" si="22"/>
        <v>4.5935820815837282E-3</v>
      </c>
      <c r="N98" s="8">
        <f t="shared" si="22"/>
        <v>6.874498332240981E-3</v>
      </c>
      <c r="O98" s="8">
        <f t="shared" si="22"/>
        <v>4.5653856823388026E-3</v>
      </c>
      <c r="P98" s="8">
        <f t="shared" si="22"/>
        <v>1.0653197106753623E-2</v>
      </c>
      <c r="Q98" s="8">
        <f t="shared" si="22"/>
        <v>2.2866144107169684E-3</v>
      </c>
      <c r="R98" s="8">
        <f t="shared" si="22"/>
        <v>1.2984386545415701E-2</v>
      </c>
      <c r="S98" s="8">
        <f t="shared" si="22"/>
        <v>1.2976650762191155E-2</v>
      </c>
      <c r="T98" s="8">
        <f t="shared" si="22"/>
        <v>1.1793726854742446E-2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s="5" customFormat="1">
      <c r="A99" s="4" t="s">
        <v>119</v>
      </c>
      <c r="B99" s="8">
        <f>B62</f>
        <v>1.6502008509011565</v>
      </c>
      <c r="C99" s="8">
        <f t="shared" ref="C99:T99" si="23">C62</f>
        <v>1.9043050492331912</v>
      </c>
      <c r="D99" s="8">
        <f t="shared" si="23"/>
        <v>1.9996194590768424</v>
      </c>
      <c r="E99" s="8">
        <f t="shared" si="23"/>
        <v>2.0144945724875178</v>
      </c>
      <c r="F99" s="8">
        <f t="shared" si="23"/>
        <v>1.9642523652782347</v>
      </c>
      <c r="G99" s="8">
        <f t="shared" si="23"/>
        <v>2.0403186824428365</v>
      </c>
      <c r="H99" s="8">
        <f t="shared" si="23"/>
        <v>1.9759349706801261</v>
      </c>
      <c r="I99" s="8">
        <f t="shared" si="23"/>
        <v>1.9403996169419826</v>
      </c>
      <c r="J99" s="8">
        <f t="shared" si="23"/>
        <v>1.8382972557783808</v>
      </c>
      <c r="K99" s="8">
        <f t="shared" si="23"/>
        <v>1.6720833381252322</v>
      </c>
      <c r="L99" s="8">
        <f t="shared" si="23"/>
        <v>1.9168106247290828</v>
      </c>
      <c r="M99" s="8">
        <f t="shared" si="23"/>
        <v>2.0101675518273159</v>
      </c>
      <c r="N99" s="8">
        <f t="shared" si="23"/>
        <v>1.9816202035421622</v>
      </c>
      <c r="O99" s="8">
        <f t="shared" si="23"/>
        <v>2.0812133826528121</v>
      </c>
      <c r="P99" s="8">
        <f t="shared" si="23"/>
        <v>1.6748516178598492</v>
      </c>
      <c r="Q99" s="8">
        <f t="shared" si="23"/>
        <v>0.81993738508067826</v>
      </c>
      <c r="R99" s="8">
        <f t="shared" si="23"/>
        <v>1.9905084583236321</v>
      </c>
      <c r="S99" s="8">
        <f t="shared" si="23"/>
        <v>2.0139472440228832</v>
      </c>
      <c r="T99" s="8">
        <f t="shared" si="23"/>
        <v>1.9852613096003009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s="5" customFormat="1">
      <c r="A100" s="4" t="s">
        <v>131</v>
      </c>
      <c r="B100" s="8">
        <f>IF(B92&lt;0, 0, IF(B92&gt;B63, B63, B92))</f>
        <v>0.92607125279984359</v>
      </c>
      <c r="C100" s="8">
        <f t="shared" ref="C100:T100" si="24">IF(C92&lt;0, 0, IF(C92&gt;C63, C63, C92))</f>
        <v>1.2695070112055333</v>
      </c>
      <c r="D100" s="8">
        <f t="shared" si="24"/>
        <v>1.1920982733402639</v>
      </c>
      <c r="E100" s="8">
        <f t="shared" si="24"/>
        <v>1.5032797048669053</v>
      </c>
      <c r="F100" s="8">
        <f t="shared" si="24"/>
        <v>1.0123547402162387</v>
      </c>
      <c r="G100" s="8">
        <f t="shared" si="24"/>
        <v>1.1051347273733967</v>
      </c>
      <c r="H100" s="8">
        <f t="shared" si="24"/>
        <v>0.96836367217152741</v>
      </c>
      <c r="I100" s="8">
        <f t="shared" si="24"/>
        <v>1.1077684590486143</v>
      </c>
      <c r="J100" s="8">
        <f t="shared" si="24"/>
        <v>1.2884582459010758</v>
      </c>
      <c r="K100" s="8">
        <f t="shared" si="24"/>
        <v>0.87213378507804151</v>
      </c>
      <c r="L100" s="8">
        <f t="shared" si="24"/>
        <v>1.2349532492902213</v>
      </c>
      <c r="M100" s="8">
        <f t="shared" si="24"/>
        <v>1.0389275446073967</v>
      </c>
      <c r="N100" s="8">
        <f t="shared" si="24"/>
        <v>0.8915855265721504</v>
      </c>
      <c r="O100" s="8">
        <f t="shared" si="24"/>
        <v>1.1237713052442899</v>
      </c>
      <c r="P100" s="8">
        <f t="shared" si="24"/>
        <v>0.18918714348891541</v>
      </c>
      <c r="Q100" s="8">
        <f t="shared" si="24"/>
        <v>0.21125951176342284</v>
      </c>
      <c r="R100" s="8">
        <f t="shared" si="24"/>
        <v>0.32184420203211772</v>
      </c>
      <c r="S100" s="8">
        <f t="shared" si="24"/>
        <v>0.32152823441121825</v>
      </c>
      <c r="T100" s="8">
        <f t="shared" si="24"/>
        <v>0.43352962883702872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s="5" customFormat="1">
      <c r="A101" s="4" t="s">
        <v>130</v>
      </c>
      <c r="B101" s="8">
        <f>B63-B100</f>
        <v>0.76132077581123925</v>
      </c>
      <c r="C101" s="8">
        <f t="shared" ref="C101:T101" si="25">C63-C100</f>
        <v>0.35013128166294494</v>
      </c>
      <c r="D101" s="8">
        <f t="shared" si="25"/>
        <v>0.55395675726918925</v>
      </c>
      <c r="E101" s="8">
        <f t="shared" si="25"/>
        <v>0.27666358887230502</v>
      </c>
      <c r="F101" s="8">
        <f t="shared" si="25"/>
        <v>0.67481220469830139</v>
      </c>
      <c r="G101" s="8">
        <f t="shared" si="25"/>
        <v>0.67524126997417921</v>
      </c>
      <c r="H101" s="8">
        <f t="shared" si="25"/>
        <v>0.6689978943756556</v>
      </c>
      <c r="I101" s="8">
        <f t="shared" si="25"/>
        <v>0.59000613593336593</v>
      </c>
      <c r="J101" s="8">
        <f t="shared" si="25"/>
        <v>0.36713307988040622</v>
      </c>
      <c r="K101" s="8">
        <f t="shared" si="25"/>
        <v>0.99476742900365456</v>
      </c>
      <c r="L101" s="8">
        <f t="shared" si="25"/>
        <v>0.40586589971413045</v>
      </c>
      <c r="M101" s="8">
        <f t="shared" si="25"/>
        <v>0.64822467747664181</v>
      </c>
      <c r="N101" s="8">
        <f t="shared" si="25"/>
        <v>0.79167965093896764</v>
      </c>
      <c r="O101" s="8">
        <f t="shared" si="25"/>
        <v>0.62062782320322829</v>
      </c>
      <c r="P101" s="8">
        <f t="shared" si="25"/>
        <v>1.4922242985137799</v>
      </c>
      <c r="Q101" s="8">
        <f t="shared" si="25"/>
        <v>1.0040573822667884</v>
      </c>
      <c r="R101" s="8">
        <f t="shared" si="25"/>
        <v>1.4672593336279103</v>
      </c>
      <c r="S101" s="8">
        <f t="shared" si="25"/>
        <v>1.4590228469201185</v>
      </c>
      <c r="T101" s="8">
        <f t="shared" si="25"/>
        <v>1.3976782724172518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s="5" customFormat="1">
      <c r="A102" s="4" t="s">
        <v>121</v>
      </c>
      <c r="B102" s="8">
        <f t="shared" ref="B102:Q102" si="26">B64</f>
        <v>8.4339232194973357E-2</v>
      </c>
      <c r="C102" s="8">
        <f t="shared" si="26"/>
        <v>0.10253024809214528</v>
      </c>
      <c r="D102" s="8">
        <f t="shared" si="26"/>
        <v>0.12318710627524482</v>
      </c>
      <c r="E102" s="8">
        <f t="shared" si="26"/>
        <v>0.13697234282011361</v>
      </c>
      <c r="F102" s="8">
        <f t="shared" si="26"/>
        <v>0.10449996338152442</v>
      </c>
      <c r="G102" s="8">
        <f t="shared" si="26"/>
        <v>0.10339685917905581</v>
      </c>
      <c r="H102" s="8">
        <f t="shared" si="26"/>
        <v>9.9653756307417088E-2</v>
      </c>
      <c r="I102" s="8">
        <f t="shared" si="26"/>
        <v>0.10359192353902291</v>
      </c>
      <c r="J102" s="8">
        <f t="shared" si="26"/>
        <v>0.10814788169262</v>
      </c>
      <c r="K102" s="8">
        <f t="shared" si="26"/>
        <v>0.11534798375551818</v>
      </c>
      <c r="L102" s="8">
        <f t="shared" si="26"/>
        <v>0.10901921952424175</v>
      </c>
      <c r="M102" s="8">
        <f t="shared" si="26"/>
        <v>9.4731999149437821E-2</v>
      </c>
      <c r="N102" s="8">
        <f t="shared" si="26"/>
        <v>8.4694135379517629E-2</v>
      </c>
      <c r="O102" s="8">
        <f t="shared" si="26"/>
        <v>8.5591376065567742E-2</v>
      </c>
      <c r="P102" s="8">
        <f t="shared" si="26"/>
        <v>2.7898099657982678E-2</v>
      </c>
      <c r="Q102" s="8">
        <f t="shared" si="26"/>
        <v>2.8171194624304719E-2</v>
      </c>
      <c r="R102" s="8">
        <f t="shared" ref="C102:T107" si="27">R64</f>
        <v>2.2762279060578365E-2</v>
      </c>
      <c r="S102" s="8">
        <f t="shared" si="27"/>
        <v>2.5276353161845837E-2</v>
      </c>
      <c r="T102" s="8">
        <f t="shared" si="27"/>
        <v>2.6532907771902921E-2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s="5" customFormat="1">
      <c r="A103" s="4" t="s">
        <v>122</v>
      </c>
      <c r="B103" s="8">
        <f>B65</f>
        <v>3.5329667828720491E-3</v>
      </c>
      <c r="C103" s="8">
        <f t="shared" si="27"/>
        <v>0</v>
      </c>
      <c r="D103" s="8">
        <f t="shared" si="27"/>
        <v>0</v>
      </c>
      <c r="E103" s="8">
        <f t="shared" si="27"/>
        <v>3.5150275176597393E-3</v>
      </c>
      <c r="F103" s="8">
        <f t="shared" si="27"/>
        <v>0</v>
      </c>
      <c r="G103" s="8">
        <f t="shared" si="27"/>
        <v>0</v>
      </c>
      <c r="H103" s="8">
        <f t="shared" si="27"/>
        <v>0</v>
      </c>
      <c r="I103" s="8">
        <f t="shared" si="27"/>
        <v>0</v>
      </c>
      <c r="J103" s="8">
        <f t="shared" si="27"/>
        <v>0</v>
      </c>
      <c r="K103" s="8">
        <f t="shared" si="27"/>
        <v>0</v>
      </c>
      <c r="L103" s="8">
        <f t="shared" si="27"/>
        <v>0</v>
      </c>
      <c r="M103" s="8">
        <f t="shared" si="27"/>
        <v>0</v>
      </c>
      <c r="N103" s="8">
        <f t="shared" si="27"/>
        <v>0</v>
      </c>
      <c r="O103" s="8">
        <f t="shared" si="27"/>
        <v>0</v>
      </c>
      <c r="P103" s="8">
        <f t="shared" si="27"/>
        <v>0</v>
      </c>
      <c r="Q103" s="8">
        <f t="shared" si="27"/>
        <v>0</v>
      </c>
      <c r="R103" s="8">
        <f t="shared" si="27"/>
        <v>0</v>
      </c>
      <c r="S103" s="8">
        <f t="shared" si="27"/>
        <v>0</v>
      </c>
      <c r="T103" s="8">
        <f t="shared" si="27"/>
        <v>0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s="5" customFormat="1">
      <c r="A104" s="4" t="s">
        <v>123</v>
      </c>
      <c r="B104" s="8">
        <f>B66</f>
        <v>2.7195609228157047</v>
      </c>
      <c r="C104" s="8">
        <f t="shared" si="27"/>
        <v>2.792390128759926</v>
      </c>
      <c r="D104" s="8">
        <f t="shared" si="27"/>
        <v>2.5885181064481775</v>
      </c>
      <c r="E104" s="8">
        <f t="shared" si="27"/>
        <v>2.6015174481085137</v>
      </c>
      <c r="F104" s="8">
        <f t="shared" si="27"/>
        <v>2.6481260281441541</v>
      </c>
      <c r="G104" s="8">
        <f t="shared" si="27"/>
        <v>2.5820481434079157</v>
      </c>
      <c r="H104" s="8">
        <f t="shared" si="27"/>
        <v>2.682501543700238</v>
      </c>
      <c r="I104" s="8">
        <f t="shared" si="27"/>
        <v>2.6637200951067124</v>
      </c>
      <c r="J104" s="8">
        <f t="shared" si="27"/>
        <v>2.7456998119016189</v>
      </c>
      <c r="K104" s="8">
        <f t="shared" si="27"/>
        <v>2.5316461232382643</v>
      </c>
      <c r="L104" s="8">
        <f t="shared" si="27"/>
        <v>2.7370680961443861</v>
      </c>
      <c r="M104" s="8">
        <f t="shared" si="27"/>
        <v>2.6370191590570315</v>
      </c>
      <c r="N104" s="8">
        <f t="shared" si="27"/>
        <v>2.5488617202448678</v>
      </c>
      <c r="O104" s="8">
        <f t="shared" si="27"/>
        <v>2.6014668078645791</v>
      </c>
      <c r="P104" s="8">
        <f t="shared" si="27"/>
        <v>2.7582297020384741</v>
      </c>
      <c r="Q104" s="8">
        <f t="shared" si="27"/>
        <v>3.5370893340292322</v>
      </c>
      <c r="R104" s="8">
        <f t="shared" si="27"/>
        <v>2.5947875669310183</v>
      </c>
      <c r="S104" s="8">
        <f t="shared" si="27"/>
        <v>2.5887935564097275</v>
      </c>
      <c r="T104" s="8">
        <f t="shared" si="27"/>
        <v>2.6103195089184661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s="5" customFormat="1">
      <c r="A105" s="4" t="s">
        <v>124</v>
      </c>
      <c r="B105" s="8">
        <f>B67</f>
        <v>1.6457392663346877</v>
      </c>
      <c r="C105" s="8">
        <f t="shared" si="27"/>
        <v>1.625795458865072</v>
      </c>
      <c r="D105" s="8">
        <f t="shared" si="27"/>
        <v>1.6276504859621737</v>
      </c>
      <c r="E105" s="8">
        <f t="shared" si="27"/>
        <v>1.5608986972649104</v>
      </c>
      <c r="F105" s="8">
        <f t="shared" si="27"/>
        <v>1.6904081169555216</v>
      </c>
      <c r="G105" s="8">
        <f t="shared" si="27"/>
        <v>1.7033747116248983</v>
      </c>
      <c r="H105" s="8">
        <f t="shared" si="27"/>
        <v>1.7149642132314349</v>
      </c>
      <c r="I105" s="8">
        <f t="shared" si="27"/>
        <v>1.666469917507504</v>
      </c>
      <c r="J105" s="8">
        <f t="shared" si="27"/>
        <v>1.5770308321586637</v>
      </c>
      <c r="K105" s="8">
        <f t="shared" si="27"/>
        <v>1.696778542890869</v>
      </c>
      <c r="L105" s="8">
        <f t="shared" si="27"/>
        <v>1.6057822557873498</v>
      </c>
      <c r="M105" s="8">
        <f t="shared" si="27"/>
        <v>1.6822730360571232</v>
      </c>
      <c r="N105" s="8">
        <f t="shared" si="27"/>
        <v>1.6131866093965399</v>
      </c>
      <c r="O105" s="8">
        <f t="shared" si="27"/>
        <v>1.6781335481709925</v>
      </c>
      <c r="P105" s="8">
        <f t="shared" si="27"/>
        <v>1.9457075054845991</v>
      </c>
      <c r="Q105" s="8">
        <f t="shared" si="27"/>
        <v>1.958345501607393</v>
      </c>
      <c r="R105" s="8">
        <f t="shared" si="27"/>
        <v>1.9115072799925654</v>
      </c>
      <c r="S105" s="8">
        <f t="shared" si="27"/>
        <v>1.9231575277130482</v>
      </c>
      <c r="T105" s="8">
        <f t="shared" si="27"/>
        <v>1.9290240205224523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s="5" customFormat="1">
      <c r="A106" s="4" t="s">
        <v>125</v>
      </c>
      <c r="B106" s="8">
        <f>B68</f>
        <v>0.38325843908146079</v>
      </c>
      <c r="C106" s="8">
        <f t="shared" si="27"/>
        <v>0.39114518241384644</v>
      </c>
      <c r="D106" s="8">
        <f t="shared" si="27"/>
        <v>0.42155869827263909</v>
      </c>
      <c r="E106" s="8">
        <f t="shared" si="27"/>
        <v>0.39261052089392562</v>
      </c>
      <c r="F106" s="8">
        <f t="shared" si="27"/>
        <v>0.39115531926078445</v>
      </c>
      <c r="G106" s="8">
        <f t="shared" si="27"/>
        <v>0.41417380043474533</v>
      </c>
      <c r="H106" s="8">
        <f t="shared" si="27"/>
        <v>0.3858037542685856</v>
      </c>
      <c r="I106" s="8">
        <f t="shared" si="27"/>
        <v>0.39333565133420567</v>
      </c>
      <c r="J106" s="8">
        <f t="shared" si="27"/>
        <v>0.39217901463663185</v>
      </c>
      <c r="K106" s="8">
        <f t="shared" si="27"/>
        <v>0.38268984585695592</v>
      </c>
      <c r="L106" s="8">
        <f t="shared" si="27"/>
        <v>0.42421812262156533</v>
      </c>
      <c r="M106" s="8">
        <f t="shared" si="27"/>
        <v>0.4083299233632689</v>
      </c>
      <c r="N106" s="8">
        <f t="shared" si="27"/>
        <v>0.45796161703371813</v>
      </c>
      <c r="O106" s="8">
        <f t="shared" si="27"/>
        <v>0.42261620287845786</v>
      </c>
      <c r="P106" s="8">
        <f t="shared" si="27"/>
        <v>0.4005606237155182</v>
      </c>
      <c r="Q106" s="8">
        <f t="shared" si="27"/>
        <v>0.20746573331494342</v>
      </c>
      <c r="R106" s="8">
        <f t="shared" si="27"/>
        <v>0.48338919342762826</v>
      </c>
      <c r="S106" s="8">
        <f t="shared" si="27"/>
        <v>0.45417298616690593</v>
      </c>
      <c r="T106" s="8">
        <f t="shared" si="27"/>
        <v>0.46272478581105181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s="5" customFormat="1">
      <c r="A107" s="4" t="s">
        <v>126</v>
      </c>
      <c r="B107" s="8">
        <f>B69</f>
        <v>4.4831563238777253E-2</v>
      </c>
      <c r="C107" s="8">
        <f t="shared" si="27"/>
        <v>2.5736688637340802E-2</v>
      </c>
      <c r="D107" s="8">
        <f t="shared" si="27"/>
        <v>4.9597473557812563E-2</v>
      </c>
      <c r="E107" s="8">
        <f t="shared" si="27"/>
        <v>4.6462419820921544E-2</v>
      </c>
      <c r="F107" s="8">
        <f t="shared" si="27"/>
        <v>6.2954682822889158E-2</v>
      </c>
      <c r="G107" s="8">
        <f t="shared" si="27"/>
        <v>4.8200697095642939E-2</v>
      </c>
      <c r="H107" s="8">
        <f t="shared" si="27"/>
        <v>3.8911669087249127E-2</v>
      </c>
      <c r="I107" s="8">
        <f t="shared" si="27"/>
        <v>4.2216936790812135E-2</v>
      </c>
      <c r="J107" s="8">
        <f t="shared" si="27"/>
        <v>2.9281943877017623E-2</v>
      </c>
      <c r="K107" s="8">
        <f t="shared" si="27"/>
        <v>5.2703041088518393E-2</v>
      </c>
      <c r="L107" s="8">
        <f t="shared" si="27"/>
        <v>2.5541153398319399E-2</v>
      </c>
      <c r="M107" s="8">
        <f t="shared" si="27"/>
        <v>4.0764354404996476E-2</v>
      </c>
      <c r="N107" s="8">
        <f t="shared" si="27"/>
        <v>4.6216405746460208E-2</v>
      </c>
      <c r="O107" s="8">
        <f t="shared" si="27"/>
        <v>4.6038788625744453E-2</v>
      </c>
      <c r="P107" s="8">
        <f t="shared" si="27"/>
        <v>0.13942052419127307</v>
      </c>
      <c r="Q107" s="8">
        <f t="shared" si="27"/>
        <v>4.7962596565745308E-2</v>
      </c>
      <c r="R107" s="8">
        <f t="shared" si="27"/>
        <v>0.18855165272741739</v>
      </c>
      <c r="S107" s="8">
        <f t="shared" si="27"/>
        <v>0.19414960058669797</v>
      </c>
      <c r="T107" s="8">
        <f t="shared" si="27"/>
        <v>0.17887321665135467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s="5" customFormat="1">
      <c r="A108" s="4" t="s">
        <v>89</v>
      </c>
      <c r="B108" s="8">
        <f>2-B109-B110</f>
        <v>2</v>
      </c>
      <c r="C108" s="8">
        <f t="shared" ref="C108:T108" si="28">2-C109-C110</f>
        <v>2</v>
      </c>
      <c r="D108" s="8">
        <f t="shared" si="28"/>
        <v>2</v>
      </c>
      <c r="E108" s="8">
        <f t="shared" si="28"/>
        <v>2</v>
      </c>
      <c r="F108" s="8">
        <f t="shared" si="28"/>
        <v>2</v>
      </c>
      <c r="G108" s="8">
        <f t="shared" si="28"/>
        <v>2</v>
      </c>
      <c r="H108" s="8">
        <f t="shared" si="28"/>
        <v>2</v>
      </c>
      <c r="I108" s="8">
        <f t="shared" si="28"/>
        <v>2</v>
      </c>
      <c r="J108" s="8">
        <f t="shared" si="28"/>
        <v>2</v>
      </c>
      <c r="K108" s="8">
        <f t="shared" si="28"/>
        <v>2</v>
      </c>
      <c r="L108" s="8">
        <f t="shared" si="28"/>
        <v>2</v>
      </c>
      <c r="M108" s="8">
        <f t="shared" si="28"/>
        <v>2</v>
      </c>
      <c r="N108" s="8">
        <f t="shared" si="28"/>
        <v>2</v>
      </c>
      <c r="O108" s="8">
        <f t="shared" si="28"/>
        <v>2</v>
      </c>
      <c r="P108" s="8">
        <f t="shared" si="28"/>
        <v>2</v>
      </c>
      <c r="Q108" s="8">
        <f t="shared" si="28"/>
        <v>2</v>
      </c>
      <c r="R108" s="8">
        <f t="shared" si="28"/>
        <v>2</v>
      </c>
      <c r="S108" s="8">
        <f t="shared" si="28"/>
        <v>2</v>
      </c>
      <c r="T108" s="8">
        <f t="shared" si="28"/>
        <v>2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s="5" customFormat="1">
      <c r="A109" s="4" t="s">
        <v>86</v>
      </c>
      <c r="B109" s="8">
        <f>B71</f>
        <v>0</v>
      </c>
      <c r="C109" s="8">
        <f t="shared" ref="C109:T109" si="29">C71</f>
        <v>0</v>
      </c>
      <c r="D109" s="8">
        <f t="shared" si="29"/>
        <v>0</v>
      </c>
      <c r="E109" s="8">
        <f t="shared" si="29"/>
        <v>0</v>
      </c>
      <c r="F109" s="8">
        <f t="shared" si="29"/>
        <v>0</v>
      </c>
      <c r="G109" s="8">
        <f t="shared" si="29"/>
        <v>0</v>
      </c>
      <c r="H109" s="8">
        <f t="shared" si="29"/>
        <v>0</v>
      </c>
      <c r="I109" s="8">
        <f t="shared" si="29"/>
        <v>0</v>
      </c>
      <c r="J109" s="8">
        <f t="shared" si="29"/>
        <v>0</v>
      </c>
      <c r="K109" s="8">
        <f t="shared" si="29"/>
        <v>0</v>
      </c>
      <c r="L109" s="8">
        <f t="shared" si="29"/>
        <v>0</v>
      </c>
      <c r="M109" s="8">
        <f t="shared" si="29"/>
        <v>0</v>
      </c>
      <c r="N109" s="8">
        <f t="shared" si="29"/>
        <v>0</v>
      </c>
      <c r="O109" s="8">
        <f t="shared" si="29"/>
        <v>0</v>
      </c>
      <c r="P109" s="8">
        <f t="shared" si="29"/>
        <v>0</v>
      </c>
      <c r="Q109" s="8">
        <f t="shared" si="29"/>
        <v>0</v>
      </c>
      <c r="R109" s="8">
        <f t="shared" si="29"/>
        <v>0</v>
      </c>
      <c r="S109" s="8">
        <f t="shared" si="29"/>
        <v>0</v>
      </c>
      <c r="T109" s="8">
        <f t="shared" si="29"/>
        <v>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s="5" customFormat="1">
      <c r="A110" s="4" t="s">
        <v>87</v>
      </c>
      <c r="B110" s="8">
        <f>B72</f>
        <v>0</v>
      </c>
      <c r="C110" s="8">
        <f t="shared" ref="C110:T110" si="30">C72</f>
        <v>0</v>
      </c>
      <c r="D110" s="8">
        <f t="shared" si="30"/>
        <v>0</v>
      </c>
      <c r="E110" s="8">
        <f t="shared" si="30"/>
        <v>0</v>
      </c>
      <c r="F110" s="8">
        <f t="shared" si="30"/>
        <v>0</v>
      </c>
      <c r="G110" s="8">
        <f t="shared" si="30"/>
        <v>0</v>
      </c>
      <c r="H110" s="8">
        <f t="shared" si="30"/>
        <v>0</v>
      </c>
      <c r="I110" s="8">
        <f t="shared" si="30"/>
        <v>0</v>
      </c>
      <c r="J110" s="8">
        <f t="shared" si="30"/>
        <v>0</v>
      </c>
      <c r="K110" s="8">
        <f t="shared" si="30"/>
        <v>0</v>
      </c>
      <c r="L110" s="8">
        <f t="shared" si="30"/>
        <v>0</v>
      </c>
      <c r="M110" s="8">
        <f t="shared" si="30"/>
        <v>0</v>
      </c>
      <c r="N110" s="8">
        <f t="shared" si="30"/>
        <v>0</v>
      </c>
      <c r="O110" s="8">
        <f t="shared" si="30"/>
        <v>0</v>
      </c>
      <c r="P110" s="8">
        <f t="shared" si="30"/>
        <v>0</v>
      </c>
      <c r="Q110" s="8">
        <f t="shared" si="30"/>
        <v>0</v>
      </c>
      <c r="R110" s="8">
        <f t="shared" si="30"/>
        <v>0</v>
      </c>
      <c r="S110" s="8">
        <f t="shared" si="30"/>
        <v>0</v>
      </c>
      <c r="T110" s="8">
        <f t="shared" si="30"/>
        <v>0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s="5" customFormat="1">
      <c r="A111" s="4" t="s">
        <v>115</v>
      </c>
      <c r="B111" s="8">
        <f>SUM(B96:B107)</f>
        <v>15.073829268654924</v>
      </c>
      <c r="C111" s="8">
        <f t="shared" ref="C111:T111" si="31">SUM(C96:C107)</f>
        <v>15.042677329916257</v>
      </c>
      <c r="D111" s="8">
        <f t="shared" si="31"/>
        <v>15.098806657792622</v>
      </c>
      <c r="E111" s="8">
        <f t="shared" si="31"/>
        <v>14.999971637979755</v>
      </c>
      <c r="F111" s="8">
        <f t="shared" si="31"/>
        <v>15.144518119039196</v>
      </c>
      <c r="G111" s="8">
        <f t="shared" si="31"/>
        <v>15.165749209155287</v>
      </c>
      <c r="H111" s="8">
        <f t="shared" si="31"/>
        <v>15.139679636587269</v>
      </c>
      <c r="I111" s="8">
        <f t="shared" si="31"/>
        <v>15.102022505632522</v>
      </c>
      <c r="J111" s="8">
        <f t="shared" si="31"/>
        <v>14.998491790672315</v>
      </c>
      <c r="K111" s="8">
        <f t="shared" si="31"/>
        <v>15.13217142983634</v>
      </c>
      <c r="L111" s="8">
        <f t="shared" si="31"/>
        <v>15.055541531807236</v>
      </c>
      <c r="M111" s="8">
        <f t="shared" si="31"/>
        <v>15.131367313825391</v>
      </c>
      <c r="N111" s="8">
        <f t="shared" si="31"/>
        <v>15.117364632176717</v>
      </c>
      <c r="O111" s="8">
        <f t="shared" si="31"/>
        <v>15.146788539675194</v>
      </c>
      <c r="P111" s="8">
        <f t="shared" si="31"/>
        <v>15.485688653391389</v>
      </c>
      <c r="Q111" s="8">
        <f t="shared" si="31"/>
        <v>15.21377383148808</v>
      </c>
      <c r="R111" s="8">
        <f t="shared" si="31"/>
        <v>15.583448126147609</v>
      </c>
      <c r="S111" s="8">
        <f t="shared" si="31"/>
        <v>15.571480114466651</v>
      </c>
      <c r="T111" s="8">
        <f t="shared" si="31"/>
        <v>15.57062202298486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s="5" customFormat="1">
      <c r="A112" s="4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s="5" customFormat="1">
      <c r="A113" s="4" t="s">
        <v>132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s="5" customFormat="1">
      <c r="A114" s="4" t="s">
        <v>274</v>
      </c>
      <c r="B114" s="8">
        <f>(B96/13)*$B4*B$56/$C4</f>
        <v>46.440000000000005</v>
      </c>
      <c r="C114" s="8">
        <f t="shared" ref="C114:T114" si="32">(C96/13)*$B4*C$56/$C4</f>
        <v>45.219999999999985</v>
      </c>
      <c r="D114" s="8">
        <f t="shared" si="32"/>
        <v>44.98</v>
      </c>
      <c r="E114" s="8">
        <f t="shared" si="32"/>
        <v>44.03</v>
      </c>
      <c r="F114" s="8">
        <f t="shared" si="32"/>
        <v>44.95000000000001</v>
      </c>
      <c r="G114" s="8">
        <f t="shared" si="32"/>
        <v>44.23</v>
      </c>
      <c r="H114" s="8">
        <f t="shared" si="32"/>
        <v>44.96</v>
      </c>
      <c r="I114" s="8">
        <f t="shared" si="32"/>
        <v>45.33</v>
      </c>
      <c r="J114" s="8">
        <f t="shared" si="32"/>
        <v>45.949999999999996</v>
      </c>
      <c r="K114" s="8">
        <f t="shared" si="32"/>
        <v>44.190000000000005</v>
      </c>
      <c r="L114" s="8">
        <f t="shared" si="32"/>
        <v>45.63000000000001</v>
      </c>
      <c r="M114" s="8">
        <f t="shared" si="32"/>
        <v>44.73</v>
      </c>
      <c r="N114" s="8">
        <f t="shared" si="32"/>
        <v>45.72</v>
      </c>
      <c r="O114" s="8">
        <f t="shared" si="32"/>
        <v>44.31</v>
      </c>
      <c r="P114" s="8">
        <f t="shared" si="32"/>
        <v>44.7</v>
      </c>
      <c r="Q114" s="8">
        <f t="shared" si="32"/>
        <v>51.089999999999996</v>
      </c>
      <c r="R114" s="8">
        <f t="shared" si="32"/>
        <v>42.910000000000004</v>
      </c>
      <c r="S114" s="8">
        <f t="shared" si="32"/>
        <v>42.89</v>
      </c>
      <c r="T114" s="8">
        <f t="shared" si="32"/>
        <v>42.61</v>
      </c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s="5" customFormat="1">
      <c r="A115" s="4" t="s">
        <v>109</v>
      </c>
      <c r="B115" s="8">
        <f>(B97/13)*$B5*B$56/$C5</f>
        <v>0.44000000000000011</v>
      </c>
      <c r="C115" s="8">
        <f t="shared" ref="C115:T115" si="33">(C97/13)*$B5*C$56/$C5</f>
        <v>0.54999999999999993</v>
      </c>
      <c r="D115" s="8">
        <f t="shared" si="33"/>
        <v>0.56999999999999995</v>
      </c>
      <c r="E115" s="8">
        <f t="shared" si="33"/>
        <v>0.39</v>
      </c>
      <c r="F115" s="8">
        <f t="shared" si="33"/>
        <v>0.62</v>
      </c>
      <c r="G115" s="8">
        <f t="shared" si="33"/>
        <v>0.57999999999999996</v>
      </c>
      <c r="H115" s="8">
        <f t="shared" si="33"/>
        <v>0.6</v>
      </c>
      <c r="I115" s="8">
        <f t="shared" si="33"/>
        <v>0.61</v>
      </c>
      <c r="J115" s="8">
        <f t="shared" si="33"/>
        <v>0.49</v>
      </c>
      <c r="K115" s="8">
        <f t="shared" si="33"/>
        <v>0.44000000000000006</v>
      </c>
      <c r="L115" s="8">
        <f t="shared" si="33"/>
        <v>0.6</v>
      </c>
      <c r="M115" s="8">
        <f t="shared" si="33"/>
        <v>0.62999999999999989</v>
      </c>
      <c r="N115" s="8">
        <f t="shared" si="33"/>
        <v>0.63</v>
      </c>
      <c r="O115" s="8">
        <f t="shared" si="33"/>
        <v>0.79000000000000015</v>
      </c>
      <c r="P115" s="8">
        <f t="shared" si="33"/>
        <v>1.37</v>
      </c>
      <c r="Q115" s="8">
        <f t="shared" si="33"/>
        <v>0.08</v>
      </c>
      <c r="R115" s="8">
        <f t="shared" si="33"/>
        <v>1.6300000000000001</v>
      </c>
      <c r="S115" s="8">
        <f t="shared" si="33"/>
        <v>1.59</v>
      </c>
      <c r="T115" s="8">
        <f t="shared" si="33"/>
        <v>1.5899999999999996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s="5" customFormat="1">
      <c r="A116" s="4" t="s">
        <v>113</v>
      </c>
      <c r="B116" s="8">
        <f>(B98/13)*$B6*B$56/$C6</f>
        <v>0.05</v>
      </c>
      <c r="C116" s="8">
        <f t="shared" ref="C116:T116" si="34">(C98/13)*$B6*C$56/$C6</f>
        <v>0.04</v>
      </c>
      <c r="D116" s="8">
        <f t="shared" si="34"/>
        <v>3.0000000000000002E-2</v>
      </c>
      <c r="E116" s="8">
        <f t="shared" si="34"/>
        <v>4.9999999999999996E-2</v>
      </c>
      <c r="F116" s="8">
        <f t="shared" si="34"/>
        <v>3.0000000000000002E-2</v>
      </c>
      <c r="G116" s="8">
        <f t="shared" si="34"/>
        <v>0.02</v>
      </c>
      <c r="H116" s="8">
        <f t="shared" si="34"/>
        <v>7.0000000000000007E-2</v>
      </c>
      <c r="I116" s="8">
        <f t="shared" si="34"/>
        <v>4.9999999999999996E-2</v>
      </c>
      <c r="J116" s="8">
        <f t="shared" si="34"/>
        <v>6.0000000000000012E-2</v>
      </c>
      <c r="K116" s="8">
        <f t="shared" si="34"/>
        <v>0.01</v>
      </c>
      <c r="L116" s="8">
        <f t="shared" si="34"/>
        <v>4.9999999999999996E-2</v>
      </c>
      <c r="M116" s="8">
        <f t="shared" si="34"/>
        <v>4.0000000000000008E-2</v>
      </c>
      <c r="N116" s="8">
        <f t="shared" si="34"/>
        <v>6.0000000000000012E-2</v>
      </c>
      <c r="O116" s="8">
        <f t="shared" si="34"/>
        <v>4.0000000000000008E-2</v>
      </c>
      <c r="P116" s="8">
        <f t="shared" si="34"/>
        <v>0.09</v>
      </c>
      <c r="Q116" s="8">
        <f t="shared" si="34"/>
        <v>1.9999999999999997E-2</v>
      </c>
      <c r="R116" s="8">
        <f t="shared" si="34"/>
        <v>0.11</v>
      </c>
      <c r="S116" s="8">
        <f t="shared" si="34"/>
        <v>0.11000000000000001</v>
      </c>
      <c r="T116" s="8">
        <f t="shared" si="34"/>
        <v>0.1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s="5" customFormat="1">
      <c r="A117" s="4" t="s">
        <v>105</v>
      </c>
      <c r="B117" s="8">
        <f>(B99/13)*$B7*B$56/$C7</f>
        <v>9.56</v>
      </c>
      <c r="C117" s="8">
        <f t="shared" ref="C117:T117" si="35">(C99/13)*$B7*C$56/$C7</f>
        <v>11.21</v>
      </c>
      <c r="D117" s="8">
        <f t="shared" si="35"/>
        <v>11.779999999999998</v>
      </c>
      <c r="E117" s="8">
        <f t="shared" si="35"/>
        <v>11.73</v>
      </c>
      <c r="F117" s="8">
        <f t="shared" si="35"/>
        <v>11.48</v>
      </c>
      <c r="G117" s="8">
        <f t="shared" si="35"/>
        <v>11.91</v>
      </c>
      <c r="H117" s="8">
        <f t="shared" si="35"/>
        <v>11.54</v>
      </c>
      <c r="I117" s="8">
        <f t="shared" si="35"/>
        <v>11.44</v>
      </c>
      <c r="J117" s="8">
        <f t="shared" si="35"/>
        <v>10.87</v>
      </c>
      <c r="K117" s="8">
        <f t="shared" si="35"/>
        <v>9.2700000000000014</v>
      </c>
      <c r="L117" s="8">
        <f t="shared" si="35"/>
        <v>11.369999999999997</v>
      </c>
      <c r="M117" s="8">
        <f t="shared" si="35"/>
        <v>11.74</v>
      </c>
      <c r="N117" s="8">
        <f t="shared" si="35"/>
        <v>11.600000000000001</v>
      </c>
      <c r="O117" s="8">
        <f t="shared" si="35"/>
        <v>12.23</v>
      </c>
      <c r="P117" s="8">
        <f t="shared" si="35"/>
        <v>9.490000000000002</v>
      </c>
      <c r="Q117" s="8">
        <f t="shared" si="35"/>
        <v>4.8099999999999996</v>
      </c>
      <c r="R117" s="8">
        <f t="shared" si="35"/>
        <v>11.309999999999999</v>
      </c>
      <c r="S117" s="8">
        <f t="shared" si="35"/>
        <v>11.45</v>
      </c>
      <c r="T117" s="8">
        <f t="shared" si="35"/>
        <v>11.289999999999997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s="5" customFormat="1">
      <c r="A118" s="4" t="s">
        <v>133</v>
      </c>
      <c r="B118" s="8">
        <f>(B100/13)*$B15*B$56/$C15</f>
        <v>8.4042952241197284</v>
      </c>
      <c r="C118" s="8">
        <f t="shared" ref="C118:T118" si="36">(C100/13)*$B15*C$56/$C15</f>
        <v>11.706848783145771</v>
      </c>
      <c r="D118" s="8">
        <f t="shared" si="36"/>
        <v>11.00134555616467</v>
      </c>
      <c r="E118" s="8">
        <f t="shared" si="36"/>
        <v>13.712211901595881</v>
      </c>
      <c r="F118" s="8">
        <f t="shared" si="36"/>
        <v>9.2685785580546494</v>
      </c>
      <c r="G118" s="8">
        <f t="shared" si="36"/>
        <v>10.105662564015663</v>
      </c>
      <c r="H118" s="8">
        <f t="shared" si="36"/>
        <v>8.8594642736054681</v>
      </c>
      <c r="I118" s="8">
        <f t="shared" si="36"/>
        <v>10.231036899616786</v>
      </c>
      <c r="J118" s="8">
        <f t="shared" si="36"/>
        <v>11.934932460994418</v>
      </c>
      <c r="K118" s="8">
        <f t="shared" si="36"/>
        <v>7.5742692057161163</v>
      </c>
      <c r="L118" s="8">
        <f t="shared" si="36"/>
        <v>11.475393456183482</v>
      </c>
      <c r="M118" s="8">
        <f t="shared" si="36"/>
        <v>9.5051048196647976</v>
      </c>
      <c r="N118" s="8">
        <f t="shared" si="36"/>
        <v>8.1759153976113552</v>
      </c>
      <c r="O118" s="8">
        <f t="shared" si="36"/>
        <v>10.34483568721101</v>
      </c>
      <c r="P118" s="8">
        <f t="shared" si="36"/>
        <v>1.6792575379618133</v>
      </c>
      <c r="Q118" s="8">
        <f t="shared" si="36"/>
        <v>1.9414064619868165</v>
      </c>
      <c r="R118" s="8">
        <f t="shared" si="36"/>
        <v>2.8647061379001273</v>
      </c>
      <c r="S118" s="8">
        <f t="shared" si="36"/>
        <v>2.8635998021298792</v>
      </c>
      <c r="T118" s="8">
        <f t="shared" si="36"/>
        <v>3.8621653066875412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s="5" customFormat="1">
      <c r="A119" s="4" t="s">
        <v>104</v>
      </c>
      <c r="B119" s="8">
        <f t="shared" ref="B119:B125" si="37">(B101/13)*$B8*B$56/$C8</f>
        <v>6.21728686208988</v>
      </c>
      <c r="C119" s="8">
        <f t="shared" ref="C119:T125" si="38">(C101/13)*$B8*C$56/$C8</f>
        <v>2.9054415706705625</v>
      </c>
      <c r="D119" s="8">
        <f t="shared" si="38"/>
        <v>4.6002977223458865</v>
      </c>
      <c r="E119" s="8">
        <f t="shared" si="38"/>
        <v>2.2708897792654068</v>
      </c>
      <c r="F119" s="8">
        <f t="shared" si="38"/>
        <v>5.5595503892363816</v>
      </c>
      <c r="G119" s="8">
        <f t="shared" si="38"/>
        <v>5.5562895814476061</v>
      </c>
      <c r="H119" s="8">
        <f t="shared" si="38"/>
        <v>5.5076971393684948</v>
      </c>
      <c r="I119" s="8">
        <f t="shared" si="38"/>
        <v>4.9034698732243376</v>
      </c>
      <c r="J119" s="8">
        <f t="shared" si="38"/>
        <v>3.0601975399684567</v>
      </c>
      <c r="K119" s="8">
        <f t="shared" si="38"/>
        <v>7.774196449008361</v>
      </c>
      <c r="L119" s="8">
        <f t="shared" si="38"/>
        <v>3.3937196231874922</v>
      </c>
      <c r="M119" s="8">
        <f t="shared" si="38"/>
        <v>5.336709190963604</v>
      </c>
      <c r="N119" s="8">
        <f t="shared" si="38"/>
        <v>6.5327973859719624</v>
      </c>
      <c r="O119" s="8">
        <f t="shared" si="38"/>
        <v>5.1410665707383494</v>
      </c>
      <c r="P119" s="8">
        <f t="shared" si="38"/>
        <v>11.918898508963483</v>
      </c>
      <c r="Q119" s="8">
        <f t="shared" si="38"/>
        <v>8.3030004284054506</v>
      </c>
      <c r="R119" s="8">
        <f t="shared" si="38"/>
        <v>11.752157341263763</v>
      </c>
      <c r="S119" s="8">
        <f t="shared" si="38"/>
        <v>11.693152891734263</v>
      </c>
      <c r="T119" s="8">
        <f t="shared" si="38"/>
        <v>11.204580880757215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s="5" customFormat="1">
      <c r="A120" s="4" t="s">
        <v>107</v>
      </c>
      <c r="B120" s="8">
        <f t="shared" si="37"/>
        <v>0.68</v>
      </c>
      <c r="C120" s="8">
        <f t="shared" ref="C120:Q120" si="39">(C102/13)*$B9*C$56/$C9</f>
        <v>0.84</v>
      </c>
      <c r="D120" s="8">
        <f t="shared" si="39"/>
        <v>1.01</v>
      </c>
      <c r="E120" s="8">
        <f t="shared" si="39"/>
        <v>1.1100000000000003</v>
      </c>
      <c r="F120" s="8">
        <f t="shared" si="39"/>
        <v>0.85</v>
      </c>
      <c r="G120" s="8">
        <f t="shared" si="39"/>
        <v>0.84000000000000008</v>
      </c>
      <c r="H120" s="8">
        <f t="shared" si="39"/>
        <v>0.81000000000000016</v>
      </c>
      <c r="I120" s="8">
        <f t="shared" si="39"/>
        <v>0.85</v>
      </c>
      <c r="J120" s="8">
        <f t="shared" si="39"/>
        <v>0.88999999999999979</v>
      </c>
      <c r="K120" s="8">
        <f t="shared" si="39"/>
        <v>0.89</v>
      </c>
      <c r="L120" s="8">
        <f t="shared" si="39"/>
        <v>0.9</v>
      </c>
      <c r="M120" s="8">
        <f t="shared" si="39"/>
        <v>0.77000000000000013</v>
      </c>
      <c r="N120" s="8">
        <f t="shared" si="39"/>
        <v>0.69000000000000006</v>
      </c>
      <c r="O120" s="8">
        <f t="shared" si="39"/>
        <v>0.7</v>
      </c>
      <c r="P120" s="8">
        <f t="shared" si="39"/>
        <v>0.21999999999999997</v>
      </c>
      <c r="Q120" s="8">
        <f t="shared" si="39"/>
        <v>0.23</v>
      </c>
      <c r="R120" s="8">
        <f t="shared" si="38"/>
        <v>0.18000000000000005</v>
      </c>
      <c r="S120" s="8">
        <f t="shared" si="38"/>
        <v>0.20000000000000007</v>
      </c>
      <c r="T120" s="8">
        <f t="shared" si="38"/>
        <v>0.21000000000000002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s="5" customFormat="1">
      <c r="A121" s="4" t="s">
        <v>114</v>
      </c>
      <c r="B121" s="8">
        <f t="shared" si="37"/>
        <v>2.9999999999999992E-2</v>
      </c>
      <c r="C121" s="8">
        <f t="shared" si="38"/>
        <v>0</v>
      </c>
      <c r="D121" s="8">
        <f t="shared" si="38"/>
        <v>0</v>
      </c>
      <c r="E121" s="8">
        <f t="shared" si="38"/>
        <v>2.9999999999999995E-2</v>
      </c>
      <c r="F121" s="8">
        <f t="shared" si="38"/>
        <v>0</v>
      </c>
      <c r="G121" s="8">
        <f t="shared" si="38"/>
        <v>0</v>
      </c>
      <c r="H121" s="8">
        <f t="shared" si="38"/>
        <v>0</v>
      </c>
      <c r="I121" s="8">
        <f t="shared" si="38"/>
        <v>0</v>
      </c>
      <c r="J121" s="8">
        <f t="shared" si="38"/>
        <v>0</v>
      </c>
      <c r="K121" s="8">
        <f t="shared" si="38"/>
        <v>0</v>
      </c>
      <c r="L121" s="8">
        <f t="shared" si="38"/>
        <v>0</v>
      </c>
      <c r="M121" s="8">
        <f t="shared" si="38"/>
        <v>0</v>
      </c>
      <c r="N121" s="8">
        <f t="shared" si="38"/>
        <v>0</v>
      </c>
      <c r="O121" s="8">
        <f t="shared" si="38"/>
        <v>0</v>
      </c>
      <c r="P121" s="8">
        <f t="shared" si="38"/>
        <v>0</v>
      </c>
      <c r="Q121" s="8">
        <f t="shared" si="38"/>
        <v>0</v>
      </c>
      <c r="R121" s="8">
        <f t="shared" si="38"/>
        <v>0</v>
      </c>
      <c r="S121" s="8">
        <f t="shared" si="38"/>
        <v>0</v>
      </c>
      <c r="T121" s="8">
        <f t="shared" si="38"/>
        <v>0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s="5" customFormat="1">
      <c r="A122" s="4" t="s">
        <v>106</v>
      </c>
      <c r="B122" s="8">
        <f t="shared" si="37"/>
        <v>12.46</v>
      </c>
      <c r="C122" s="8">
        <f t="shared" si="38"/>
        <v>12.999999999999996</v>
      </c>
      <c r="D122" s="8">
        <f t="shared" si="38"/>
        <v>12.059999999999999</v>
      </c>
      <c r="E122" s="8">
        <f t="shared" si="38"/>
        <v>11.979999999999999</v>
      </c>
      <c r="F122" s="8">
        <f t="shared" si="38"/>
        <v>12.24</v>
      </c>
      <c r="G122" s="8">
        <f t="shared" si="38"/>
        <v>11.919999999999996</v>
      </c>
      <c r="H122" s="8">
        <f t="shared" si="38"/>
        <v>12.389999999999999</v>
      </c>
      <c r="I122" s="8">
        <f t="shared" si="38"/>
        <v>12.42</v>
      </c>
      <c r="J122" s="8">
        <f t="shared" si="38"/>
        <v>12.839999999999996</v>
      </c>
      <c r="K122" s="8">
        <f t="shared" si="38"/>
        <v>11.1</v>
      </c>
      <c r="L122" s="8">
        <f t="shared" si="38"/>
        <v>12.84</v>
      </c>
      <c r="M122" s="8">
        <f t="shared" si="38"/>
        <v>12.18</v>
      </c>
      <c r="N122" s="8">
        <f t="shared" si="38"/>
        <v>11.799999999999999</v>
      </c>
      <c r="O122" s="8">
        <f t="shared" si="38"/>
        <v>12.09</v>
      </c>
      <c r="P122" s="8">
        <f t="shared" si="38"/>
        <v>12.36</v>
      </c>
      <c r="Q122" s="8">
        <f t="shared" si="38"/>
        <v>16.41</v>
      </c>
      <c r="R122" s="8">
        <f t="shared" si="38"/>
        <v>11.66</v>
      </c>
      <c r="S122" s="8">
        <f t="shared" si="38"/>
        <v>11.64</v>
      </c>
      <c r="T122" s="8">
        <f t="shared" si="38"/>
        <v>11.740000000000002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s="5" customFormat="1">
      <c r="A123" s="4" t="s">
        <v>108</v>
      </c>
      <c r="B123" s="8">
        <f t="shared" si="37"/>
        <v>10.489999999999998</v>
      </c>
      <c r="C123" s="8">
        <f t="shared" si="38"/>
        <v>10.53</v>
      </c>
      <c r="D123" s="8">
        <f t="shared" si="38"/>
        <v>10.55</v>
      </c>
      <c r="E123" s="8">
        <f t="shared" si="38"/>
        <v>9.9999999999999982</v>
      </c>
      <c r="F123" s="8">
        <f t="shared" si="38"/>
        <v>10.87</v>
      </c>
      <c r="G123" s="8">
        <f t="shared" si="38"/>
        <v>10.94</v>
      </c>
      <c r="H123" s="8">
        <f t="shared" si="38"/>
        <v>11.020000000000001</v>
      </c>
      <c r="I123" s="8">
        <f t="shared" si="38"/>
        <v>10.81</v>
      </c>
      <c r="J123" s="8">
        <f t="shared" si="38"/>
        <v>10.26</v>
      </c>
      <c r="K123" s="8">
        <f t="shared" si="38"/>
        <v>10.349999999999998</v>
      </c>
      <c r="L123" s="8">
        <f t="shared" si="38"/>
        <v>10.479999999999999</v>
      </c>
      <c r="M123" s="8">
        <f t="shared" si="38"/>
        <v>10.81</v>
      </c>
      <c r="N123" s="8">
        <f t="shared" si="38"/>
        <v>10.390000000000002</v>
      </c>
      <c r="O123" s="8">
        <f t="shared" si="38"/>
        <v>10.849999999999998</v>
      </c>
      <c r="P123" s="8">
        <f t="shared" si="38"/>
        <v>12.130000000000003</v>
      </c>
      <c r="Q123" s="8">
        <f t="shared" si="38"/>
        <v>12.639999999999999</v>
      </c>
      <c r="R123" s="8">
        <f t="shared" si="38"/>
        <v>11.949999999999998</v>
      </c>
      <c r="S123" s="8">
        <f t="shared" si="38"/>
        <v>12.03</v>
      </c>
      <c r="T123" s="8">
        <f t="shared" si="38"/>
        <v>12.069999999999999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s="5" customFormat="1">
      <c r="A124" s="4" t="s">
        <v>103</v>
      </c>
      <c r="B124" s="8">
        <f t="shared" si="37"/>
        <v>1.3500000000000003</v>
      </c>
      <c r="C124" s="8">
        <f t="shared" si="38"/>
        <v>1.4</v>
      </c>
      <c r="D124" s="8">
        <f t="shared" si="38"/>
        <v>1.51</v>
      </c>
      <c r="E124" s="8">
        <f t="shared" si="38"/>
        <v>1.39</v>
      </c>
      <c r="F124" s="8">
        <f t="shared" si="38"/>
        <v>1.3900000000000001</v>
      </c>
      <c r="G124" s="8">
        <f t="shared" si="38"/>
        <v>1.47</v>
      </c>
      <c r="H124" s="8">
        <f t="shared" si="38"/>
        <v>1.37</v>
      </c>
      <c r="I124" s="8">
        <f t="shared" si="38"/>
        <v>1.41</v>
      </c>
      <c r="J124" s="8">
        <f t="shared" si="38"/>
        <v>1.41</v>
      </c>
      <c r="K124" s="8">
        <f t="shared" si="38"/>
        <v>1.29</v>
      </c>
      <c r="L124" s="8">
        <f t="shared" si="38"/>
        <v>1.53</v>
      </c>
      <c r="M124" s="8">
        <f t="shared" si="38"/>
        <v>1.4500000000000002</v>
      </c>
      <c r="N124" s="8">
        <f t="shared" si="38"/>
        <v>1.6300000000000001</v>
      </c>
      <c r="O124" s="8">
        <f t="shared" si="38"/>
        <v>1.5100000000000002</v>
      </c>
      <c r="P124" s="8">
        <f t="shared" si="38"/>
        <v>1.3799999999999997</v>
      </c>
      <c r="Q124" s="8">
        <f t="shared" si="38"/>
        <v>0.73999999999999988</v>
      </c>
      <c r="R124" s="8">
        <f t="shared" si="38"/>
        <v>1.67</v>
      </c>
      <c r="S124" s="8">
        <f t="shared" si="38"/>
        <v>1.57</v>
      </c>
      <c r="T124" s="8">
        <f t="shared" si="38"/>
        <v>1.6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s="5" customFormat="1">
      <c r="A125" s="4" t="s">
        <v>273</v>
      </c>
      <c r="B125" s="8">
        <f t="shared" si="37"/>
        <v>0.24</v>
      </c>
      <c r="C125" s="8">
        <f t="shared" si="38"/>
        <v>0.14000000000000001</v>
      </c>
      <c r="D125" s="8">
        <f t="shared" si="38"/>
        <v>0.27</v>
      </c>
      <c r="E125" s="8">
        <f t="shared" si="38"/>
        <v>0.25</v>
      </c>
      <c r="F125" s="8">
        <f t="shared" si="38"/>
        <v>0.34</v>
      </c>
      <c r="G125" s="8">
        <f t="shared" si="38"/>
        <v>0.26</v>
      </c>
      <c r="H125" s="8">
        <f t="shared" si="38"/>
        <v>0.21000000000000002</v>
      </c>
      <c r="I125" s="8">
        <f t="shared" si="38"/>
        <v>0.23</v>
      </c>
      <c r="J125" s="8">
        <f t="shared" si="38"/>
        <v>0.16</v>
      </c>
      <c r="K125" s="8">
        <f t="shared" si="38"/>
        <v>0.27000000000000007</v>
      </c>
      <c r="L125" s="8">
        <f t="shared" si="38"/>
        <v>0.14000000000000004</v>
      </c>
      <c r="M125" s="8">
        <f t="shared" si="38"/>
        <v>0.22</v>
      </c>
      <c r="N125" s="8">
        <f t="shared" si="38"/>
        <v>0.25</v>
      </c>
      <c r="O125" s="8">
        <f t="shared" si="38"/>
        <v>0.24999999999999997</v>
      </c>
      <c r="P125" s="8">
        <f t="shared" si="38"/>
        <v>0.73000000000000009</v>
      </c>
      <c r="Q125" s="8">
        <f t="shared" si="38"/>
        <v>0.26</v>
      </c>
      <c r="R125" s="8">
        <f t="shared" si="38"/>
        <v>0.99</v>
      </c>
      <c r="S125" s="8">
        <f t="shared" si="38"/>
        <v>1.02</v>
      </c>
      <c r="T125" s="8">
        <f t="shared" si="38"/>
        <v>0.94000000000000006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s="5" customFormat="1">
      <c r="A126" s="4" t="s">
        <v>85</v>
      </c>
      <c r="B126" s="8">
        <f>(B108/13)*$B16*B$56/$C16</f>
        <v>2.0476178878505951</v>
      </c>
      <c r="C126" s="8">
        <f t="shared" ref="C126:T126" si="40">(C108/13)*$B16*C$56/$C16</f>
        <v>2.0806399016948682</v>
      </c>
      <c r="D126" s="8">
        <f t="shared" si="40"/>
        <v>2.082215933058575</v>
      </c>
      <c r="E126" s="8">
        <f t="shared" si="40"/>
        <v>2.0580680934774569</v>
      </c>
      <c r="F126" s="8">
        <f t="shared" si="40"/>
        <v>2.0657246531694073</v>
      </c>
      <c r="G126" s="8">
        <f t="shared" si="40"/>
        <v>2.0632012133150339</v>
      </c>
      <c r="H126" s="8">
        <f t="shared" si="40"/>
        <v>2.0642438080571361</v>
      </c>
      <c r="I126" s="8">
        <f t="shared" si="40"/>
        <v>2.0838318590657132</v>
      </c>
      <c r="J126" s="8">
        <f t="shared" si="40"/>
        <v>2.0899776147278359</v>
      </c>
      <c r="K126" s="8">
        <f t="shared" si="40"/>
        <v>1.9595197458923697</v>
      </c>
      <c r="L126" s="8">
        <f t="shared" si="40"/>
        <v>2.0965686428190708</v>
      </c>
      <c r="M126" s="8">
        <f t="shared" si="40"/>
        <v>2.0642565337763821</v>
      </c>
      <c r="N126" s="8">
        <f t="shared" si="40"/>
        <v>2.0690233745950075</v>
      </c>
      <c r="O126" s="8">
        <f t="shared" si="40"/>
        <v>2.0770056431441772</v>
      </c>
      <c r="P126" s="8">
        <f t="shared" si="40"/>
        <v>2.0027083318965291</v>
      </c>
      <c r="Q126" s="8">
        <f t="shared" si="40"/>
        <v>2.073443555001067</v>
      </c>
      <c r="R126" s="8">
        <f t="shared" si="40"/>
        <v>2.0082899125420552</v>
      </c>
      <c r="S126" s="8">
        <f t="shared" si="40"/>
        <v>2.0094871163275445</v>
      </c>
      <c r="T126" s="8">
        <f t="shared" si="40"/>
        <v>2.0100371880187997</v>
      </c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s="5" customFormat="1">
      <c r="A127" s="4" t="s">
        <v>86</v>
      </c>
      <c r="B127" s="8">
        <f>(B109/13)*$B17*B$56/$C17</f>
        <v>0</v>
      </c>
      <c r="C127" s="8">
        <f t="shared" ref="C127:T127" si="41">(C109/13)*$B17*C$56/$C17</f>
        <v>0</v>
      </c>
      <c r="D127" s="8">
        <f t="shared" si="41"/>
        <v>0</v>
      </c>
      <c r="E127" s="8">
        <f t="shared" si="41"/>
        <v>0</v>
      </c>
      <c r="F127" s="8">
        <f t="shared" si="41"/>
        <v>0</v>
      </c>
      <c r="G127" s="8">
        <f t="shared" si="41"/>
        <v>0</v>
      </c>
      <c r="H127" s="8">
        <f t="shared" si="41"/>
        <v>0</v>
      </c>
      <c r="I127" s="8">
        <f t="shared" si="41"/>
        <v>0</v>
      </c>
      <c r="J127" s="8">
        <f t="shared" si="41"/>
        <v>0</v>
      </c>
      <c r="K127" s="8">
        <f t="shared" si="41"/>
        <v>0</v>
      </c>
      <c r="L127" s="8">
        <f t="shared" si="41"/>
        <v>0</v>
      </c>
      <c r="M127" s="8">
        <f t="shared" si="41"/>
        <v>0</v>
      </c>
      <c r="N127" s="8">
        <f t="shared" si="41"/>
        <v>0</v>
      </c>
      <c r="O127" s="8">
        <f t="shared" si="41"/>
        <v>0</v>
      </c>
      <c r="P127" s="8">
        <f t="shared" si="41"/>
        <v>0</v>
      </c>
      <c r="Q127" s="8">
        <f t="shared" si="41"/>
        <v>0</v>
      </c>
      <c r="R127" s="8">
        <f t="shared" si="41"/>
        <v>0</v>
      </c>
      <c r="S127" s="8">
        <f t="shared" si="41"/>
        <v>0</v>
      </c>
      <c r="T127" s="8">
        <f t="shared" si="41"/>
        <v>0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s="5" customFormat="1">
      <c r="A128" s="4" t="s">
        <v>87</v>
      </c>
      <c r="B128" s="8">
        <f>(B110/13)*$B18*B$56/$C18</f>
        <v>0</v>
      </c>
      <c r="C128" s="8">
        <f t="shared" ref="C128:T128" si="42">(C110/13)*$B18*C$56/$C18</f>
        <v>0</v>
      </c>
      <c r="D128" s="8">
        <f t="shared" si="42"/>
        <v>0</v>
      </c>
      <c r="E128" s="8">
        <f t="shared" si="42"/>
        <v>0</v>
      </c>
      <c r="F128" s="8">
        <f t="shared" si="42"/>
        <v>0</v>
      </c>
      <c r="G128" s="8">
        <f t="shared" si="42"/>
        <v>0</v>
      </c>
      <c r="H128" s="8">
        <f t="shared" si="42"/>
        <v>0</v>
      </c>
      <c r="I128" s="8">
        <f t="shared" si="42"/>
        <v>0</v>
      </c>
      <c r="J128" s="8">
        <f t="shared" si="42"/>
        <v>0</v>
      </c>
      <c r="K128" s="8">
        <f t="shared" si="42"/>
        <v>0</v>
      </c>
      <c r="L128" s="8">
        <f t="shared" si="42"/>
        <v>0</v>
      </c>
      <c r="M128" s="8">
        <f t="shared" si="42"/>
        <v>0</v>
      </c>
      <c r="N128" s="8">
        <f t="shared" si="42"/>
        <v>0</v>
      </c>
      <c r="O128" s="8">
        <f t="shared" si="42"/>
        <v>0</v>
      </c>
      <c r="P128" s="8">
        <f t="shared" si="42"/>
        <v>0</v>
      </c>
      <c r="Q128" s="8">
        <f t="shared" si="42"/>
        <v>0</v>
      </c>
      <c r="R128" s="8">
        <f t="shared" si="42"/>
        <v>0</v>
      </c>
      <c r="S128" s="8">
        <f t="shared" si="42"/>
        <v>0</v>
      </c>
      <c r="T128" s="8">
        <f t="shared" si="42"/>
        <v>0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s="5" customFormat="1">
      <c r="A129" s="4" t="s">
        <v>115</v>
      </c>
      <c r="B129" s="8">
        <f>SUM(B114:B128)</f>
        <v>98.409199974060201</v>
      </c>
      <c r="C129" s="8">
        <f t="shared" ref="C129:T129" si="43">SUM(C114:C128)</f>
        <v>99.622930255511193</v>
      </c>
      <c r="D129" s="8">
        <f t="shared" si="43"/>
        <v>100.44385921156913</v>
      </c>
      <c r="E129" s="8">
        <f t="shared" si="43"/>
        <v>99.001169774338749</v>
      </c>
      <c r="F129" s="8">
        <f t="shared" si="43"/>
        <v>99.663853600460456</v>
      </c>
      <c r="G129" s="8">
        <f t="shared" si="43"/>
        <v>99.895153358778302</v>
      </c>
      <c r="H129" s="8">
        <f t="shared" si="43"/>
        <v>99.401405221031098</v>
      </c>
      <c r="I129" s="8">
        <f t="shared" si="43"/>
        <v>100.36833863190682</v>
      </c>
      <c r="J129" s="8">
        <f t="shared" si="43"/>
        <v>100.01510761569071</v>
      </c>
      <c r="K129" s="8">
        <f t="shared" si="43"/>
        <v>95.117985400616831</v>
      </c>
      <c r="L129" s="8">
        <f t="shared" si="43"/>
        <v>100.50568172219006</v>
      </c>
      <c r="M129" s="8">
        <f t="shared" si="43"/>
        <v>99.476070544404777</v>
      </c>
      <c r="N129" s="8">
        <f t="shared" si="43"/>
        <v>99.54773615817831</v>
      </c>
      <c r="O129" s="8">
        <f t="shared" si="43"/>
        <v>100.33290790109353</v>
      </c>
      <c r="P129" s="8">
        <f t="shared" si="43"/>
        <v>98.070864378821824</v>
      </c>
      <c r="Q129" s="8">
        <f t="shared" si="43"/>
        <v>98.597850445393334</v>
      </c>
      <c r="R129" s="8">
        <f t="shared" si="43"/>
        <v>99.035153391705961</v>
      </c>
      <c r="S129" s="8">
        <f t="shared" si="43"/>
        <v>99.066239810191689</v>
      </c>
      <c r="T129" s="8">
        <f t="shared" si="43"/>
        <v>99.226783375463526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s="5" customFormat="1">
      <c r="A130" s="4" t="s">
        <v>90</v>
      </c>
      <c r="B130" s="8">
        <f>B127*0.4211+B128*0.2256</f>
        <v>0</v>
      </c>
      <c r="C130" s="8">
        <f t="shared" ref="C130:T130" si="44">C127*0.4211+C128*0.2256</f>
        <v>0</v>
      </c>
      <c r="D130" s="8">
        <f t="shared" si="44"/>
        <v>0</v>
      </c>
      <c r="E130" s="8">
        <f t="shared" si="44"/>
        <v>0</v>
      </c>
      <c r="F130" s="8">
        <f t="shared" si="44"/>
        <v>0</v>
      </c>
      <c r="G130" s="8">
        <f t="shared" si="44"/>
        <v>0</v>
      </c>
      <c r="H130" s="8">
        <f t="shared" si="44"/>
        <v>0</v>
      </c>
      <c r="I130" s="8">
        <f t="shared" si="44"/>
        <v>0</v>
      </c>
      <c r="J130" s="8">
        <f t="shared" si="44"/>
        <v>0</v>
      </c>
      <c r="K130" s="8">
        <f t="shared" si="44"/>
        <v>0</v>
      </c>
      <c r="L130" s="8">
        <f t="shared" si="44"/>
        <v>0</v>
      </c>
      <c r="M130" s="8">
        <f t="shared" si="44"/>
        <v>0</v>
      </c>
      <c r="N130" s="8">
        <f t="shared" si="44"/>
        <v>0</v>
      </c>
      <c r="O130" s="8">
        <f t="shared" si="44"/>
        <v>0</v>
      </c>
      <c r="P130" s="8">
        <f t="shared" si="44"/>
        <v>0</v>
      </c>
      <c r="Q130" s="8">
        <f t="shared" si="44"/>
        <v>0</v>
      </c>
      <c r="R130" s="8">
        <f t="shared" si="44"/>
        <v>0</v>
      </c>
      <c r="S130" s="8">
        <f t="shared" si="44"/>
        <v>0</v>
      </c>
      <c r="T130" s="8">
        <f t="shared" si="44"/>
        <v>0</v>
      </c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s="5" customFormat="1">
      <c r="A131" s="4" t="s">
        <v>115</v>
      </c>
      <c r="B131" s="8">
        <f>B129-B130</f>
        <v>98.409199974060201</v>
      </c>
      <c r="C131" s="8">
        <f t="shared" ref="C131:T131" si="45">C129-C130</f>
        <v>99.622930255511193</v>
      </c>
      <c r="D131" s="8">
        <f t="shared" si="45"/>
        <v>100.44385921156913</v>
      </c>
      <c r="E131" s="8">
        <f t="shared" si="45"/>
        <v>99.001169774338749</v>
      </c>
      <c r="F131" s="8">
        <f t="shared" si="45"/>
        <v>99.663853600460456</v>
      </c>
      <c r="G131" s="8">
        <f t="shared" si="45"/>
        <v>99.895153358778302</v>
      </c>
      <c r="H131" s="8">
        <f t="shared" si="45"/>
        <v>99.401405221031098</v>
      </c>
      <c r="I131" s="8">
        <f t="shared" si="45"/>
        <v>100.36833863190682</v>
      </c>
      <c r="J131" s="8">
        <f t="shared" si="45"/>
        <v>100.01510761569071</v>
      </c>
      <c r="K131" s="8">
        <f t="shared" si="45"/>
        <v>95.117985400616831</v>
      </c>
      <c r="L131" s="8">
        <f t="shared" si="45"/>
        <v>100.50568172219006</v>
      </c>
      <c r="M131" s="8">
        <f t="shared" si="45"/>
        <v>99.476070544404777</v>
      </c>
      <c r="N131" s="8">
        <f t="shared" si="45"/>
        <v>99.54773615817831</v>
      </c>
      <c r="O131" s="8">
        <f t="shared" si="45"/>
        <v>100.33290790109353</v>
      </c>
      <c r="P131" s="8">
        <f t="shared" si="45"/>
        <v>98.070864378821824</v>
      </c>
      <c r="Q131" s="8">
        <f t="shared" si="45"/>
        <v>98.597850445393334</v>
      </c>
      <c r="R131" s="8">
        <f t="shared" si="45"/>
        <v>99.035153391705961</v>
      </c>
      <c r="S131" s="8">
        <f t="shared" si="45"/>
        <v>99.066239810191689</v>
      </c>
      <c r="T131" s="8">
        <f t="shared" si="45"/>
        <v>99.226783375463526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s="5" customFormat="1">
      <c r="A132" s="4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s="5" customFormat="1">
      <c r="A133" s="4" t="s">
        <v>73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s="5" customFormat="1">
      <c r="A134" s="4" t="s">
        <v>74</v>
      </c>
      <c r="B134" s="8">
        <f>IF(8-B96&lt;0, 0, IF((8-B96)&gt;B99, B99, (8-B96)))</f>
        <v>1.1992652692455037</v>
      </c>
      <c r="C134" s="8">
        <f t="shared" ref="C134:T134" si="46">IF(8-C96&lt;0, 0, IF((8-C96)&gt;C99, C99, (8-C96)))</f>
        <v>1.483023214939136</v>
      </c>
      <c r="D134" s="8">
        <f t="shared" si="46"/>
        <v>1.5225178536215758</v>
      </c>
      <c r="E134" s="8">
        <f t="shared" si="46"/>
        <v>1.5849287459331043</v>
      </c>
      <c r="F134" s="8">
        <f t="shared" si="46"/>
        <v>1.4751609635649681</v>
      </c>
      <c r="G134" s="8">
        <f t="shared" si="46"/>
        <v>1.5718220057457035</v>
      </c>
      <c r="H134" s="8">
        <f t="shared" si="46"/>
        <v>1.4690275627842126</v>
      </c>
      <c r="I134" s="8">
        <f t="shared" si="46"/>
        <v>1.4771771423127209</v>
      </c>
      <c r="J134" s="8">
        <f t="shared" si="46"/>
        <v>1.4074046452525799</v>
      </c>
      <c r="K134" s="8">
        <f t="shared" si="46"/>
        <v>1.2378173628651519</v>
      </c>
      <c r="L134" s="8">
        <f t="shared" si="46"/>
        <v>1.4738970334165993</v>
      </c>
      <c r="M134" s="8">
        <f t="shared" si="46"/>
        <v>1.5024778426929473</v>
      </c>
      <c r="N134" s="8">
        <f t="shared" si="46"/>
        <v>1.3739705238817326</v>
      </c>
      <c r="O134" s="8">
        <f t="shared" si="46"/>
        <v>1.6029961450920567</v>
      </c>
      <c r="P134" s="8">
        <f t="shared" si="46"/>
        <v>1.3072846018874236</v>
      </c>
      <c r="Q134" s="8">
        <f t="shared" si="46"/>
        <v>0.61150090536854673</v>
      </c>
      <c r="R134" s="8">
        <f t="shared" si="46"/>
        <v>1.593148666879733</v>
      </c>
      <c r="S134" s="8">
        <f t="shared" si="46"/>
        <v>1.5999501157345808</v>
      </c>
      <c r="T134" s="8">
        <f t="shared" si="46"/>
        <v>1.6434717616348431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s="5" customFormat="1">
      <c r="A135" s="4" t="s">
        <v>75</v>
      </c>
      <c r="B135" s="8">
        <f t="shared" ref="B135:T135" si="47">B99-B134</f>
        <v>0.45093558165565284</v>
      </c>
      <c r="C135" s="8">
        <f t="shared" si="47"/>
        <v>0.42128183429405519</v>
      </c>
      <c r="D135" s="8">
        <f t="shared" si="47"/>
        <v>0.47710160545526659</v>
      </c>
      <c r="E135" s="8">
        <f t="shared" si="47"/>
        <v>0.42956582655441355</v>
      </c>
      <c r="F135" s="8">
        <f t="shared" si="47"/>
        <v>0.48909140171326659</v>
      </c>
      <c r="G135" s="8">
        <f t="shared" si="47"/>
        <v>0.46849667669713302</v>
      </c>
      <c r="H135" s="8">
        <f t="shared" si="47"/>
        <v>0.50690740789591349</v>
      </c>
      <c r="I135" s="8">
        <f t="shared" si="47"/>
        <v>0.46322247462926169</v>
      </c>
      <c r="J135" s="8">
        <f t="shared" si="47"/>
        <v>0.43089261052580086</v>
      </c>
      <c r="K135" s="8">
        <f t="shared" si="47"/>
        <v>0.43426597526008037</v>
      </c>
      <c r="L135" s="8">
        <f t="shared" si="47"/>
        <v>0.44291359131248353</v>
      </c>
      <c r="M135" s="8">
        <f t="shared" si="47"/>
        <v>0.50768970913436862</v>
      </c>
      <c r="N135" s="8">
        <f t="shared" si="47"/>
        <v>0.6076496796604296</v>
      </c>
      <c r="O135" s="8">
        <f t="shared" si="47"/>
        <v>0.4782172375607554</v>
      </c>
      <c r="P135" s="8">
        <f t="shared" si="47"/>
        <v>0.36756701597242558</v>
      </c>
      <c r="Q135" s="8">
        <f t="shared" si="47"/>
        <v>0.20843647971213153</v>
      </c>
      <c r="R135" s="8">
        <f t="shared" si="47"/>
        <v>0.3973597914438991</v>
      </c>
      <c r="S135" s="8">
        <f t="shared" si="47"/>
        <v>0.41399712828830237</v>
      </c>
      <c r="T135" s="8">
        <f t="shared" si="47"/>
        <v>0.3417895479654578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s="5" customFormat="1">
      <c r="A136" s="4" t="s">
        <v>76</v>
      </c>
      <c r="B136" s="8">
        <f>B104/(B104+B101)</f>
        <v>0.78128507610254405</v>
      </c>
      <c r="C136" s="8">
        <f t="shared" ref="C136:T136" si="48">C104/(C104+C101)</f>
        <v>0.88858269016030988</v>
      </c>
      <c r="D136" s="8">
        <f t="shared" si="48"/>
        <v>0.82371959003869633</v>
      </c>
      <c r="E136" s="8">
        <f t="shared" si="48"/>
        <v>0.903875543158146</v>
      </c>
      <c r="F136" s="8">
        <f t="shared" si="48"/>
        <v>0.79692303695905176</v>
      </c>
      <c r="G136" s="8">
        <f t="shared" si="48"/>
        <v>0.79269841138461639</v>
      </c>
      <c r="H136" s="8">
        <f t="shared" si="48"/>
        <v>0.80038848081689395</v>
      </c>
      <c r="I136" s="8">
        <f t="shared" si="48"/>
        <v>0.81866755404778913</v>
      </c>
      <c r="J136" s="8">
        <f t="shared" si="48"/>
        <v>0.88205821107530413</v>
      </c>
      <c r="K136" s="8">
        <f t="shared" si="48"/>
        <v>0.71790959447418456</v>
      </c>
      <c r="L136" s="8">
        <f t="shared" si="48"/>
        <v>0.87086400788277918</v>
      </c>
      <c r="M136" s="8">
        <f t="shared" si="48"/>
        <v>0.80268597713568901</v>
      </c>
      <c r="N136" s="8">
        <f t="shared" si="48"/>
        <v>0.76300857766104868</v>
      </c>
      <c r="O136" s="8">
        <f t="shared" si="48"/>
        <v>0.80738373813758813</v>
      </c>
      <c r="P136" s="8">
        <f t="shared" si="48"/>
        <v>0.64892590336940537</v>
      </c>
      <c r="Q136" s="8">
        <f t="shared" si="48"/>
        <v>0.77889783242111443</v>
      </c>
      <c r="R136" s="8">
        <f t="shared" si="48"/>
        <v>0.63878818498476264</v>
      </c>
      <c r="S136" s="8">
        <f t="shared" si="48"/>
        <v>0.63955310677631383</v>
      </c>
      <c r="T136" s="8">
        <f t="shared" si="48"/>
        <v>0.65127768310503986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s="5" customFormat="1">
      <c r="A137" s="4" t="s">
        <v>77</v>
      </c>
      <c r="B137" s="8">
        <f>B104/(B104+B101+B100)</f>
        <v>0.61710686562587969</v>
      </c>
      <c r="C137" s="8">
        <f t="shared" ref="C137:T137" si="49">C104/(C104+C101+C100)</f>
        <v>0.63290393032629255</v>
      </c>
      <c r="D137" s="8">
        <f t="shared" si="49"/>
        <v>0.59717947410279482</v>
      </c>
      <c r="E137" s="8">
        <f t="shared" si="49"/>
        <v>0.59375573613183097</v>
      </c>
      <c r="F137" s="8">
        <f t="shared" si="49"/>
        <v>0.61082977427378171</v>
      </c>
      <c r="G137" s="8">
        <f t="shared" si="49"/>
        <v>0.5918837921524871</v>
      </c>
      <c r="H137" s="8">
        <f t="shared" si="49"/>
        <v>0.62096910833514751</v>
      </c>
      <c r="I137" s="8">
        <f t="shared" si="49"/>
        <v>0.61073560427802442</v>
      </c>
      <c r="J137" s="8">
        <f t="shared" si="49"/>
        <v>0.62383962478496535</v>
      </c>
      <c r="K137" s="8">
        <f t="shared" si="49"/>
        <v>0.57556414176976878</v>
      </c>
      <c r="L137" s="8">
        <f t="shared" si="49"/>
        <v>0.62520296729373503</v>
      </c>
      <c r="M137" s="8">
        <f t="shared" si="49"/>
        <v>0.60983224914669543</v>
      </c>
      <c r="N137" s="8">
        <f t="shared" si="49"/>
        <v>0.6022649560901302</v>
      </c>
      <c r="O137" s="8">
        <f t="shared" si="49"/>
        <v>0.5986072386927298</v>
      </c>
      <c r="P137" s="8">
        <f t="shared" si="49"/>
        <v>0.62127311927914164</v>
      </c>
      <c r="Q137" s="8">
        <f t="shared" si="49"/>
        <v>0.74427335633585689</v>
      </c>
      <c r="R137" s="8">
        <f t="shared" si="49"/>
        <v>0.59189142846121345</v>
      </c>
      <c r="S137" s="8">
        <f t="shared" si="49"/>
        <v>0.59249012633348253</v>
      </c>
      <c r="T137" s="8">
        <f t="shared" si="49"/>
        <v>0.58770762124305831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s="5" customFormat="1">
      <c r="A138" s="4" t="s">
        <v>91</v>
      </c>
      <c r="B138" s="8">
        <f>B100/(B100+B101)</f>
        <v>0.54881807967417418</v>
      </c>
      <c r="C138" s="8">
        <f t="shared" ref="C138:T138" si="50">C100/(C100+C101)</f>
        <v>0.78382131170605929</v>
      </c>
      <c r="D138" s="8">
        <f t="shared" si="50"/>
        <v>0.68273808811407677</v>
      </c>
      <c r="E138" s="8">
        <f t="shared" si="50"/>
        <v>0.84456606575869908</v>
      </c>
      <c r="F138" s="8">
        <f t="shared" si="50"/>
        <v>0.60003234609810197</v>
      </c>
      <c r="G138" s="8">
        <f t="shared" si="50"/>
        <v>0.62073108659060716</v>
      </c>
      <c r="H138" s="8">
        <f t="shared" si="50"/>
        <v>0.59141712615960718</v>
      </c>
      <c r="I138" s="8">
        <f t="shared" si="50"/>
        <v>0.65248264541287471</v>
      </c>
      <c r="J138" s="8">
        <f t="shared" si="50"/>
        <v>0.7782465550747496</v>
      </c>
      <c r="K138" s="8">
        <f t="shared" si="50"/>
        <v>0.46715582940312811</v>
      </c>
      <c r="L138" s="8">
        <f t="shared" si="50"/>
        <v>0.75264434233327315</v>
      </c>
      <c r="M138" s="8">
        <f t="shared" si="50"/>
        <v>0.61578767523660161</v>
      </c>
      <c r="N138" s="8">
        <f t="shared" si="50"/>
        <v>0.52967621411288979</v>
      </c>
      <c r="O138" s="8">
        <f t="shared" si="50"/>
        <v>0.6442168463156851</v>
      </c>
      <c r="P138" s="8">
        <f t="shared" si="50"/>
        <v>0.11251686455968113</v>
      </c>
      <c r="Q138" s="8">
        <f t="shared" si="50"/>
        <v>0.17383080314373642</v>
      </c>
      <c r="R138" s="8">
        <f t="shared" si="50"/>
        <v>0.17989132301020488</v>
      </c>
      <c r="S138" s="8">
        <f t="shared" si="50"/>
        <v>0.18057793330523728</v>
      </c>
      <c r="T138" s="8">
        <f t="shared" si="50"/>
        <v>0.23674517161054398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s="5" customFormat="1">
      <c r="A139" s="4" t="s">
        <v>93</v>
      </c>
      <c r="B139" s="8">
        <f>IF(B111-15-B107&gt;B106, B106, B111-15-B107)</f>
        <v>2.8997705416146755E-2</v>
      </c>
      <c r="C139" s="8">
        <f t="shared" ref="C139:T139" si="51">IF(C111-15-C107&gt;C106, C106, C111-15-C107)</f>
        <v>1.6940641278916476E-2</v>
      </c>
      <c r="D139" s="8">
        <f t="shared" si="51"/>
        <v>4.9209184234809314E-2</v>
      </c>
      <c r="E139" s="8">
        <f t="shared" si="51"/>
        <v>-4.6490781841166798E-2</v>
      </c>
      <c r="F139" s="8">
        <f t="shared" si="51"/>
        <v>8.1563436216306823E-2</v>
      </c>
      <c r="G139" s="8">
        <f t="shared" si="51"/>
        <v>0.11754851205964385</v>
      </c>
      <c r="H139" s="8">
        <f t="shared" si="51"/>
        <v>0.10076796750002009</v>
      </c>
      <c r="I139" s="8">
        <f t="shared" si="51"/>
        <v>5.9805568841710219E-2</v>
      </c>
      <c r="J139" s="8">
        <f t="shared" si="51"/>
        <v>-3.0790153204702873E-2</v>
      </c>
      <c r="K139" s="8">
        <f t="shared" si="51"/>
        <v>7.9468388747821944E-2</v>
      </c>
      <c r="L139" s="8">
        <f t="shared" si="51"/>
        <v>3.0000378408916912E-2</v>
      </c>
      <c r="M139" s="8">
        <f t="shared" si="51"/>
        <v>9.060295942039498E-2</v>
      </c>
      <c r="N139" s="8">
        <f t="shared" si="51"/>
        <v>7.1148226430256339E-2</v>
      </c>
      <c r="O139" s="8">
        <f t="shared" si="51"/>
        <v>0.10074975104944978</v>
      </c>
      <c r="P139" s="8">
        <f t="shared" si="51"/>
        <v>0.34626812920011563</v>
      </c>
      <c r="Q139" s="8">
        <f t="shared" si="51"/>
        <v>0.16581123492233463</v>
      </c>
      <c r="R139" s="8">
        <f t="shared" si="51"/>
        <v>0.39489647342019119</v>
      </c>
      <c r="S139" s="8">
        <f t="shared" si="51"/>
        <v>0.37733051387995264</v>
      </c>
      <c r="T139" s="8">
        <f t="shared" si="51"/>
        <v>0.39174880633350573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s="5" customFormat="1">
      <c r="A140" s="4" t="s">
        <v>92</v>
      </c>
      <c r="B140" s="8">
        <f t="shared" ref="B140:T140" si="52">B106-B139</f>
        <v>0.35426073366531402</v>
      </c>
      <c r="C140" s="8">
        <f t="shared" si="52"/>
        <v>0.37420454113492996</v>
      </c>
      <c r="D140" s="8">
        <f t="shared" si="52"/>
        <v>0.37234951403782979</v>
      </c>
      <c r="E140" s="8">
        <f t="shared" si="52"/>
        <v>0.4391013027350924</v>
      </c>
      <c r="F140" s="8">
        <f t="shared" si="52"/>
        <v>0.3095918830444776</v>
      </c>
      <c r="G140" s="8">
        <f t="shared" si="52"/>
        <v>0.29662528837510149</v>
      </c>
      <c r="H140" s="8">
        <f t="shared" si="52"/>
        <v>0.2850357867685655</v>
      </c>
      <c r="I140" s="8">
        <f t="shared" si="52"/>
        <v>0.33353008249249544</v>
      </c>
      <c r="J140" s="8">
        <f t="shared" si="52"/>
        <v>0.4229691678413347</v>
      </c>
      <c r="K140" s="8">
        <f t="shared" si="52"/>
        <v>0.30322145710913395</v>
      </c>
      <c r="L140" s="8">
        <f t="shared" si="52"/>
        <v>0.39421774421264844</v>
      </c>
      <c r="M140" s="8">
        <f t="shared" si="52"/>
        <v>0.31772696394287392</v>
      </c>
      <c r="N140" s="8">
        <f t="shared" si="52"/>
        <v>0.38681339060346176</v>
      </c>
      <c r="O140" s="8">
        <f t="shared" si="52"/>
        <v>0.32186645182900808</v>
      </c>
      <c r="P140" s="8">
        <f t="shared" si="52"/>
        <v>5.4292494515402578E-2</v>
      </c>
      <c r="Q140" s="8">
        <f t="shared" si="52"/>
        <v>4.1654498392608791E-2</v>
      </c>
      <c r="R140" s="8">
        <f t="shared" si="52"/>
        <v>8.8492720007437076E-2</v>
      </c>
      <c r="S140" s="8">
        <f t="shared" si="52"/>
        <v>7.6842472286953289E-2</v>
      </c>
      <c r="T140" s="8">
        <f t="shared" si="52"/>
        <v>7.0975979477546081E-2</v>
      </c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s="5" customFormat="1">
      <c r="A141" s="4" t="s">
        <v>159</v>
      </c>
      <c r="B141" s="8">
        <f>B139+B107</f>
        <v>7.3829268654924007E-2</v>
      </c>
      <c r="C141" s="8">
        <f t="shared" ref="C141:T141" si="53">C139+C107</f>
        <v>4.2677329916257278E-2</v>
      </c>
      <c r="D141" s="8">
        <f t="shared" si="53"/>
        <v>9.8806657792621877E-2</v>
      </c>
      <c r="E141" s="8">
        <f t="shared" si="53"/>
        <v>-2.8362020245253916E-5</v>
      </c>
      <c r="F141" s="8">
        <f t="shared" si="53"/>
        <v>0.14451811903919598</v>
      </c>
      <c r="G141" s="8">
        <f t="shared" si="53"/>
        <v>0.16574920915528679</v>
      </c>
      <c r="H141" s="8">
        <f t="shared" si="53"/>
        <v>0.13967963658726923</v>
      </c>
      <c r="I141" s="8">
        <f t="shared" si="53"/>
        <v>0.10202250563252235</v>
      </c>
      <c r="J141" s="8">
        <f t="shared" si="53"/>
        <v>-1.5082093276852504E-3</v>
      </c>
      <c r="K141" s="8">
        <f t="shared" si="53"/>
        <v>0.13217142983634034</v>
      </c>
      <c r="L141" s="8">
        <f t="shared" si="53"/>
        <v>5.5541531807236311E-2</v>
      </c>
      <c r="M141" s="8">
        <f t="shared" si="53"/>
        <v>0.13136731382539146</v>
      </c>
      <c r="N141" s="8">
        <f t="shared" si="53"/>
        <v>0.11736463217671655</v>
      </c>
      <c r="O141" s="8">
        <f t="shared" si="53"/>
        <v>0.14678853967519423</v>
      </c>
      <c r="P141" s="8">
        <f t="shared" si="53"/>
        <v>0.48568865339138867</v>
      </c>
      <c r="Q141" s="8">
        <f t="shared" si="53"/>
        <v>0.21377383148807994</v>
      </c>
      <c r="R141" s="8">
        <f t="shared" si="53"/>
        <v>0.58344812614760855</v>
      </c>
      <c r="S141" s="8">
        <f t="shared" si="53"/>
        <v>0.57148011446665059</v>
      </c>
      <c r="T141" s="8">
        <f t="shared" si="53"/>
        <v>0.57062202298486042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s="5" customFormat="1">
      <c r="A142" s="4" t="s">
        <v>237</v>
      </c>
      <c r="B142" s="8">
        <f>B111</f>
        <v>15.073829268654924</v>
      </c>
      <c r="C142" s="8">
        <f t="shared" ref="C142:T142" si="54">C111</f>
        <v>15.042677329916257</v>
      </c>
      <c r="D142" s="8">
        <f t="shared" si="54"/>
        <v>15.098806657792622</v>
      </c>
      <c r="E142" s="8">
        <f t="shared" si="54"/>
        <v>14.999971637979755</v>
      </c>
      <c r="F142" s="8">
        <f t="shared" si="54"/>
        <v>15.144518119039196</v>
      </c>
      <c r="G142" s="8">
        <f t="shared" si="54"/>
        <v>15.165749209155287</v>
      </c>
      <c r="H142" s="8">
        <f t="shared" si="54"/>
        <v>15.139679636587269</v>
      </c>
      <c r="I142" s="8">
        <f t="shared" si="54"/>
        <v>15.102022505632522</v>
      </c>
      <c r="J142" s="8">
        <f t="shared" si="54"/>
        <v>14.998491790672315</v>
      </c>
      <c r="K142" s="8">
        <f t="shared" si="54"/>
        <v>15.13217142983634</v>
      </c>
      <c r="L142" s="8">
        <f t="shared" si="54"/>
        <v>15.055541531807236</v>
      </c>
      <c r="M142" s="8">
        <f t="shared" si="54"/>
        <v>15.131367313825391</v>
      </c>
      <c r="N142" s="8">
        <f t="shared" si="54"/>
        <v>15.117364632176717</v>
      </c>
      <c r="O142" s="8">
        <f t="shared" si="54"/>
        <v>15.146788539675194</v>
      </c>
      <c r="P142" s="8">
        <f t="shared" si="54"/>
        <v>15.485688653391389</v>
      </c>
      <c r="Q142" s="8">
        <f t="shared" si="54"/>
        <v>15.21377383148808</v>
      </c>
      <c r="R142" s="8">
        <f t="shared" si="54"/>
        <v>15.583448126147609</v>
      </c>
      <c r="S142" s="8">
        <f t="shared" si="54"/>
        <v>15.571480114466651</v>
      </c>
      <c r="T142" s="8">
        <f t="shared" si="54"/>
        <v>15.57062202298486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s="5" customFormat="1">
      <c r="A143" s="4" t="s">
        <v>128</v>
      </c>
      <c r="B143" s="8">
        <f>B92-B100</f>
        <v>0</v>
      </c>
      <c r="C143" s="8">
        <f t="shared" ref="C143:T143" si="55">C92-C100</f>
        <v>0</v>
      </c>
      <c r="D143" s="8">
        <f t="shared" si="55"/>
        <v>0</v>
      </c>
      <c r="E143" s="8">
        <f t="shared" si="55"/>
        <v>0</v>
      </c>
      <c r="F143" s="8">
        <f t="shared" si="55"/>
        <v>0</v>
      </c>
      <c r="G143" s="8">
        <f t="shared" si="55"/>
        <v>0</v>
      </c>
      <c r="H143" s="8">
        <f t="shared" si="55"/>
        <v>0</v>
      </c>
      <c r="I143" s="8">
        <f t="shared" si="55"/>
        <v>0</v>
      </c>
      <c r="J143" s="8">
        <f t="shared" si="55"/>
        <v>0</v>
      </c>
      <c r="K143" s="8">
        <f t="shared" si="55"/>
        <v>0</v>
      </c>
      <c r="L143" s="8">
        <f t="shared" si="55"/>
        <v>0</v>
      </c>
      <c r="M143" s="8">
        <f t="shared" si="55"/>
        <v>0</v>
      </c>
      <c r="N143" s="8">
        <f t="shared" si="55"/>
        <v>0</v>
      </c>
      <c r="O143" s="8">
        <f t="shared" si="55"/>
        <v>0</v>
      </c>
      <c r="P143" s="8">
        <f t="shared" si="55"/>
        <v>0</v>
      </c>
      <c r="Q143" s="8">
        <f t="shared" si="55"/>
        <v>0</v>
      </c>
      <c r="R143" s="8">
        <f t="shared" si="55"/>
        <v>0</v>
      </c>
      <c r="S143" s="8">
        <f t="shared" si="55"/>
        <v>0</v>
      </c>
      <c r="T143" s="8">
        <f t="shared" si="55"/>
        <v>0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s="5" customFormat="1">
      <c r="A144" s="4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s="5" customFormat="1">
      <c r="A145" s="4" t="s">
        <v>94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s="5" customFormat="1">
      <c r="A146" s="4" t="s">
        <v>21</v>
      </c>
      <c r="B146" s="8">
        <f>IF(B111-15&lt;0, 0, IF(B111-15&gt;B106+B107, B106+B107,  B111-15))</f>
        <v>7.3829268654924007E-2</v>
      </c>
      <c r="C146" s="8">
        <f t="shared" ref="C146:T146" si="56">IF(C111-15&lt;0, 0, IF(C111-15&gt;C106+C107, C106+C107,  C111-15))</f>
        <v>4.2677329916257278E-2</v>
      </c>
      <c r="D146" s="8">
        <f t="shared" si="56"/>
        <v>9.8806657792621877E-2</v>
      </c>
      <c r="E146" s="8">
        <f t="shared" si="56"/>
        <v>0</v>
      </c>
      <c r="F146" s="8">
        <f t="shared" si="56"/>
        <v>0.14451811903919598</v>
      </c>
      <c r="G146" s="8">
        <f t="shared" si="56"/>
        <v>0.16574920915528679</v>
      </c>
      <c r="H146" s="8">
        <f t="shared" si="56"/>
        <v>0.13967963658726923</v>
      </c>
      <c r="I146" s="8">
        <f t="shared" si="56"/>
        <v>0.10202250563252235</v>
      </c>
      <c r="J146" s="8">
        <f t="shared" si="56"/>
        <v>0</v>
      </c>
      <c r="K146" s="8">
        <f t="shared" si="56"/>
        <v>0.13217142983634034</v>
      </c>
      <c r="L146" s="8">
        <f t="shared" si="56"/>
        <v>5.5541531807236311E-2</v>
      </c>
      <c r="M146" s="8">
        <f t="shared" si="56"/>
        <v>0.13136731382539146</v>
      </c>
      <c r="N146" s="8">
        <f t="shared" si="56"/>
        <v>0.11736463217671655</v>
      </c>
      <c r="O146" s="8">
        <f t="shared" si="56"/>
        <v>0.14678853967519423</v>
      </c>
      <c r="P146" s="8">
        <f t="shared" si="56"/>
        <v>0.48568865339138867</v>
      </c>
      <c r="Q146" s="8">
        <f t="shared" si="56"/>
        <v>0.21377383148807994</v>
      </c>
      <c r="R146" s="8">
        <f t="shared" si="56"/>
        <v>0.58344812614760855</v>
      </c>
      <c r="S146" s="8">
        <f t="shared" si="56"/>
        <v>0.57148011446665059</v>
      </c>
      <c r="T146" s="8">
        <f t="shared" si="56"/>
        <v>0.57062202298486042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s="5" customFormat="1">
      <c r="A147" s="4" t="s">
        <v>211</v>
      </c>
      <c r="B147" s="8">
        <f>IF(B179&gt;2, IF(B105&gt;2, 0, 2-B105), B178)</f>
        <v>0.35426073366531402</v>
      </c>
      <c r="C147" s="8">
        <f t="shared" ref="C147:T147" si="57">IF(C179&gt;2, IF(C105&gt;2, 0, 2-C105), C178)</f>
        <v>0.37420454113492996</v>
      </c>
      <c r="D147" s="8">
        <f t="shared" si="57"/>
        <v>0.37234951403782979</v>
      </c>
      <c r="E147" s="8">
        <f t="shared" si="57"/>
        <v>0.43907294071484715</v>
      </c>
      <c r="F147" s="8">
        <f t="shared" si="57"/>
        <v>0.3095918830444776</v>
      </c>
      <c r="G147" s="8">
        <f t="shared" si="57"/>
        <v>0.29662528837510149</v>
      </c>
      <c r="H147" s="8">
        <f t="shared" si="57"/>
        <v>0.2850357867685655</v>
      </c>
      <c r="I147" s="8">
        <f t="shared" si="57"/>
        <v>0.33353008249249544</v>
      </c>
      <c r="J147" s="8">
        <f t="shared" si="57"/>
        <v>0.42146095851364945</v>
      </c>
      <c r="K147" s="8">
        <f t="shared" si="57"/>
        <v>0.30322145710913395</v>
      </c>
      <c r="L147" s="8">
        <f t="shared" si="57"/>
        <v>0.39421774421264844</v>
      </c>
      <c r="M147" s="8">
        <f t="shared" si="57"/>
        <v>0.31772696394287392</v>
      </c>
      <c r="N147" s="8">
        <f t="shared" si="57"/>
        <v>0.38681339060346176</v>
      </c>
      <c r="O147" s="8">
        <f t="shared" si="57"/>
        <v>0.32186645182900808</v>
      </c>
      <c r="P147" s="8">
        <f t="shared" si="57"/>
        <v>5.4292494515402634E-2</v>
      </c>
      <c r="Q147" s="8">
        <f t="shared" si="57"/>
        <v>4.1654498392608819E-2</v>
      </c>
      <c r="R147" s="8">
        <f t="shared" si="57"/>
        <v>8.8492720007437131E-2</v>
      </c>
      <c r="S147" s="8">
        <f t="shared" si="57"/>
        <v>7.6842472286953289E-2</v>
      </c>
      <c r="T147" s="8">
        <f t="shared" si="57"/>
        <v>7.0975979477546081E-2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s="5" customFormat="1">
      <c r="A148" s="4" t="s">
        <v>12</v>
      </c>
      <c r="B148" s="8">
        <f>IF(B135+B98+2*B97+B182&gt;B181, B181, B135+B98+2*B97+B182)</f>
        <v>1.1254360005905797</v>
      </c>
      <c r="C148" s="8">
        <f t="shared" ref="C148:T148" si="58">IF(C135+C98+2*C97+C182&gt;C181, C181, C135+C98+2*C97+C182)</f>
        <v>1.4403458850228787</v>
      </c>
      <c r="D148" s="8">
        <f t="shared" si="58"/>
        <v>1.4237111958289539</v>
      </c>
      <c r="E148" s="8">
        <f t="shared" si="58"/>
        <v>1.5849287459331043</v>
      </c>
      <c r="F148" s="8">
        <f t="shared" si="58"/>
        <v>1.3306428445257721</v>
      </c>
      <c r="G148" s="8">
        <f t="shared" si="58"/>
        <v>1.4060727965904167</v>
      </c>
      <c r="H148" s="8">
        <f t="shared" si="58"/>
        <v>1.3293479261969434</v>
      </c>
      <c r="I148" s="8">
        <f t="shared" si="58"/>
        <v>1.3751546366801985</v>
      </c>
      <c r="J148" s="8">
        <f t="shared" si="58"/>
        <v>1.4074046452525799</v>
      </c>
      <c r="K148" s="8">
        <f t="shared" si="58"/>
        <v>1.1056459330288115</v>
      </c>
      <c r="L148" s="8">
        <f t="shared" si="58"/>
        <v>1.418355501609363</v>
      </c>
      <c r="M148" s="8">
        <f t="shared" si="58"/>
        <v>1.3711105288675558</v>
      </c>
      <c r="N148" s="8">
        <f t="shared" si="58"/>
        <v>1.256605891705016</v>
      </c>
      <c r="O148" s="8">
        <f t="shared" si="58"/>
        <v>1.4562076054168624</v>
      </c>
      <c r="P148" s="8">
        <f t="shared" si="58"/>
        <v>0.8215959484960349</v>
      </c>
      <c r="Q148" s="8">
        <f t="shared" si="58"/>
        <v>0.3977270738804668</v>
      </c>
      <c r="R148" s="8">
        <f t="shared" si="58"/>
        <v>1.0097005407321245</v>
      </c>
      <c r="S148" s="8">
        <f t="shared" si="58"/>
        <v>1.0284700012679302</v>
      </c>
      <c r="T148" s="8">
        <f t="shared" si="58"/>
        <v>1.0728497386499827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s="5" customFormat="1">
      <c r="A149" s="4" t="s">
        <v>251</v>
      </c>
      <c r="B149" s="8">
        <f>B98/2</f>
        <v>2.8943180395162192E-3</v>
      </c>
      <c r="C149" s="8">
        <f t="shared" ref="C149:T149" si="59">C98/2</f>
        <v>2.2787056562798566E-3</v>
      </c>
      <c r="D149" s="8">
        <f t="shared" si="59"/>
        <v>1.7077356762331603E-3</v>
      </c>
      <c r="E149" s="8">
        <f t="shared" si="59"/>
        <v>2.8796216265266116E-3</v>
      </c>
      <c r="F149" s="8">
        <f t="shared" si="59"/>
        <v>1.7213690261427275E-3</v>
      </c>
      <c r="G149" s="8">
        <f t="shared" si="59"/>
        <v>1.1489829208310293E-3</v>
      </c>
      <c r="H149" s="8">
        <f t="shared" si="59"/>
        <v>4.0194091002206146E-3</v>
      </c>
      <c r="I149" s="8">
        <f t="shared" si="59"/>
        <v>2.844018995610906E-3</v>
      </c>
      <c r="J149" s="8">
        <f t="shared" si="59"/>
        <v>3.4027871011128555E-3</v>
      </c>
      <c r="K149" s="8">
        <f t="shared" si="59"/>
        <v>6.0488876453175576E-4</v>
      </c>
      <c r="L149" s="8">
        <f t="shared" si="59"/>
        <v>2.8267414048858863E-3</v>
      </c>
      <c r="M149" s="8">
        <f t="shared" si="59"/>
        <v>2.2967910407918641E-3</v>
      </c>
      <c r="N149" s="8">
        <f t="shared" si="59"/>
        <v>3.4372491661204905E-3</v>
      </c>
      <c r="O149" s="8">
        <f t="shared" si="59"/>
        <v>2.2826928411694013E-3</v>
      </c>
      <c r="P149" s="8">
        <f t="shared" si="59"/>
        <v>5.3265985533768115E-3</v>
      </c>
      <c r="Q149" s="8">
        <f t="shared" si="59"/>
        <v>1.1433072053584842E-3</v>
      </c>
      <c r="R149" s="8">
        <f t="shared" si="59"/>
        <v>6.4921932727078505E-3</v>
      </c>
      <c r="S149" s="8">
        <f t="shared" si="59"/>
        <v>6.4883253810955775E-3</v>
      </c>
      <c r="T149" s="8">
        <f t="shared" si="59"/>
        <v>5.8968634273712231E-3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s="5" customFormat="1">
      <c r="A150" s="4" t="s">
        <v>252</v>
      </c>
      <c r="B150" s="8">
        <f>B182/2</f>
        <v>0.4630356263999218</v>
      </c>
      <c r="C150" s="8">
        <f t="shared" ref="C150:T150" si="60">C182/2</f>
        <v>0.63475350560276667</v>
      </c>
      <c r="D150" s="8">
        <f t="shared" si="60"/>
        <v>0.59604913667013193</v>
      </c>
      <c r="E150" s="8">
        <f t="shared" si="60"/>
        <v>0.75163985243345266</v>
      </c>
      <c r="F150" s="8">
        <f t="shared" si="60"/>
        <v>0.50617737010811936</v>
      </c>
      <c r="G150" s="8">
        <f t="shared" si="60"/>
        <v>0.55256736368669834</v>
      </c>
      <c r="H150" s="8">
        <f t="shared" si="60"/>
        <v>0.48418183608576371</v>
      </c>
      <c r="I150" s="8">
        <f t="shared" si="60"/>
        <v>0.55388422952430716</v>
      </c>
      <c r="J150" s="8">
        <f t="shared" si="60"/>
        <v>0.64422912295053791</v>
      </c>
      <c r="K150" s="8">
        <f t="shared" si="60"/>
        <v>0.43606689253902076</v>
      </c>
      <c r="L150" s="8">
        <f t="shared" si="60"/>
        <v>0.61747662464511066</v>
      </c>
      <c r="M150" s="8">
        <f t="shared" si="60"/>
        <v>0.51946377230369833</v>
      </c>
      <c r="N150" s="8">
        <f t="shared" si="60"/>
        <v>0.4457927632860752</v>
      </c>
      <c r="O150" s="8">
        <f t="shared" si="60"/>
        <v>0.56188565262214496</v>
      </c>
      <c r="P150" s="8">
        <f t="shared" si="60"/>
        <v>9.4593571744457705E-2</v>
      </c>
      <c r="Q150" s="8">
        <f t="shared" si="60"/>
        <v>0.10562975588171142</v>
      </c>
      <c r="R150" s="8">
        <f t="shared" si="60"/>
        <v>0.16092210101605886</v>
      </c>
      <c r="S150" s="8">
        <f t="shared" si="60"/>
        <v>0.16076411720560912</v>
      </c>
      <c r="T150" s="8">
        <f t="shared" si="60"/>
        <v>0.21676481441851436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s="5" customFormat="1">
      <c r="A151" s="4" t="s">
        <v>253</v>
      </c>
      <c r="B151" s="8">
        <f>B97</f>
        <v>4.8450631860681055E-2</v>
      </c>
      <c r="C151" s="8">
        <f t="shared" ref="C151:T151" si="61">C97</f>
        <v>5.9602084672833303E-2</v>
      </c>
      <c r="D151" s="8">
        <f t="shared" si="61"/>
        <v>6.1722679859388743E-2</v>
      </c>
      <c r="E151" s="8">
        <f t="shared" si="61"/>
        <v>4.2726818007034185E-2</v>
      </c>
      <c r="F151" s="8">
        <f t="shared" si="61"/>
        <v>6.7672923794228401E-2</v>
      </c>
      <c r="G151" s="8">
        <f t="shared" si="61"/>
        <v>6.3384357526657054E-2</v>
      </c>
      <c r="H151" s="8">
        <f t="shared" si="61"/>
        <v>6.553690734880864E-2</v>
      </c>
      <c r="I151" s="8">
        <f t="shared" si="61"/>
        <v>6.6002873751799709E-2</v>
      </c>
      <c r="J151" s="8">
        <f t="shared" si="61"/>
        <v>5.286279589625232E-2</v>
      </c>
      <c r="K151" s="8">
        <f t="shared" si="61"/>
        <v>5.0628926135375472E-2</v>
      </c>
      <c r="L151" s="8">
        <f t="shared" si="61"/>
        <v>6.452646120476542E-2</v>
      </c>
      <c r="M151" s="8">
        <f t="shared" si="61"/>
        <v>6.8813328493540812E-2</v>
      </c>
      <c r="N151" s="8">
        <f t="shared" si="61"/>
        <v>6.8654788871825467E-2</v>
      </c>
      <c r="O151" s="8">
        <f t="shared" si="61"/>
        <v>8.5760064379240317E-2</v>
      </c>
      <c r="P151" s="8">
        <f t="shared" si="61"/>
        <v>0.15424054322166883</v>
      </c>
      <c r="Q151" s="8">
        <f t="shared" si="61"/>
        <v>8.6994831934017677E-3</v>
      </c>
      <c r="R151" s="8">
        <f t="shared" si="61"/>
        <v>0.18300244035906013</v>
      </c>
      <c r="S151" s="8">
        <f t="shared" si="61"/>
        <v>0.17840523004659284</v>
      </c>
      <c r="T151" s="8">
        <f t="shared" si="61"/>
        <v>0.17835640723515161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s="5" customFormat="1">
      <c r="A152" s="4" t="s">
        <v>57</v>
      </c>
      <c r="B152" s="8">
        <f>B101/B184</f>
        <v>0.67646740944108164</v>
      </c>
      <c r="C152" s="8">
        <f t="shared" ref="C152:T152" si="62">C101/C184</f>
        <v>0.24308833406177424</v>
      </c>
      <c r="D152" s="8">
        <f t="shared" si="62"/>
        <v>0.38909348953082606</v>
      </c>
      <c r="E152" s="8">
        <f t="shared" si="62"/>
        <v>0.17455276033345238</v>
      </c>
      <c r="F152" s="8">
        <f t="shared" si="62"/>
        <v>0.50713247921819238</v>
      </c>
      <c r="G152" s="8">
        <f t="shared" si="62"/>
        <v>0.48023208443515619</v>
      </c>
      <c r="H152" s="8">
        <f t="shared" si="62"/>
        <v>0.50325267087116821</v>
      </c>
      <c r="I152" s="8">
        <f t="shared" si="62"/>
        <v>0.42904711964446102</v>
      </c>
      <c r="J152" s="8">
        <f t="shared" si="62"/>
        <v>0.26030033815799913</v>
      </c>
      <c r="K152" s="8">
        <f t="shared" si="62"/>
        <v>0.89971608386293456</v>
      </c>
      <c r="L152" s="8">
        <f t="shared" si="62"/>
        <v>0.28615244856004601</v>
      </c>
      <c r="M152" s="8">
        <f t="shared" si="62"/>
        <v>0.4727734663463134</v>
      </c>
      <c r="N152" s="8">
        <f t="shared" si="62"/>
        <v>0.63001427588787351</v>
      </c>
      <c r="O152" s="8">
        <f t="shared" si="62"/>
        <v>0.42619460363659212</v>
      </c>
      <c r="P152" s="8">
        <f t="shared" si="62"/>
        <v>1.8162507997335764</v>
      </c>
      <c r="Q152" s="8">
        <f t="shared" si="62"/>
        <v>2.5244883946938708</v>
      </c>
      <c r="R152" s="8">
        <f t="shared" si="62"/>
        <v>1.4531628680361279</v>
      </c>
      <c r="S152" s="8">
        <f t="shared" si="62"/>
        <v>1.4186343258640206</v>
      </c>
      <c r="T152" s="8">
        <f t="shared" si="62"/>
        <v>1.3027716949216128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s="5" customFormat="1">
      <c r="A153" s="4" t="s">
        <v>58</v>
      </c>
      <c r="B153" s="8">
        <f>B102/B184</f>
        <v>7.4939163267139147E-2</v>
      </c>
      <c r="C153" s="8">
        <f t="shared" ref="C153:T153" si="63">C102/C184</f>
        <v>7.1184462814302574E-2</v>
      </c>
      <c r="D153" s="8">
        <f t="shared" si="63"/>
        <v>8.6525347722309728E-2</v>
      </c>
      <c r="E153" s="8">
        <f t="shared" si="63"/>
        <v>8.6418674123489372E-2</v>
      </c>
      <c r="F153" s="8">
        <f t="shared" si="63"/>
        <v>7.8533442547288002E-2</v>
      </c>
      <c r="G153" s="8">
        <f t="shared" si="63"/>
        <v>7.3535921774308954E-2</v>
      </c>
      <c r="H153" s="8">
        <f t="shared" si="63"/>
        <v>7.4964389941549484E-2</v>
      </c>
      <c r="I153" s="8">
        <f t="shared" si="63"/>
        <v>7.5331108790140863E-2</v>
      </c>
      <c r="J153" s="8">
        <f t="shared" si="63"/>
        <v>7.6677727283061631E-2</v>
      </c>
      <c r="K153" s="8">
        <f t="shared" si="63"/>
        <v>0.10432633116058622</v>
      </c>
      <c r="L153" s="8">
        <f t="shared" si="63"/>
        <v>7.6863113232572083E-2</v>
      </c>
      <c r="M153" s="8">
        <f t="shared" si="63"/>
        <v>6.9091438768018182E-2</v>
      </c>
      <c r="N153" s="8">
        <f t="shared" si="63"/>
        <v>6.7399123256219523E-2</v>
      </c>
      <c r="O153" s="8">
        <f t="shared" si="63"/>
        <v>5.8776904987435624E-2</v>
      </c>
      <c r="P153" s="8">
        <f t="shared" si="63"/>
        <v>3.3955984944973837E-2</v>
      </c>
      <c r="Q153" s="8">
        <f t="shared" si="63"/>
        <v>7.0830467610488501E-2</v>
      </c>
      <c r="R153" s="8">
        <f t="shared" si="63"/>
        <v>2.2543594008649186E-2</v>
      </c>
      <c r="S153" s="8">
        <f t="shared" si="63"/>
        <v>2.4576655741717315E-2</v>
      </c>
      <c r="T153" s="8">
        <f t="shared" si="63"/>
        <v>2.4731243170446629E-2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s="5" customFormat="1">
      <c r="A154" s="4" t="s">
        <v>59</v>
      </c>
      <c r="B154" s="8">
        <f>B106/((B107+B147)+B106)</f>
        <v>0.48988058865779421</v>
      </c>
      <c r="C154" s="8">
        <f t="shared" ref="C154:T154" si="64">C106/((C107+C147)+C106)</f>
        <v>0.49444052683567336</v>
      </c>
      <c r="D154" s="8">
        <f t="shared" si="64"/>
        <v>0.49976983597768898</v>
      </c>
      <c r="E154" s="8">
        <f t="shared" si="64"/>
        <v>0.44709031744785177</v>
      </c>
      <c r="F154" s="8">
        <f t="shared" si="64"/>
        <v>0.51218325746982751</v>
      </c>
      <c r="G154" s="8">
        <f t="shared" si="64"/>
        <v>0.54568368545800616</v>
      </c>
      <c r="H154" s="8">
        <f t="shared" si="64"/>
        <v>0.54357604293617845</v>
      </c>
      <c r="I154" s="8">
        <f t="shared" si="64"/>
        <v>0.51143481235689259</v>
      </c>
      <c r="J154" s="8">
        <f t="shared" si="64"/>
        <v>0.46526138034198333</v>
      </c>
      <c r="K154" s="8">
        <f t="shared" si="64"/>
        <v>0.51811862162896527</v>
      </c>
      <c r="L154" s="8">
        <f t="shared" si="64"/>
        <v>0.50264179290649935</v>
      </c>
      <c r="M154" s="8">
        <f t="shared" si="64"/>
        <v>0.53249688604360068</v>
      </c>
      <c r="N154" s="8">
        <f t="shared" si="64"/>
        <v>0.51399105553055491</v>
      </c>
      <c r="O154" s="8">
        <f t="shared" si="64"/>
        <v>0.53460435063786393</v>
      </c>
      <c r="P154" s="8">
        <f t="shared" si="64"/>
        <v>0.67403397209890914</v>
      </c>
      <c r="Q154" s="8">
        <f t="shared" si="64"/>
        <v>0.69834306654738032</v>
      </c>
      <c r="R154" s="8">
        <f t="shared" si="64"/>
        <v>0.63567577095135996</v>
      </c>
      <c r="S154" s="8">
        <f t="shared" si="64"/>
        <v>0.62630290925462928</v>
      </c>
      <c r="T154" s="8">
        <f t="shared" si="64"/>
        <v>0.64937086890445128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s="5" customFormat="1">
      <c r="A155" s="4" t="s">
        <v>60</v>
      </c>
      <c r="B155" s="8">
        <f>IF(2-B147-B105&lt;0, 0, 2-B147-B105)</f>
        <v>0</v>
      </c>
      <c r="C155" s="8">
        <f t="shared" ref="C155:T155" si="65">IF(2-C147-C105&lt;0, 0, 2-C147-C105)</f>
        <v>0</v>
      </c>
      <c r="D155" s="8">
        <f t="shared" si="65"/>
        <v>0</v>
      </c>
      <c r="E155" s="8">
        <f t="shared" si="65"/>
        <v>2.8362020242367336E-5</v>
      </c>
      <c r="F155" s="8">
        <f t="shared" si="65"/>
        <v>6.6613381477509392E-16</v>
      </c>
      <c r="G155" s="8">
        <f t="shared" si="65"/>
        <v>2.2204460492503131E-16</v>
      </c>
      <c r="H155" s="8">
        <f t="shared" si="65"/>
        <v>0</v>
      </c>
      <c r="I155" s="8">
        <f t="shared" si="65"/>
        <v>6.6613381477509392E-16</v>
      </c>
      <c r="J155" s="8">
        <f t="shared" si="65"/>
        <v>1.5082093276868047E-3</v>
      </c>
      <c r="K155" s="8">
        <f t="shared" si="65"/>
        <v>0</v>
      </c>
      <c r="L155" s="8">
        <f t="shared" si="65"/>
        <v>1.7763568394002505E-15</v>
      </c>
      <c r="M155" s="8">
        <f t="shared" si="65"/>
        <v>2.886579864025407E-15</v>
      </c>
      <c r="N155" s="8">
        <f t="shared" si="65"/>
        <v>0</v>
      </c>
      <c r="O155" s="8">
        <f t="shared" si="65"/>
        <v>0</v>
      </c>
      <c r="P155" s="8">
        <f t="shared" si="65"/>
        <v>0</v>
      </c>
      <c r="Q155" s="8">
        <f t="shared" si="65"/>
        <v>0</v>
      </c>
      <c r="R155" s="8">
        <f t="shared" si="65"/>
        <v>0</v>
      </c>
      <c r="S155" s="8">
        <f t="shared" si="65"/>
        <v>0</v>
      </c>
      <c r="T155" s="8">
        <f t="shared" si="65"/>
        <v>1.7763568394002505E-15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s="26" customFormat="1">
      <c r="A156" s="24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s="5" customFormat="1">
      <c r="A157" s="4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s="5" customFormat="1">
      <c r="A158" s="4" t="s">
        <v>95</v>
      </c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s="5" customFormat="1">
      <c r="A159" s="4" t="s">
        <v>20</v>
      </c>
      <c r="B159" s="41" t="str">
        <f>IF(8-B96&gt;B99, "X", " ")</f>
        <v xml:space="preserve"> </v>
      </c>
      <c r="C159" s="41" t="str">
        <f t="shared" ref="C159:T159" si="66">IF(8-C96&gt;C99, "X", " ")</f>
        <v xml:space="preserve"> </v>
      </c>
      <c r="D159" s="41" t="str">
        <f t="shared" si="66"/>
        <v xml:space="preserve"> </v>
      </c>
      <c r="E159" s="41" t="str">
        <f t="shared" si="66"/>
        <v xml:space="preserve"> </v>
      </c>
      <c r="F159" s="41" t="str">
        <f t="shared" si="66"/>
        <v xml:space="preserve"> </v>
      </c>
      <c r="G159" s="41" t="str">
        <f t="shared" si="66"/>
        <v xml:space="preserve"> </v>
      </c>
      <c r="H159" s="41" t="str">
        <f t="shared" si="66"/>
        <v xml:space="preserve"> </v>
      </c>
      <c r="I159" s="41" t="str">
        <f t="shared" si="66"/>
        <v xml:space="preserve"> </v>
      </c>
      <c r="J159" s="41" t="str">
        <f t="shared" si="66"/>
        <v xml:space="preserve"> </v>
      </c>
      <c r="K159" s="41" t="str">
        <f t="shared" si="66"/>
        <v xml:space="preserve"> </v>
      </c>
      <c r="L159" s="41" t="str">
        <f t="shared" si="66"/>
        <v xml:space="preserve"> </v>
      </c>
      <c r="M159" s="41" t="str">
        <f t="shared" si="66"/>
        <v xml:space="preserve"> </v>
      </c>
      <c r="N159" s="41" t="str">
        <f t="shared" si="66"/>
        <v xml:space="preserve"> </v>
      </c>
      <c r="O159" s="41" t="str">
        <f t="shared" si="66"/>
        <v xml:space="preserve"> </v>
      </c>
      <c r="P159" s="41" t="str">
        <f t="shared" si="66"/>
        <v xml:space="preserve"> </v>
      </c>
      <c r="Q159" s="41" t="str">
        <f t="shared" si="66"/>
        <v xml:space="preserve"> </v>
      </c>
      <c r="R159" s="41" t="str">
        <f t="shared" si="66"/>
        <v xml:space="preserve"> </v>
      </c>
      <c r="S159" s="41" t="str">
        <f t="shared" si="66"/>
        <v xml:space="preserve"> </v>
      </c>
      <c r="T159" s="41" t="str">
        <f t="shared" si="66"/>
        <v xml:space="preserve"> 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s="5" customFormat="1">
      <c r="A160" s="4" t="s">
        <v>22</v>
      </c>
      <c r="B160" s="41" t="str">
        <f>IF(B111-15&lt;0, "X", " ")</f>
        <v xml:space="preserve"> </v>
      </c>
      <c r="C160" s="41" t="str">
        <f t="shared" ref="C160:T160" si="67">IF(C111-15&lt;0, "X", " ")</f>
        <v xml:space="preserve"> </v>
      </c>
      <c r="D160" s="41" t="str">
        <f t="shared" si="67"/>
        <v xml:space="preserve"> </v>
      </c>
      <c r="E160" s="41" t="str">
        <f t="shared" si="67"/>
        <v>X</v>
      </c>
      <c r="F160" s="41" t="str">
        <f t="shared" si="67"/>
        <v xml:space="preserve"> </v>
      </c>
      <c r="G160" s="41" t="str">
        <f t="shared" si="67"/>
        <v xml:space="preserve"> </v>
      </c>
      <c r="H160" s="41" t="str">
        <f t="shared" si="67"/>
        <v xml:space="preserve"> </v>
      </c>
      <c r="I160" s="41" t="str">
        <f t="shared" si="67"/>
        <v xml:space="preserve"> </v>
      </c>
      <c r="J160" s="41" t="str">
        <f t="shared" si="67"/>
        <v>X</v>
      </c>
      <c r="K160" s="41" t="str">
        <f t="shared" si="67"/>
        <v xml:space="preserve"> </v>
      </c>
      <c r="L160" s="41" t="str">
        <f t="shared" si="67"/>
        <v xml:space="preserve"> </v>
      </c>
      <c r="M160" s="41" t="str">
        <f t="shared" si="67"/>
        <v xml:space="preserve"> </v>
      </c>
      <c r="N160" s="41" t="str">
        <f t="shared" si="67"/>
        <v xml:space="preserve"> </v>
      </c>
      <c r="O160" s="41" t="str">
        <f t="shared" si="67"/>
        <v xml:space="preserve"> </v>
      </c>
      <c r="P160" s="41" t="str">
        <f t="shared" si="67"/>
        <v xml:space="preserve"> </v>
      </c>
      <c r="Q160" s="41" t="str">
        <f t="shared" si="67"/>
        <v xml:space="preserve"> </v>
      </c>
      <c r="R160" s="41" t="str">
        <f t="shared" si="67"/>
        <v xml:space="preserve"> </v>
      </c>
      <c r="S160" s="41" t="str">
        <f t="shared" si="67"/>
        <v xml:space="preserve"> </v>
      </c>
      <c r="T160" s="41" t="str">
        <f t="shared" si="67"/>
        <v xml:space="preserve"> 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s="5" customFormat="1">
      <c r="A161" s="4" t="s">
        <v>209</v>
      </c>
      <c r="B161" s="41" t="str">
        <f>IF(B111-15&gt;B106+B107+0.001, "X", " ")</f>
        <v xml:space="preserve"> </v>
      </c>
      <c r="C161" s="41" t="str">
        <f t="shared" ref="C161:T161" si="68">IF(C111-15&gt;C106+C107+0.001, "X", " ")</f>
        <v xml:space="preserve"> </v>
      </c>
      <c r="D161" s="41" t="str">
        <f t="shared" si="68"/>
        <v xml:space="preserve"> </v>
      </c>
      <c r="E161" s="41" t="str">
        <f t="shared" si="68"/>
        <v xml:space="preserve"> </v>
      </c>
      <c r="F161" s="41" t="str">
        <f t="shared" si="68"/>
        <v xml:space="preserve"> </v>
      </c>
      <c r="G161" s="41" t="str">
        <f t="shared" si="68"/>
        <v xml:space="preserve"> </v>
      </c>
      <c r="H161" s="41" t="str">
        <f t="shared" si="68"/>
        <v xml:space="preserve"> </v>
      </c>
      <c r="I161" s="41" t="str">
        <f t="shared" si="68"/>
        <v xml:space="preserve"> </v>
      </c>
      <c r="J161" s="41" t="str">
        <f t="shared" si="68"/>
        <v xml:space="preserve"> </v>
      </c>
      <c r="K161" s="41" t="str">
        <f t="shared" si="68"/>
        <v xml:space="preserve"> </v>
      </c>
      <c r="L161" s="41" t="str">
        <f t="shared" si="68"/>
        <v xml:space="preserve"> </v>
      </c>
      <c r="M161" s="41" t="str">
        <f t="shared" si="68"/>
        <v xml:space="preserve"> </v>
      </c>
      <c r="N161" s="41" t="str">
        <f t="shared" si="68"/>
        <v xml:space="preserve"> </v>
      </c>
      <c r="O161" s="41" t="str">
        <f t="shared" si="68"/>
        <v xml:space="preserve"> </v>
      </c>
      <c r="P161" s="41" t="str">
        <f t="shared" si="68"/>
        <v xml:space="preserve"> </v>
      </c>
      <c r="Q161" s="41" t="str">
        <f t="shared" si="68"/>
        <v xml:space="preserve"> </v>
      </c>
      <c r="R161" s="41" t="str">
        <f t="shared" si="68"/>
        <v xml:space="preserve"> </v>
      </c>
      <c r="S161" s="41" t="str">
        <f t="shared" si="68"/>
        <v xml:space="preserve"> </v>
      </c>
      <c r="T161" s="41" t="str">
        <f t="shared" si="68"/>
        <v xml:space="preserve"> 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s="5" customFormat="1">
      <c r="A162" s="4" t="s">
        <v>210</v>
      </c>
      <c r="B162" s="41" t="str">
        <f>IF(B146&lt;B107,  "X", " ")</f>
        <v xml:space="preserve"> </v>
      </c>
      <c r="C162" s="41" t="str">
        <f t="shared" ref="C162:T162" si="69">IF(C146&lt;C107,  "X", " ")</f>
        <v xml:space="preserve"> </v>
      </c>
      <c r="D162" s="41" t="str">
        <f t="shared" si="69"/>
        <v xml:space="preserve"> </v>
      </c>
      <c r="E162" s="41" t="str">
        <f t="shared" si="69"/>
        <v>X</v>
      </c>
      <c r="F162" s="41" t="str">
        <f t="shared" si="69"/>
        <v xml:space="preserve"> </v>
      </c>
      <c r="G162" s="41" t="str">
        <f t="shared" si="69"/>
        <v xml:space="preserve"> </v>
      </c>
      <c r="H162" s="41" t="str">
        <f t="shared" si="69"/>
        <v xml:space="preserve"> </v>
      </c>
      <c r="I162" s="41" t="str">
        <f t="shared" si="69"/>
        <v xml:space="preserve"> </v>
      </c>
      <c r="J162" s="41" t="str">
        <f t="shared" si="69"/>
        <v>X</v>
      </c>
      <c r="K162" s="41" t="str">
        <f t="shared" si="69"/>
        <v xml:space="preserve"> </v>
      </c>
      <c r="L162" s="41" t="str">
        <f t="shared" si="69"/>
        <v xml:space="preserve"> </v>
      </c>
      <c r="M162" s="41" t="str">
        <f t="shared" si="69"/>
        <v xml:space="preserve"> </v>
      </c>
      <c r="N162" s="41" t="str">
        <f t="shared" si="69"/>
        <v xml:space="preserve"> </v>
      </c>
      <c r="O162" s="41" t="str">
        <f t="shared" si="69"/>
        <v xml:space="preserve"> </v>
      </c>
      <c r="P162" s="41" t="str">
        <f t="shared" si="69"/>
        <v xml:space="preserve"> </v>
      </c>
      <c r="Q162" s="41" t="str">
        <f t="shared" si="69"/>
        <v xml:space="preserve"> </v>
      </c>
      <c r="R162" s="41" t="str">
        <f t="shared" si="69"/>
        <v xml:space="preserve"> </v>
      </c>
      <c r="S162" s="41" t="str">
        <f t="shared" si="69"/>
        <v xml:space="preserve"> </v>
      </c>
      <c r="T162" s="41" t="str">
        <f t="shared" si="69"/>
        <v xml:space="preserve"> 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s="5" customFormat="1">
      <c r="A163" s="4" t="s">
        <v>215</v>
      </c>
      <c r="B163" s="41" t="str">
        <f>IF(B105+B178&gt;2.001, "X", " ")</f>
        <v xml:space="preserve"> </v>
      </c>
      <c r="C163" s="41" t="str">
        <f t="shared" ref="C163:T163" si="70">IF(C105+C178&gt;2.001, "X", " ")</f>
        <v xml:space="preserve"> </v>
      </c>
      <c r="D163" s="41" t="str">
        <f t="shared" si="70"/>
        <v xml:space="preserve"> </v>
      </c>
      <c r="E163" s="41" t="str">
        <f t="shared" si="70"/>
        <v xml:space="preserve"> </v>
      </c>
      <c r="F163" s="41" t="str">
        <f t="shared" si="70"/>
        <v xml:space="preserve"> </v>
      </c>
      <c r="G163" s="41" t="str">
        <f t="shared" si="70"/>
        <v xml:space="preserve"> </v>
      </c>
      <c r="H163" s="41" t="str">
        <f t="shared" si="70"/>
        <v xml:space="preserve"> </v>
      </c>
      <c r="I163" s="41" t="str">
        <f t="shared" si="70"/>
        <v xml:space="preserve"> </v>
      </c>
      <c r="J163" s="41" t="str">
        <f t="shared" si="70"/>
        <v xml:space="preserve"> </v>
      </c>
      <c r="K163" s="41" t="str">
        <f t="shared" si="70"/>
        <v xml:space="preserve"> </v>
      </c>
      <c r="L163" s="41" t="str">
        <f t="shared" si="70"/>
        <v xml:space="preserve"> </v>
      </c>
      <c r="M163" s="41" t="str">
        <f t="shared" si="70"/>
        <v xml:space="preserve"> </v>
      </c>
      <c r="N163" s="41" t="str">
        <f t="shared" si="70"/>
        <v xml:space="preserve"> </v>
      </c>
      <c r="O163" s="41" t="str">
        <f t="shared" si="70"/>
        <v xml:space="preserve"> </v>
      </c>
      <c r="P163" s="41" t="str">
        <f t="shared" si="70"/>
        <v xml:space="preserve"> </v>
      </c>
      <c r="Q163" s="41" t="str">
        <f t="shared" si="70"/>
        <v xml:space="preserve"> </v>
      </c>
      <c r="R163" s="41" t="str">
        <f t="shared" si="70"/>
        <v xml:space="preserve"> </v>
      </c>
      <c r="S163" s="41" t="str">
        <f t="shared" si="70"/>
        <v xml:space="preserve"> </v>
      </c>
      <c r="T163" s="41" t="str">
        <f t="shared" si="70"/>
        <v xml:space="preserve"> 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s="5" customFormat="1">
      <c r="A164" s="4" t="s">
        <v>10</v>
      </c>
      <c r="B164" s="41" t="str">
        <f>IF(B105&gt;2.001,  "X", " ")</f>
        <v xml:space="preserve"> </v>
      </c>
      <c r="C164" s="41" t="str">
        <f t="shared" ref="C164:T164" si="71">IF(C105&gt;2.001,  "X", " ")</f>
        <v xml:space="preserve"> </v>
      </c>
      <c r="D164" s="41" t="str">
        <f t="shared" si="71"/>
        <v xml:space="preserve"> </v>
      </c>
      <c r="E164" s="41" t="str">
        <f t="shared" si="71"/>
        <v xml:space="preserve"> </v>
      </c>
      <c r="F164" s="41" t="str">
        <f t="shared" si="71"/>
        <v xml:space="preserve"> </v>
      </c>
      <c r="G164" s="41" t="str">
        <f t="shared" si="71"/>
        <v xml:space="preserve"> </v>
      </c>
      <c r="H164" s="41" t="str">
        <f t="shared" si="71"/>
        <v xml:space="preserve"> </v>
      </c>
      <c r="I164" s="41" t="str">
        <f t="shared" si="71"/>
        <v xml:space="preserve"> </v>
      </c>
      <c r="J164" s="41" t="str">
        <f t="shared" si="71"/>
        <v xml:space="preserve"> </v>
      </c>
      <c r="K164" s="41" t="str">
        <f t="shared" si="71"/>
        <v xml:space="preserve"> </v>
      </c>
      <c r="L164" s="41" t="str">
        <f t="shared" si="71"/>
        <v xml:space="preserve"> </v>
      </c>
      <c r="M164" s="41" t="str">
        <f t="shared" si="71"/>
        <v xml:space="preserve"> </v>
      </c>
      <c r="N164" s="41" t="str">
        <f t="shared" si="71"/>
        <v xml:space="preserve"> </v>
      </c>
      <c r="O164" s="41" t="str">
        <f t="shared" si="71"/>
        <v xml:space="preserve"> </v>
      </c>
      <c r="P164" s="41" t="str">
        <f t="shared" si="71"/>
        <v xml:space="preserve"> </v>
      </c>
      <c r="Q164" s="41" t="str">
        <f t="shared" si="71"/>
        <v xml:space="preserve"> </v>
      </c>
      <c r="R164" s="41" t="str">
        <f t="shared" si="71"/>
        <v xml:space="preserve"> </v>
      </c>
      <c r="S164" s="41" t="str">
        <f t="shared" si="71"/>
        <v xml:space="preserve"> </v>
      </c>
      <c r="T164" s="41" t="str">
        <f t="shared" si="71"/>
        <v xml:space="preserve"> 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s="5" customFormat="1">
      <c r="A165" s="4" t="s">
        <v>11</v>
      </c>
      <c r="B165" s="41" t="str">
        <f>IF(B181=0,  "X", " ")</f>
        <v xml:space="preserve"> </v>
      </c>
      <c r="C165" s="41" t="str">
        <f t="shared" ref="C165:T165" si="72">IF(C181=0,  "X", " ")</f>
        <v xml:space="preserve"> </v>
      </c>
      <c r="D165" s="41" t="str">
        <f t="shared" si="72"/>
        <v xml:space="preserve"> </v>
      </c>
      <c r="E165" s="41" t="str">
        <f t="shared" si="72"/>
        <v xml:space="preserve"> </v>
      </c>
      <c r="F165" s="41" t="str">
        <f t="shared" si="72"/>
        <v xml:space="preserve"> </v>
      </c>
      <c r="G165" s="41" t="str">
        <f t="shared" si="72"/>
        <v xml:space="preserve"> </v>
      </c>
      <c r="H165" s="41" t="str">
        <f t="shared" si="72"/>
        <v xml:space="preserve"> </v>
      </c>
      <c r="I165" s="41" t="str">
        <f t="shared" si="72"/>
        <v xml:space="preserve"> </v>
      </c>
      <c r="J165" s="41" t="str">
        <f t="shared" si="72"/>
        <v xml:space="preserve"> </v>
      </c>
      <c r="K165" s="41" t="str">
        <f t="shared" si="72"/>
        <v xml:space="preserve"> </v>
      </c>
      <c r="L165" s="41" t="str">
        <f t="shared" si="72"/>
        <v xml:space="preserve"> </v>
      </c>
      <c r="M165" s="41" t="str">
        <f t="shared" si="72"/>
        <v xml:space="preserve"> </v>
      </c>
      <c r="N165" s="41" t="str">
        <f t="shared" si="72"/>
        <v xml:space="preserve"> </v>
      </c>
      <c r="O165" s="41" t="str">
        <f t="shared" si="72"/>
        <v xml:space="preserve"> </v>
      </c>
      <c r="P165" s="41" t="str">
        <f t="shared" si="72"/>
        <v xml:space="preserve"> </v>
      </c>
      <c r="Q165" s="41" t="str">
        <f t="shared" si="72"/>
        <v xml:space="preserve"> </v>
      </c>
      <c r="R165" s="41" t="str">
        <f t="shared" si="72"/>
        <v xml:space="preserve"> </v>
      </c>
      <c r="S165" s="41" t="str">
        <f t="shared" si="72"/>
        <v xml:space="preserve"> </v>
      </c>
      <c r="T165" s="41" t="str">
        <f t="shared" si="72"/>
        <v xml:space="preserve"> 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s="5" customFormat="1">
      <c r="A166" s="4" t="s">
        <v>250</v>
      </c>
      <c r="B166" s="41" t="str">
        <f>IF(B135+2*B97+B98+B182-B147&gt;B181+0.001,  "X", " ")</f>
        <v xml:space="preserve"> </v>
      </c>
      <c r="C166" s="41" t="str">
        <f t="shared" ref="C166:T166" si="73">IF(C135+2*C97+C98+C182-C147&gt;C181+0.001,  "X", " ")</f>
        <v xml:space="preserve"> </v>
      </c>
      <c r="D166" s="41" t="str">
        <f t="shared" si="73"/>
        <v xml:space="preserve"> </v>
      </c>
      <c r="E166" s="41" t="str">
        <f t="shared" si="73"/>
        <v xml:space="preserve"> </v>
      </c>
      <c r="F166" s="41" t="str">
        <f t="shared" si="73"/>
        <v xml:space="preserve"> </v>
      </c>
      <c r="G166" s="41" t="str">
        <f t="shared" si="73"/>
        <v xml:space="preserve"> </v>
      </c>
      <c r="H166" s="41" t="str">
        <f t="shared" si="73"/>
        <v xml:space="preserve"> </v>
      </c>
      <c r="I166" s="41" t="str">
        <f t="shared" si="73"/>
        <v xml:space="preserve"> </v>
      </c>
      <c r="J166" s="41" t="str">
        <f t="shared" si="73"/>
        <v>X</v>
      </c>
      <c r="K166" s="41" t="str">
        <f t="shared" si="73"/>
        <v xml:space="preserve"> </v>
      </c>
      <c r="L166" s="41" t="str">
        <f t="shared" si="73"/>
        <v xml:space="preserve"> </v>
      </c>
      <c r="M166" s="41" t="str">
        <f t="shared" si="73"/>
        <v xml:space="preserve"> </v>
      </c>
      <c r="N166" s="41" t="str">
        <f t="shared" si="73"/>
        <v xml:space="preserve"> </v>
      </c>
      <c r="O166" s="41" t="str">
        <f t="shared" si="73"/>
        <v xml:space="preserve"> </v>
      </c>
      <c r="P166" s="41" t="str">
        <f t="shared" si="73"/>
        <v xml:space="preserve"> </v>
      </c>
      <c r="Q166" s="41" t="str">
        <f t="shared" si="73"/>
        <v xml:space="preserve"> </v>
      </c>
      <c r="R166" s="41" t="str">
        <f t="shared" si="73"/>
        <v xml:space="preserve"> </v>
      </c>
      <c r="S166" s="41" t="str">
        <f t="shared" si="73"/>
        <v xml:space="preserve"> </v>
      </c>
      <c r="T166" s="41" t="str">
        <f t="shared" si="73"/>
        <v xml:space="preserve"> 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s="5" customFormat="1">
      <c r="A167" s="4" t="s">
        <v>55</v>
      </c>
      <c r="B167" s="41" t="str">
        <f>IF(B151&gt;B134/2,  "X", " ")</f>
        <v xml:space="preserve"> </v>
      </c>
      <c r="C167" s="41" t="str">
        <f t="shared" ref="C167:T167" si="74">IF(C151&gt;C134/2,  "X", " ")</f>
        <v xml:space="preserve"> </v>
      </c>
      <c r="D167" s="41" t="str">
        <f t="shared" si="74"/>
        <v xml:space="preserve"> </v>
      </c>
      <c r="E167" s="41" t="str">
        <f t="shared" si="74"/>
        <v xml:space="preserve"> </v>
      </c>
      <c r="F167" s="41" t="str">
        <f t="shared" si="74"/>
        <v xml:space="preserve"> </v>
      </c>
      <c r="G167" s="41" t="str">
        <f t="shared" si="74"/>
        <v xml:space="preserve"> </v>
      </c>
      <c r="H167" s="41" t="str">
        <f t="shared" si="74"/>
        <v xml:space="preserve"> </v>
      </c>
      <c r="I167" s="41" t="str">
        <f t="shared" si="74"/>
        <v xml:space="preserve"> </v>
      </c>
      <c r="J167" s="41" t="str">
        <f t="shared" si="74"/>
        <v xml:space="preserve"> </v>
      </c>
      <c r="K167" s="41" t="str">
        <f t="shared" si="74"/>
        <v xml:space="preserve"> </v>
      </c>
      <c r="L167" s="41" t="str">
        <f t="shared" si="74"/>
        <v xml:space="preserve"> </v>
      </c>
      <c r="M167" s="41" t="str">
        <f t="shared" si="74"/>
        <v xml:space="preserve"> </v>
      </c>
      <c r="N167" s="41" t="str">
        <f t="shared" si="74"/>
        <v xml:space="preserve"> </v>
      </c>
      <c r="O167" s="41" t="str">
        <f t="shared" si="74"/>
        <v xml:space="preserve"> </v>
      </c>
      <c r="P167" s="41" t="str">
        <f t="shared" si="74"/>
        <v xml:space="preserve"> </v>
      </c>
      <c r="Q167" s="41" t="str">
        <f t="shared" si="74"/>
        <v xml:space="preserve"> </v>
      </c>
      <c r="R167" s="41" t="str">
        <f t="shared" si="74"/>
        <v xml:space="preserve"> </v>
      </c>
      <c r="S167" s="41" t="str">
        <f t="shared" si="74"/>
        <v xml:space="preserve"> </v>
      </c>
      <c r="T167" s="41" t="str">
        <f t="shared" si="74"/>
        <v xml:space="preserve"> 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s="5" customFormat="1">
      <c r="A168" s="4" t="s">
        <v>260</v>
      </c>
      <c r="B168" s="41" t="str">
        <f>IF(5-B188&gt;0.01, "X", IF(5-B188&lt;-0.01,  "X", " "))</f>
        <v xml:space="preserve"> </v>
      </c>
      <c r="C168" s="41" t="str">
        <f t="shared" ref="C168:T168" si="75">IF(5-C188&gt;0.01, "X", IF(5-C188&lt;-0.01,  "X", " "))</f>
        <v xml:space="preserve"> </v>
      </c>
      <c r="D168" s="41" t="str">
        <f t="shared" si="75"/>
        <v xml:space="preserve"> </v>
      </c>
      <c r="E168" s="41" t="str">
        <f t="shared" si="75"/>
        <v xml:space="preserve"> </v>
      </c>
      <c r="F168" s="41" t="str">
        <f t="shared" si="75"/>
        <v xml:space="preserve"> </v>
      </c>
      <c r="G168" s="41" t="str">
        <f t="shared" si="75"/>
        <v xml:space="preserve"> </v>
      </c>
      <c r="H168" s="41" t="str">
        <f t="shared" si="75"/>
        <v xml:space="preserve"> </v>
      </c>
      <c r="I168" s="41" t="str">
        <f t="shared" si="75"/>
        <v xml:space="preserve"> </v>
      </c>
      <c r="J168" s="41" t="str">
        <f t="shared" si="75"/>
        <v xml:space="preserve"> </v>
      </c>
      <c r="K168" s="41" t="str">
        <f t="shared" si="75"/>
        <v xml:space="preserve"> </v>
      </c>
      <c r="L168" s="41" t="str">
        <f t="shared" si="75"/>
        <v xml:space="preserve"> </v>
      </c>
      <c r="M168" s="41" t="str">
        <f t="shared" si="75"/>
        <v xml:space="preserve"> </v>
      </c>
      <c r="N168" s="41" t="str">
        <f t="shared" si="75"/>
        <v xml:space="preserve"> </v>
      </c>
      <c r="O168" s="41" t="str">
        <f t="shared" si="75"/>
        <v xml:space="preserve"> </v>
      </c>
      <c r="P168" s="41" t="str">
        <f t="shared" si="75"/>
        <v xml:space="preserve"> </v>
      </c>
      <c r="Q168" s="41" t="str">
        <f t="shared" si="75"/>
        <v xml:space="preserve"> </v>
      </c>
      <c r="R168" s="41" t="str">
        <f t="shared" si="75"/>
        <v xml:space="preserve"> </v>
      </c>
      <c r="S168" s="41" t="str">
        <f t="shared" si="75"/>
        <v xml:space="preserve"> </v>
      </c>
      <c r="T168" s="41" t="str">
        <f t="shared" si="75"/>
        <v xml:space="preserve"> 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s="5" customFormat="1">
      <c r="A169" s="4" t="s">
        <v>262</v>
      </c>
      <c r="B169" s="41" t="str">
        <f>IF(B97+B98+B100+B135&gt;2.001,  "X", " ")</f>
        <v xml:space="preserve"> </v>
      </c>
      <c r="C169" s="41" t="str">
        <f t="shared" ref="C169:T169" si="76">IF(C97+C98+C100+C135&gt;2.001,  "X", " ")</f>
        <v xml:space="preserve"> </v>
      </c>
      <c r="D169" s="41" t="str">
        <f t="shared" si="76"/>
        <v xml:space="preserve"> </v>
      </c>
      <c r="E169" s="41" t="str">
        <f t="shared" si="76"/>
        <v xml:space="preserve"> </v>
      </c>
      <c r="F169" s="41" t="str">
        <f t="shared" si="76"/>
        <v xml:space="preserve"> </v>
      </c>
      <c r="G169" s="41" t="str">
        <f t="shared" si="76"/>
        <v xml:space="preserve"> </v>
      </c>
      <c r="H169" s="41" t="str">
        <f t="shared" si="76"/>
        <v xml:space="preserve"> </v>
      </c>
      <c r="I169" s="41" t="str">
        <f t="shared" si="76"/>
        <v xml:space="preserve"> </v>
      </c>
      <c r="J169" s="41" t="str">
        <f t="shared" si="76"/>
        <v xml:space="preserve"> </v>
      </c>
      <c r="K169" s="41" t="str">
        <f t="shared" si="76"/>
        <v xml:space="preserve"> </v>
      </c>
      <c r="L169" s="41" t="str">
        <f t="shared" si="76"/>
        <v xml:space="preserve"> </v>
      </c>
      <c r="M169" s="41" t="str">
        <f t="shared" si="76"/>
        <v xml:space="preserve"> </v>
      </c>
      <c r="N169" s="41" t="str">
        <f t="shared" si="76"/>
        <v xml:space="preserve"> </v>
      </c>
      <c r="O169" s="41" t="str">
        <f t="shared" si="76"/>
        <v xml:space="preserve"> </v>
      </c>
      <c r="P169" s="41" t="str">
        <f t="shared" si="76"/>
        <v xml:space="preserve"> </v>
      </c>
      <c r="Q169" s="41" t="str">
        <f t="shared" si="76"/>
        <v xml:space="preserve"> </v>
      </c>
      <c r="R169" s="41" t="str">
        <f t="shared" si="76"/>
        <v xml:space="preserve"> </v>
      </c>
      <c r="S169" s="41" t="str">
        <f t="shared" si="76"/>
        <v xml:space="preserve"> </v>
      </c>
      <c r="T169" s="41" t="str">
        <f t="shared" si="76"/>
        <v xml:space="preserve"> 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s="5" customFormat="1">
      <c r="A170" s="4" t="s">
        <v>261</v>
      </c>
      <c r="B170" s="41" t="str">
        <f>IF(B111&gt;16.001,  "X", " ")</f>
        <v xml:space="preserve"> </v>
      </c>
      <c r="C170" s="41" t="str">
        <f t="shared" ref="C170:T170" si="77">IF(C111&gt;16.001,  "X", " ")</f>
        <v xml:space="preserve"> </v>
      </c>
      <c r="D170" s="41" t="str">
        <f t="shared" si="77"/>
        <v xml:space="preserve"> </v>
      </c>
      <c r="E170" s="41" t="str">
        <f t="shared" si="77"/>
        <v xml:space="preserve"> </v>
      </c>
      <c r="F170" s="41" t="str">
        <f t="shared" si="77"/>
        <v xml:space="preserve"> </v>
      </c>
      <c r="G170" s="41" t="str">
        <f t="shared" si="77"/>
        <v xml:space="preserve"> </v>
      </c>
      <c r="H170" s="41" t="str">
        <f t="shared" si="77"/>
        <v xml:space="preserve"> </v>
      </c>
      <c r="I170" s="41" t="str">
        <f t="shared" si="77"/>
        <v xml:space="preserve"> </v>
      </c>
      <c r="J170" s="41" t="str">
        <f t="shared" si="77"/>
        <v xml:space="preserve"> </v>
      </c>
      <c r="K170" s="41" t="str">
        <f t="shared" si="77"/>
        <v xml:space="preserve"> </v>
      </c>
      <c r="L170" s="41" t="str">
        <f t="shared" si="77"/>
        <v xml:space="preserve"> </v>
      </c>
      <c r="M170" s="41" t="str">
        <f t="shared" si="77"/>
        <v xml:space="preserve"> </v>
      </c>
      <c r="N170" s="41" t="str">
        <f t="shared" si="77"/>
        <v xml:space="preserve"> </v>
      </c>
      <c r="O170" s="41" t="str">
        <f t="shared" si="77"/>
        <v xml:space="preserve"> </v>
      </c>
      <c r="P170" s="41" t="str">
        <f t="shared" si="77"/>
        <v xml:space="preserve"> </v>
      </c>
      <c r="Q170" s="41" t="str">
        <f t="shared" si="77"/>
        <v xml:space="preserve"> </v>
      </c>
      <c r="R170" s="41" t="str">
        <f t="shared" si="77"/>
        <v xml:space="preserve"> </v>
      </c>
      <c r="S170" s="41" t="str">
        <f t="shared" si="77"/>
        <v xml:space="preserve"> </v>
      </c>
      <c r="T170" s="41" t="str">
        <f t="shared" si="77"/>
        <v xml:space="preserve"> 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s="5" customFormat="1">
      <c r="A171" s="4" t="s">
        <v>263</v>
      </c>
      <c r="B171" s="41" t="str">
        <f>IF(B96&lt;5,  "X", " ")</f>
        <v xml:space="preserve"> </v>
      </c>
      <c r="C171" s="41" t="str">
        <f t="shared" ref="C171:T171" si="78">IF(C96&lt;5,  "X", " ")</f>
        <v xml:space="preserve"> </v>
      </c>
      <c r="D171" s="41" t="str">
        <f t="shared" si="78"/>
        <v xml:space="preserve"> </v>
      </c>
      <c r="E171" s="41" t="str">
        <f t="shared" si="78"/>
        <v xml:space="preserve"> </v>
      </c>
      <c r="F171" s="41" t="str">
        <f t="shared" si="78"/>
        <v xml:space="preserve"> </v>
      </c>
      <c r="G171" s="41" t="str">
        <f t="shared" si="78"/>
        <v xml:space="preserve"> </v>
      </c>
      <c r="H171" s="41" t="str">
        <f t="shared" si="78"/>
        <v xml:space="preserve"> </v>
      </c>
      <c r="I171" s="41" t="str">
        <f t="shared" si="78"/>
        <v xml:space="preserve"> </v>
      </c>
      <c r="J171" s="41" t="str">
        <f t="shared" si="78"/>
        <v xml:space="preserve"> </v>
      </c>
      <c r="K171" s="41" t="str">
        <f t="shared" si="78"/>
        <v xml:space="preserve"> </v>
      </c>
      <c r="L171" s="41" t="str">
        <f t="shared" si="78"/>
        <v xml:space="preserve"> </v>
      </c>
      <c r="M171" s="41" t="str">
        <f t="shared" si="78"/>
        <v xml:space="preserve"> </v>
      </c>
      <c r="N171" s="41" t="str">
        <f t="shared" si="78"/>
        <v xml:space="preserve"> </v>
      </c>
      <c r="O171" s="41" t="str">
        <f t="shared" si="78"/>
        <v xml:space="preserve"> </v>
      </c>
      <c r="P171" s="41" t="str">
        <f t="shared" si="78"/>
        <v xml:space="preserve"> </v>
      </c>
      <c r="Q171" s="41" t="str">
        <f t="shared" si="78"/>
        <v xml:space="preserve"> </v>
      </c>
      <c r="R171" s="41" t="str">
        <f t="shared" si="78"/>
        <v xml:space="preserve"> </v>
      </c>
      <c r="S171" s="41" t="str">
        <f t="shared" si="78"/>
        <v xml:space="preserve"> </v>
      </c>
      <c r="T171" s="41" t="str">
        <f t="shared" si="78"/>
        <v xml:space="preserve"> 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s="5" customFormat="1">
      <c r="A172" s="4" t="s">
        <v>18</v>
      </c>
      <c r="B172" s="41" t="str">
        <f>IF(B143&lt;&gt;0, "X", " ")</f>
        <v xml:space="preserve"> </v>
      </c>
      <c r="C172" s="41" t="str">
        <f t="shared" ref="C172:T172" si="79">IF(C143&lt;&gt;0, "X", " ")</f>
        <v xml:space="preserve"> </v>
      </c>
      <c r="D172" s="41" t="str">
        <f t="shared" si="79"/>
        <v xml:space="preserve"> </v>
      </c>
      <c r="E172" s="41" t="str">
        <f t="shared" si="79"/>
        <v xml:space="preserve"> </v>
      </c>
      <c r="F172" s="41" t="str">
        <f t="shared" si="79"/>
        <v xml:space="preserve"> </v>
      </c>
      <c r="G172" s="41" t="str">
        <f t="shared" si="79"/>
        <v xml:space="preserve"> </v>
      </c>
      <c r="H172" s="41" t="str">
        <f t="shared" si="79"/>
        <v xml:space="preserve"> </v>
      </c>
      <c r="I172" s="41" t="str">
        <f t="shared" si="79"/>
        <v xml:space="preserve"> </v>
      </c>
      <c r="J172" s="41" t="str">
        <f t="shared" si="79"/>
        <v xml:space="preserve"> </v>
      </c>
      <c r="K172" s="41" t="str">
        <f t="shared" si="79"/>
        <v xml:space="preserve"> </v>
      </c>
      <c r="L172" s="41" t="str">
        <f t="shared" si="79"/>
        <v xml:space="preserve"> </v>
      </c>
      <c r="M172" s="41" t="str">
        <f t="shared" si="79"/>
        <v xml:space="preserve"> </v>
      </c>
      <c r="N172" s="41" t="str">
        <f t="shared" si="79"/>
        <v xml:space="preserve"> </v>
      </c>
      <c r="O172" s="41" t="str">
        <f t="shared" si="79"/>
        <v xml:space="preserve"> </v>
      </c>
      <c r="P172" s="41" t="str">
        <f t="shared" si="79"/>
        <v xml:space="preserve"> </v>
      </c>
      <c r="Q172" s="41" t="str">
        <f t="shared" si="79"/>
        <v xml:space="preserve"> </v>
      </c>
      <c r="R172" s="41" t="str">
        <f t="shared" si="79"/>
        <v xml:space="preserve"> </v>
      </c>
      <c r="S172" s="41" t="str">
        <f t="shared" si="79"/>
        <v xml:space="preserve"> </v>
      </c>
      <c r="T172" s="41" t="str">
        <f t="shared" si="79"/>
        <v xml:space="preserve"> 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s="5" customFormat="1">
      <c r="A173" s="4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s="5" customFormat="1">
      <c r="A174" s="4" t="s">
        <v>180</v>
      </c>
      <c r="B174" s="41" t="str">
        <f ca="1">B277</f>
        <v xml:space="preserve">Magnesio-Hbl </v>
      </c>
      <c r="C174" s="41" t="str">
        <f t="shared" ref="C174:T174" ca="1" si="80">C277</f>
        <v xml:space="preserve">Magnesio-Hbl </v>
      </c>
      <c r="D174" s="41" t="str">
        <f t="shared" ca="1" si="80"/>
        <v>Tschermakitic Hbl</v>
      </c>
      <c r="E174" s="41" t="str">
        <f t="shared" ca="1" si="80"/>
        <v>Tschermakitic Hbl</v>
      </c>
      <c r="F174" s="41" t="str">
        <f t="shared" ca="1" si="80"/>
        <v xml:space="preserve">Magnesio-Hbl </v>
      </c>
      <c r="G174" s="41" t="str">
        <f t="shared" ca="1" si="80"/>
        <v>Tschermakitic Hbl</v>
      </c>
      <c r="H174" s="41" t="str">
        <f t="shared" ca="1" si="80"/>
        <v xml:space="preserve">Magnesio-Hbl </v>
      </c>
      <c r="I174" s="41" t="str">
        <f t="shared" ca="1" si="80"/>
        <v xml:space="preserve">Magnesio-Hbl </v>
      </c>
      <c r="J174" s="41" t="str">
        <f t="shared" ca="1" si="80"/>
        <v xml:space="preserve">Magnesio-Hbl </v>
      </c>
      <c r="K174" s="41" t="str">
        <f t="shared" ca="1" si="80"/>
        <v xml:space="preserve">Magnesio-Hbl </v>
      </c>
      <c r="L174" s="41" t="str">
        <f t="shared" ca="1" si="80"/>
        <v xml:space="preserve">Magnesio-Hbl </v>
      </c>
      <c r="M174" s="41" t="str">
        <f t="shared" ca="1" si="80"/>
        <v>Tschermakitic Hbl</v>
      </c>
      <c r="N174" s="41" t="str">
        <f t="shared" ca="1" si="80"/>
        <v xml:space="preserve">Magnesio-Hbl </v>
      </c>
      <c r="O174" s="41" t="str">
        <f t="shared" ca="1" si="80"/>
        <v>Tschermakitic Hbl</v>
      </c>
      <c r="P174" s="41" t="str">
        <f t="shared" ca="1" si="80"/>
        <v xml:space="preserve">Magnesio-Hbl </v>
      </c>
      <c r="Q174" s="41" t="str">
        <f t="shared" ca="1" si="80"/>
        <v>Actinolitic Hbl</v>
      </c>
      <c r="R174" s="41" t="str">
        <f t="shared" ca="1" si="80"/>
        <v>Ferroan Paragasitic Hbl</v>
      </c>
      <c r="S174" s="41" t="str">
        <f t="shared" ca="1" si="80"/>
        <v>Ferroan Paragasitic Hbl</v>
      </c>
      <c r="T174" s="41" t="str">
        <f t="shared" ca="1" si="80"/>
        <v>Ferroan Paragasitic Hbl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s="26" customFormat="1">
      <c r="A175" s="24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>
      <c r="Z176" s="2"/>
      <c r="AA176" s="2"/>
      <c r="AB176" s="2"/>
      <c r="AC176" s="2"/>
      <c r="AD176" s="2"/>
      <c r="AE176" s="2"/>
      <c r="AF176" s="2"/>
    </row>
    <row r="177" spans="1:32" s="11" customFormat="1">
      <c r="A177" s="9" t="s">
        <v>213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s="11" customFormat="1">
      <c r="A178" s="9" t="s">
        <v>212</v>
      </c>
      <c r="B178" s="10">
        <f>B106+B107-B146</f>
        <v>0.35426073366531402</v>
      </c>
      <c r="C178" s="10">
        <f t="shared" ref="C178:T178" si="81">C106+C107-C146</f>
        <v>0.37420454113492996</v>
      </c>
      <c r="D178" s="10">
        <f t="shared" si="81"/>
        <v>0.37234951403782979</v>
      </c>
      <c r="E178" s="10">
        <f t="shared" si="81"/>
        <v>0.43907294071484715</v>
      </c>
      <c r="F178" s="10">
        <f t="shared" si="81"/>
        <v>0.3095918830444776</v>
      </c>
      <c r="G178" s="10">
        <f t="shared" si="81"/>
        <v>0.29662528837510149</v>
      </c>
      <c r="H178" s="10">
        <f t="shared" si="81"/>
        <v>0.2850357867685655</v>
      </c>
      <c r="I178" s="10">
        <f t="shared" si="81"/>
        <v>0.33353008249249544</v>
      </c>
      <c r="J178" s="10">
        <f t="shared" si="81"/>
        <v>0.42146095851364945</v>
      </c>
      <c r="K178" s="10">
        <f t="shared" si="81"/>
        <v>0.30322145710913395</v>
      </c>
      <c r="L178" s="10">
        <f t="shared" si="81"/>
        <v>0.39421774421264844</v>
      </c>
      <c r="M178" s="10">
        <f t="shared" si="81"/>
        <v>0.31772696394287392</v>
      </c>
      <c r="N178" s="10">
        <f t="shared" si="81"/>
        <v>0.38681339060346176</v>
      </c>
      <c r="O178" s="10">
        <f t="shared" si="81"/>
        <v>0.32186645182900808</v>
      </c>
      <c r="P178" s="10">
        <f t="shared" si="81"/>
        <v>5.4292494515402634E-2</v>
      </c>
      <c r="Q178" s="10">
        <f t="shared" si="81"/>
        <v>4.1654498392608819E-2</v>
      </c>
      <c r="R178" s="10">
        <f t="shared" si="81"/>
        <v>8.8492720007437131E-2</v>
      </c>
      <c r="S178" s="10">
        <f t="shared" si="81"/>
        <v>7.6842472286953289E-2</v>
      </c>
      <c r="T178" s="10">
        <f t="shared" si="81"/>
        <v>7.0975979477546081E-2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s="11" customFormat="1">
      <c r="A179" s="9" t="s">
        <v>214</v>
      </c>
      <c r="B179" s="10">
        <f t="shared" ref="B179:T179" si="82">B105+B178</f>
        <v>2.0000000000000018</v>
      </c>
      <c r="C179" s="10">
        <f t="shared" si="82"/>
        <v>2.0000000000000018</v>
      </c>
      <c r="D179" s="10">
        <f t="shared" si="82"/>
        <v>2.0000000000000036</v>
      </c>
      <c r="E179" s="10">
        <f t="shared" si="82"/>
        <v>1.9999716379797574</v>
      </c>
      <c r="F179" s="10">
        <f t="shared" si="82"/>
        <v>1.9999999999999991</v>
      </c>
      <c r="G179" s="10">
        <f t="shared" si="82"/>
        <v>1.9999999999999998</v>
      </c>
      <c r="H179" s="10">
        <f t="shared" si="82"/>
        <v>2.0000000000000004</v>
      </c>
      <c r="I179" s="10">
        <f t="shared" si="82"/>
        <v>1.9999999999999993</v>
      </c>
      <c r="J179" s="10">
        <f t="shared" si="82"/>
        <v>1.9984917906723132</v>
      </c>
      <c r="K179" s="10">
        <f t="shared" si="82"/>
        <v>2.0000000000000031</v>
      </c>
      <c r="L179" s="10">
        <f t="shared" si="82"/>
        <v>1.9999999999999982</v>
      </c>
      <c r="M179" s="10">
        <f t="shared" si="82"/>
        <v>1.9999999999999971</v>
      </c>
      <c r="N179" s="10">
        <f t="shared" si="82"/>
        <v>2.0000000000000018</v>
      </c>
      <c r="O179" s="10">
        <f t="shared" si="82"/>
        <v>2.0000000000000004</v>
      </c>
      <c r="P179" s="10">
        <f t="shared" si="82"/>
        <v>2.0000000000000018</v>
      </c>
      <c r="Q179" s="10">
        <f t="shared" si="82"/>
        <v>2.0000000000000018</v>
      </c>
      <c r="R179" s="10">
        <f t="shared" si="82"/>
        <v>2.0000000000000027</v>
      </c>
      <c r="S179" s="10">
        <f t="shared" si="82"/>
        <v>2.0000000000000013</v>
      </c>
      <c r="T179" s="10">
        <f t="shared" si="82"/>
        <v>1.9999999999999982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s="11" customFormat="1">
      <c r="A180" s="9" t="s">
        <v>212</v>
      </c>
      <c r="B180" s="10">
        <f>B178-B147</f>
        <v>0</v>
      </c>
      <c r="C180" s="10">
        <f t="shared" ref="C180:T180" si="83">C178-C147</f>
        <v>0</v>
      </c>
      <c r="D180" s="10">
        <f t="shared" si="83"/>
        <v>0</v>
      </c>
      <c r="E180" s="10">
        <f t="shared" si="83"/>
        <v>0</v>
      </c>
      <c r="F180" s="10">
        <f t="shared" si="83"/>
        <v>0</v>
      </c>
      <c r="G180" s="10">
        <f t="shared" si="83"/>
        <v>0</v>
      </c>
      <c r="H180" s="10">
        <f t="shared" si="83"/>
        <v>0</v>
      </c>
      <c r="I180" s="10">
        <f t="shared" si="83"/>
        <v>0</v>
      </c>
      <c r="J180" s="10">
        <f t="shared" si="83"/>
        <v>0</v>
      </c>
      <c r="K180" s="10">
        <f t="shared" si="83"/>
        <v>0</v>
      </c>
      <c r="L180" s="10">
        <f t="shared" si="83"/>
        <v>0</v>
      </c>
      <c r="M180" s="10">
        <f t="shared" si="83"/>
        <v>0</v>
      </c>
      <c r="N180" s="10">
        <f t="shared" si="83"/>
        <v>0</v>
      </c>
      <c r="O180" s="10">
        <f t="shared" si="83"/>
        <v>0</v>
      </c>
      <c r="P180" s="10">
        <f t="shared" si="83"/>
        <v>0</v>
      </c>
      <c r="Q180" s="10">
        <f t="shared" si="83"/>
        <v>0</v>
      </c>
      <c r="R180" s="10">
        <f t="shared" si="83"/>
        <v>0</v>
      </c>
      <c r="S180" s="10">
        <f t="shared" si="83"/>
        <v>0</v>
      </c>
      <c r="T180" s="10">
        <f t="shared" si="83"/>
        <v>0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s="11" customFormat="1">
      <c r="A181" s="9" t="s">
        <v>78</v>
      </c>
      <c r="B181" s="10">
        <f>IF(B134-B146&lt;0, 0, B134-B146)</f>
        <v>1.1254360005905797</v>
      </c>
      <c r="C181" s="10">
        <f t="shared" ref="C181:T181" si="84">IF(C134-C146&lt;0, 0, C134-C146)</f>
        <v>1.4403458850228787</v>
      </c>
      <c r="D181" s="10">
        <f t="shared" si="84"/>
        <v>1.4237111958289539</v>
      </c>
      <c r="E181" s="10">
        <f t="shared" si="84"/>
        <v>1.5849287459331043</v>
      </c>
      <c r="F181" s="10">
        <f t="shared" si="84"/>
        <v>1.3306428445257721</v>
      </c>
      <c r="G181" s="10">
        <f t="shared" si="84"/>
        <v>1.4060727965904167</v>
      </c>
      <c r="H181" s="10">
        <f t="shared" si="84"/>
        <v>1.3293479261969434</v>
      </c>
      <c r="I181" s="10">
        <f t="shared" si="84"/>
        <v>1.3751546366801985</v>
      </c>
      <c r="J181" s="10">
        <f t="shared" si="84"/>
        <v>1.4074046452525799</v>
      </c>
      <c r="K181" s="10">
        <f t="shared" si="84"/>
        <v>1.1056459330288115</v>
      </c>
      <c r="L181" s="10">
        <f t="shared" si="84"/>
        <v>1.418355501609363</v>
      </c>
      <c r="M181" s="10">
        <f t="shared" si="84"/>
        <v>1.3711105288675558</v>
      </c>
      <c r="N181" s="10">
        <f t="shared" si="84"/>
        <v>1.256605891705016</v>
      </c>
      <c r="O181" s="10">
        <f t="shared" si="84"/>
        <v>1.4562076054168624</v>
      </c>
      <c r="P181" s="10">
        <f t="shared" si="84"/>
        <v>0.8215959484960349</v>
      </c>
      <c r="Q181" s="10">
        <f t="shared" si="84"/>
        <v>0.3977270738804668</v>
      </c>
      <c r="R181" s="10">
        <f t="shared" si="84"/>
        <v>1.0097005407321245</v>
      </c>
      <c r="S181" s="10">
        <f t="shared" si="84"/>
        <v>1.0284700012679302</v>
      </c>
      <c r="T181" s="10">
        <f t="shared" si="84"/>
        <v>1.0728497386499827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s="11" customFormat="1">
      <c r="A182" s="9" t="s">
        <v>26</v>
      </c>
      <c r="B182" s="10">
        <f>B100</f>
        <v>0.92607125279984359</v>
      </c>
      <c r="C182" s="10">
        <f t="shared" ref="C182:T182" si="85">C100</f>
        <v>1.2695070112055333</v>
      </c>
      <c r="D182" s="10">
        <f t="shared" si="85"/>
        <v>1.1920982733402639</v>
      </c>
      <c r="E182" s="10">
        <f t="shared" si="85"/>
        <v>1.5032797048669053</v>
      </c>
      <c r="F182" s="10">
        <f t="shared" si="85"/>
        <v>1.0123547402162387</v>
      </c>
      <c r="G182" s="10">
        <f t="shared" si="85"/>
        <v>1.1051347273733967</v>
      </c>
      <c r="H182" s="10">
        <f t="shared" si="85"/>
        <v>0.96836367217152741</v>
      </c>
      <c r="I182" s="10">
        <f t="shared" si="85"/>
        <v>1.1077684590486143</v>
      </c>
      <c r="J182" s="10">
        <f t="shared" si="85"/>
        <v>1.2884582459010758</v>
      </c>
      <c r="K182" s="10">
        <f t="shared" si="85"/>
        <v>0.87213378507804151</v>
      </c>
      <c r="L182" s="10">
        <f t="shared" si="85"/>
        <v>1.2349532492902213</v>
      </c>
      <c r="M182" s="10">
        <f t="shared" si="85"/>
        <v>1.0389275446073967</v>
      </c>
      <c r="N182" s="10">
        <f t="shared" si="85"/>
        <v>0.8915855265721504</v>
      </c>
      <c r="O182" s="10">
        <f t="shared" si="85"/>
        <v>1.1237713052442899</v>
      </c>
      <c r="P182" s="10">
        <f t="shared" si="85"/>
        <v>0.18918714348891541</v>
      </c>
      <c r="Q182" s="10">
        <f t="shared" si="85"/>
        <v>0.21125951176342284</v>
      </c>
      <c r="R182" s="10">
        <f t="shared" si="85"/>
        <v>0.32184420203211772</v>
      </c>
      <c r="S182" s="10">
        <f t="shared" si="85"/>
        <v>0.32152823441121825</v>
      </c>
      <c r="T182" s="10">
        <f t="shared" si="85"/>
        <v>0.43352962883702872</v>
      </c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s="11" customFormat="1">
      <c r="A183" s="9" t="s">
        <v>236</v>
      </c>
      <c r="B183" s="10">
        <f t="shared" ref="B183:T183" si="86">B135+B182+B98-B147</f>
        <v>1.0285347368692148</v>
      </c>
      <c r="C183" s="10">
        <f t="shared" si="86"/>
        <v>1.3211417156772183</v>
      </c>
      <c r="D183" s="10">
        <f t="shared" si="86"/>
        <v>1.3002658361101669</v>
      </c>
      <c r="E183" s="10">
        <f t="shared" si="86"/>
        <v>1.4995318339595252</v>
      </c>
      <c r="F183" s="10">
        <f t="shared" si="86"/>
        <v>1.1952969969373131</v>
      </c>
      <c r="G183" s="10">
        <f t="shared" si="86"/>
        <v>1.2793040815370902</v>
      </c>
      <c r="H183" s="10">
        <f t="shared" si="86"/>
        <v>1.1982741114993165</v>
      </c>
      <c r="I183" s="10">
        <f t="shared" si="86"/>
        <v>1.2431488891766025</v>
      </c>
      <c r="J183" s="10">
        <f t="shared" si="86"/>
        <v>1.3046954721154529</v>
      </c>
      <c r="K183" s="10">
        <f t="shared" si="86"/>
        <v>1.0043880807580514</v>
      </c>
      <c r="L183" s="10">
        <f t="shared" si="86"/>
        <v>1.2893025791998283</v>
      </c>
      <c r="M183" s="10">
        <f t="shared" si="86"/>
        <v>1.233483871880475</v>
      </c>
      <c r="N183" s="10">
        <f t="shared" si="86"/>
        <v>1.1192963139613594</v>
      </c>
      <c r="O183" s="10">
        <f t="shared" si="86"/>
        <v>1.2846874766583762</v>
      </c>
      <c r="P183" s="10">
        <f t="shared" si="86"/>
        <v>0.51311486205269197</v>
      </c>
      <c r="Q183" s="10">
        <f t="shared" si="86"/>
        <v>0.38032810749366253</v>
      </c>
      <c r="R183" s="10">
        <f t="shared" si="86"/>
        <v>0.64369566001399536</v>
      </c>
      <c r="S183" s="10">
        <f t="shared" si="86"/>
        <v>0.67165954117475846</v>
      </c>
      <c r="T183" s="10">
        <f t="shared" si="86"/>
        <v>0.71613692417968289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s="11" customFormat="1">
      <c r="A184" s="9" t="s">
        <v>235</v>
      </c>
      <c r="B184" s="10">
        <f t="shared" ref="B184:T184" si="87">B183+2*B97</f>
        <v>1.125436000590577</v>
      </c>
      <c r="C184" s="10">
        <f t="shared" si="87"/>
        <v>1.440345885022885</v>
      </c>
      <c r="D184" s="10">
        <f t="shared" si="87"/>
        <v>1.4237111958289443</v>
      </c>
      <c r="E184" s="10">
        <f t="shared" si="87"/>
        <v>1.5849854699735935</v>
      </c>
      <c r="F184" s="10">
        <f t="shared" si="87"/>
        <v>1.3306428445257699</v>
      </c>
      <c r="G184" s="10">
        <f t="shared" si="87"/>
        <v>1.4060727965904043</v>
      </c>
      <c r="H184" s="10">
        <f t="shared" si="87"/>
        <v>1.3293479261969339</v>
      </c>
      <c r="I184" s="10">
        <f t="shared" si="87"/>
        <v>1.3751546366802019</v>
      </c>
      <c r="J184" s="10">
        <f t="shared" si="87"/>
        <v>1.4104210639079575</v>
      </c>
      <c r="K184" s="10">
        <f t="shared" si="87"/>
        <v>1.1056459330288024</v>
      </c>
      <c r="L184" s="10">
        <f t="shared" si="87"/>
        <v>1.4183555016093592</v>
      </c>
      <c r="M184" s="10">
        <f t="shared" si="87"/>
        <v>1.3711105288675567</v>
      </c>
      <c r="N184" s="10">
        <f t="shared" si="87"/>
        <v>1.2566058917050102</v>
      </c>
      <c r="O184" s="10">
        <f t="shared" si="87"/>
        <v>1.4562076054168569</v>
      </c>
      <c r="P184" s="10">
        <f t="shared" si="87"/>
        <v>0.82159594849602957</v>
      </c>
      <c r="Q184" s="10">
        <f t="shared" si="87"/>
        <v>0.39772707388046608</v>
      </c>
      <c r="R184" s="10">
        <f t="shared" si="87"/>
        <v>1.0097005407321156</v>
      </c>
      <c r="S184" s="10">
        <f t="shared" si="87"/>
        <v>1.0284700012679442</v>
      </c>
      <c r="T184" s="10">
        <f t="shared" si="87"/>
        <v>1.0728497386499862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s="11" customFormat="1">
      <c r="A185" s="9" t="s">
        <v>78</v>
      </c>
      <c r="B185" s="10">
        <f>B181-B148</f>
        <v>0</v>
      </c>
      <c r="C185" s="10">
        <f t="shared" ref="C185:T185" si="88">C181-C148</f>
        <v>0</v>
      </c>
      <c r="D185" s="10">
        <f t="shared" si="88"/>
        <v>0</v>
      </c>
      <c r="E185" s="10">
        <f t="shared" si="88"/>
        <v>0</v>
      </c>
      <c r="F185" s="10">
        <f t="shared" si="88"/>
        <v>0</v>
      </c>
      <c r="G185" s="10">
        <f t="shared" si="88"/>
        <v>0</v>
      </c>
      <c r="H185" s="10">
        <f t="shared" si="88"/>
        <v>0</v>
      </c>
      <c r="I185" s="10">
        <f t="shared" si="88"/>
        <v>0</v>
      </c>
      <c r="J185" s="10">
        <f t="shared" si="88"/>
        <v>0</v>
      </c>
      <c r="K185" s="10">
        <f t="shared" si="88"/>
        <v>0</v>
      </c>
      <c r="L185" s="10">
        <f t="shared" si="88"/>
        <v>0</v>
      </c>
      <c r="M185" s="10">
        <f t="shared" si="88"/>
        <v>0</v>
      </c>
      <c r="N185" s="10">
        <f t="shared" si="88"/>
        <v>0</v>
      </c>
      <c r="O185" s="10">
        <f t="shared" si="88"/>
        <v>0</v>
      </c>
      <c r="P185" s="10">
        <f t="shared" si="88"/>
        <v>0</v>
      </c>
      <c r="Q185" s="10">
        <f t="shared" si="88"/>
        <v>0</v>
      </c>
      <c r="R185" s="10">
        <f t="shared" si="88"/>
        <v>0</v>
      </c>
      <c r="S185" s="10">
        <f t="shared" si="88"/>
        <v>0</v>
      </c>
      <c r="T185" s="10">
        <f t="shared" si="88"/>
        <v>0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s="11" customFormat="1">
      <c r="A186" s="9" t="s">
        <v>56</v>
      </c>
      <c r="B186" s="10">
        <f>B101+B102+B103+B104</f>
        <v>3.5687538976047897</v>
      </c>
      <c r="C186" s="10">
        <f t="shared" ref="C186:T186" si="89">C101+C102+C103+C104</f>
        <v>3.245051658515016</v>
      </c>
      <c r="D186" s="10">
        <f t="shared" si="89"/>
        <v>3.2656619699926113</v>
      </c>
      <c r="E186" s="10">
        <f t="shared" si="89"/>
        <v>3.0186684073185921</v>
      </c>
      <c r="F186" s="10">
        <f t="shared" si="89"/>
        <v>3.4274381962239797</v>
      </c>
      <c r="G186" s="10">
        <f t="shared" si="89"/>
        <v>3.3606862725611508</v>
      </c>
      <c r="H186" s="10">
        <f t="shared" si="89"/>
        <v>3.4511531943833109</v>
      </c>
      <c r="I186" s="10">
        <f t="shared" si="89"/>
        <v>3.3573181545791013</v>
      </c>
      <c r="J186" s="10">
        <f t="shared" si="89"/>
        <v>3.2209807734746452</v>
      </c>
      <c r="K186" s="10">
        <f t="shared" si="89"/>
        <v>3.6417615359974373</v>
      </c>
      <c r="L186" s="10">
        <f t="shared" si="89"/>
        <v>3.2519532153827582</v>
      </c>
      <c r="M186" s="10">
        <f t="shared" si="89"/>
        <v>3.3799758356831111</v>
      </c>
      <c r="N186" s="10">
        <f t="shared" si="89"/>
        <v>3.4252355065633528</v>
      </c>
      <c r="O186" s="10">
        <f t="shared" si="89"/>
        <v>3.3076860071333751</v>
      </c>
      <c r="P186" s="10">
        <f t="shared" si="89"/>
        <v>4.2783521002102365</v>
      </c>
      <c r="Q186" s="10">
        <f t="shared" si="89"/>
        <v>4.5693179109203257</v>
      </c>
      <c r="R186" s="10">
        <f t="shared" si="89"/>
        <v>4.0848091796195067</v>
      </c>
      <c r="S186" s="10">
        <f t="shared" si="89"/>
        <v>4.0730927564916914</v>
      </c>
      <c r="T186" s="10">
        <f t="shared" si="89"/>
        <v>4.0345306891076209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s="11" customFormat="1">
      <c r="A187" s="9" t="s">
        <v>258</v>
      </c>
      <c r="B187" s="10">
        <f>B186-B155</f>
        <v>3.5687538976047897</v>
      </c>
      <c r="C187" s="10">
        <f t="shared" ref="C187:T187" si="90">C186-C155</f>
        <v>3.245051658515016</v>
      </c>
      <c r="D187" s="10">
        <f t="shared" si="90"/>
        <v>3.2656619699926113</v>
      </c>
      <c r="E187" s="10">
        <f t="shared" si="90"/>
        <v>3.0186400452983495</v>
      </c>
      <c r="F187" s="10">
        <f t="shared" si="90"/>
        <v>3.4274381962239788</v>
      </c>
      <c r="G187" s="10">
        <f t="shared" si="90"/>
        <v>3.3606862725611508</v>
      </c>
      <c r="H187" s="10">
        <f t="shared" si="90"/>
        <v>3.4511531943833109</v>
      </c>
      <c r="I187" s="10">
        <f t="shared" si="90"/>
        <v>3.3573181545791009</v>
      </c>
      <c r="J187" s="10">
        <f t="shared" si="90"/>
        <v>3.2194725641469581</v>
      </c>
      <c r="K187" s="10">
        <f t="shared" si="90"/>
        <v>3.6417615359974373</v>
      </c>
      <c r="L187" s="10">
        <f t="shared" si="90"/>
        <v>3.2519532153827564</v>
      </c>
      <c r="M187" s="10">
        <f t="shared" si="90"/>
        <v>3.3799758356831084</v>
      </c>
      <c r="N187" s="10">
        <f t="shared" si="90"/>
        <v>3.4252355065633528</v>
      </c>
      <c r="O187" s="10">
        <f t="shared" si="90"/>
        <v>3.3076860071333751</v>
      </c>
      <c r="P187" s="10">
        <f t="shared" si="90"/>
        <v>4.2783521002102365</v>
      </c>
      <c r="Q187" s="10">
        <f t="shared" si="90"/>
        <v>4.5693179109203257</v>
      </c>
      <c r="R187" s="10">
        <f t="shared" si="90"/>
        <v>4.0848091796195067</v>
      </c>
      <c r="S187" s="10">
        <f t="shared" si="90"/>
        <v>4.0730927564916914</v>
      </c>
      <c r="T187" s="10">
        <f t="shared" si="90"/>
        <v>4.0345306891076191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s="11" customFormat="1">
      <c r="A188" s="9" t="s">
        <v>259</v>
      </c>
      <c r="B188" s="10">
        <f t="shared" ref="B188:T188" si="91">B187+B97+B98+B100+B135</f>
        <v>5</v>
      </c>
      <c r="C188" s="10">
        <f t="shared" si="91"/>
        <v>4.9999999999999964</v>
      </c>
      <c r="D188" s="10">
        <f t="shared" si="91"/>
        <v>4.9999999999999973</v>
      </c>
      <c r="E188" s="10">
        <f t="shared" si="91"/>
        <v>4.9999716379797556</v>
      </c>
      <c r="F188" s="10">
        <f t="shared" si="91"/>
        <v>4.9999999999999982</v>
      </c>
      <c r="G188" s="10">
        <f t="shared" si="91"/>
        <v>5</v>
      </c>
      <c r="H188" s="10">
        <f t="shared" si="91"/>
        <v>5.0000000000000018</v>
      </c>
      <c r="I188" s="10">
        <f t="shared" si="91"/>
        <v>4.9999999999999982</v>
      </c>
      <c r="J188" s="10">
        <f t="shared" si="91"/>
        <v>4.998491790672313</v>
      </c>
      <c r="K188" s="10">
        <f t="shared" si="91"/>
        <v>4.9999999999999982</v>
      </c>
      <c r="L188" s="10">
        <f t="shared" si="91"/>
        <v>4.9999999999999982</v>
      </c>
      <c r="M188" s="10">
        <f t="shared" si="91"/>
        <v>4.9999999999999982</v>
      </c>
      <c r="N188" s="10">
        <f t="shared" si="91"/>
        <v>5</v>
      </c>
      <c r="O188" s="10">
        <f t="shared" si="91"/>
        <v>5</v>
      </c>
      <c r="P188" s="10">
        <f t="shared" si="91"/>
        <v>5</v>
      </c>
      <c r="Q188" s="10">
        <f t="shared" si="91"/>
        <v>4.9999999999999982</v>
      </c>
      <c r="R188" s="10">
        <f t="shared" si="91"/>
        <v>5</v>
      </c>
      <c r="S188" s="10">
        <f t="shared" si="91"/>
        <v>4.9999999999999964</v>
      </c>
      <c r="T188" s="10">
        <f t="shared" si="91"/>
        <v>5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90" spans="1:32">
      <c r="A190" s="1" t="s">
        <v>238</v>
      </c>
    </row>
    <row r="191" spans="1:32">
      <c r="A191" s="1" t="s">
        <v>239</v>
      </c>
    </row>
    <row r="192" spans="1:32">
      <c r="A192" s="1" t="s">
        <v>240</v>
      </c>
    </row>
    <row r="193" spans="1:28">
      <c r="A193" s="1" t="s">
        <v>241</v>
      </c>
      <c r="B193" s="2">
        <f>B105+B139</f>
        <v>1.6747369717508345</v>
      </c>
      <c r="C193" s="2">
        <f t="shared" ref="C193:T193" si="92">C105+C139</f>
        <v>1.6427361001439884</v>
      </c>
      <c r="D193" s="2">
        <f t="shared" si="92"/>
        <v>1.6768596701969829</v>
      </c>
      <c r="E193" s="2">
        <f t="shared" si="92"/>
        <v>1.5144079154237435</v>
      </c>
      <c r="F193" s="2">
        <f t="shared" si="92"/>
        <v>1.7719715531718285</v>
      </c>
      <c r="G193" s="2">
        <f t="shared" si="92"/>
        <v>1.8209232236845421</v>
      </c>
      <c r="H193" s="2">
        <f t="shared" si="92"/>
        <v>1.815732180731455</v>
      </c>
      <c r="I193" s="2">
        <f t="shared" si="92"/>
        <v>1.7262754863492142</v>
      </c>
      <c r="J193" s="2">
        <f t="shared" si="92"/>
        <v>1.5462406789539609</v>
      </c>
      <c r="K193" s="2">
        <f t="shared" si="92"/>
        <v>1.7762469316386911</v>
      </c>
      <c r="L193" s="2">
        <f t="shared" si="92"/>
        <v>1.6357826341962667</v>
      </c>
      <c r="M193" s="2">
        <f t="shared" si="92"/>
        <v>1.7728759954775182</v>
      </c>
      <c r="N193" s="2">
        <f t="shared" si="92"/>
        <v>1.6843348358267962</v>
      </c>
      <c r="O193" s="2">
        <f t="shared" si="92"/>
        <v>1.7788832992204422</v>
      </c>
      <c r="P193" s="2">
        <f t="shared" si="92"/>
        <v>2.2919756346847149</v>
      </c>
      <c r="Q193" s="2">
        <f t="shared" si="92"/>
        <v>2.1241567365297276</v>
      </c>
      <c r="R193" s="2">
        <f t="shared" si="92"/>
        <v>2.3064037534127566</v>
      </c>
      <c r="S193" s="2">
        <f t="shared" si="92"/>
        <v>2.3004880415930007</v>
      </c>
      <c r="T193" s="2">
        <f t="shared" si="92"/>
        <v>2.3207728268559578</v>
      </c>
    </row>
    <row r="194" spans="1:28">
      <c r="A194" s="1" t="s">
        <v>181</v>
      </c>
      <c r="B194" s="2">
        <f>B139</f>
        <v>2.8997705416146755E-2</v>
      </c>
      <c r="C194" s="2">
        <f t="shared" ref="C194:T194" si="93">C139</f>
        <v>1.6940641278916476E-2</v>
      </c>
      <c r="D194" s="2">
        <f t="shared" si="93"/>
        <v>4.9209184234809314E-2</v>
      </c>
      <c r="E194" s="2">
        <f t="shared" si="93"/>
        <v>-4.6490781841166798E-2</v>
      </c>
      <c r="F194" s="2">
        <f t="shared" si="93"/>
        <v>8.1563436216306823E-2</v>
      </c>
      <c r="G194" s="2">
        <f t="shared" si="93"/>
        <v>0.11754851205964385</v>
      </c>
      <c r="H194" s="2">
        <f t="shared" si="93"/>
        <v>0.10076796750002009</v>
      </c>
      <c r="I194" s="2">
        <f t="shared" si="93"/>
        <v>5.9805568841710219E-2</v>
      </c>
      <c r="J194" s="2">
        <f t="shared" si="93"/>
        <v>-3.0790153204702873E-2</v>
      </c>
      <c r="K194" s="2">
        <f t="shared" si="93"/>
        <v>7.9468388747821944E-2</v>
      </c>
      <c r="L194" s="2">
        <f t="shared" si="93"/>
        <v>3.0000378408916912E-2</v>
      </c>
      <c r="M194" s="2">
        <f t="shared" si="93"/>
        <v>9.060295942039498E-2</v>
      </c>
      <c r="N194" s="2">
        <f t="shared" si="93"/>
        <v>7.1148226430256339E-2</v>
      </c>
      <c r="O194" s="2">
        <f t="shared" si="93"/>
        <v>0.10074975104944978</v>
      </c>
      <c r="P194" s="2">
        <f t="shared" si="93"/>
        <v>0.34626812920011563</v>
      </c>
      <c r="Q194" s="2">
        <f t="shared" si="93"/>
        <v>0.16581123492233463</v>
      </c>
      <c r="R194" s="2">
        <f t="shared" si="93"/>
        <v>0.39489647342019119</v>
      </c>
      <c r="S194" s="2">
        <f t="shared" si="93"/>
        <v>0.37733051387995264</v>
      </c>
      <c r="T194" s="2">
        <f t="shared" si="93"/>
        <v>0.39174880633350573</v>
      </c>
    </row>
    <row r="195" spans="1:28">
      <c r="A195" s="1" t="s">
        <v>158</v>
      </c>
      <c r="B195" s="2">
        <f>B141</f>
        <v>7.3829268654924007E-2</v>
      </c>
      <c r="C195" s="2">
        <f t="shared" ref="C195:T195" si="94">C141</f>
        <v>4.2677329916257278E-2</v>
      </c>
      <c r="D195" s="2">
        <f t="shared" si="94"/>
        <v>9.8806657792621877E-2</v>
      </c>
      <c r="E195" s="2">
        <f t="shared" si="94"/>
        <v>-2.8362020245253916E-5</v>
      </c>
      <c r="F195" s="2">
        <f t="shared" si="94"/>
        <v>0.14451811903919598</v>
      </c>
      <c r="G195" s="2">
        <f t="shared" si="94"/>
        <v>0.16574920915528679</v>
      </c>
      <c r="H195" s="2">
        <f t="shared" si="94"/>
        <v>0.13967963658726923</v>
      </c>
      <c r="I195" s="2">
        <f t="shared" si="94"/>
        <v>0.10202250563252235</v>
      </c>
      <c r="J195" s="2">
        <f t="shared" si="94"/>
        <v>-1.5082093276852504E-3</v>
      </c>
      <c r="K195" s="2">
        <f t="shared" si="94"/>
        <v>0.13217142983634034</v>
      </c>
      <c r="L195" s="2">
        <f t="shared" si="94"/>
        <v>5.5541531807236311E-2</v>
      </c>
      <c r="M195" s="2">
        <f t="shared" si="94"/>
        <v>0.13136731382539146</v>
      </c>
      <c r="N195" s="2">
        <f t="shared" si="94"/>
        <v>0.11736463217671655</v>
      </c>
      <c r="O195" s="2">
        <f t="shared" si="94"/>
        <v>0.14678853967519423</v>
      </c>
      <c r="P195" s="2">
        <f t="shared" si="94"/>
        <v>0.48568865339138867</v>
      </c>
      <c r="Q195" s="2">
        <f t="shared" si="94"/>
        <v>0.21377383148807994</v>
      </c>
      <c r="R195" s="2">
        <f t="shared" si="94"/>
        <v>0.58344812614760855</v>
      </c>
      <c r="S195" s="2">
        <f t="shared" si="94"/>
        <v>0.57148011446665059</v>
      </c>
      <c r="T195" s="2">
        <f t="shared" si="94"/>
        <v>0.57062202298486042</v>
      </c>
    </row>
    <row r="196" spans="1:28">
      <c r="A196" s="1" t="s">
        <v>242</v>
      </c>
      <c r="B196" s="2">
        <f>B136</f>
        <v>0.78128507610254405</v>
      </c>
      <c r="C196" s="2">
        <f t="shared" ref="C196:T196" si="95">C136</f>
        <v>0.88858269016030988</v>
      </c>
      <c r="D196" s="2">
        <f t="shared" si="95"/>
        <v>0.82371959003869633</v>
      </c>
      <c r="E196" s="2">
        <f t="shared" si="95"/>
        <v>0.903875543158146</v>
      </c>
      <c r="F196" s="2">
        <f t="shared" si="95"/>
        <v>0.79692303695905176</v>
      </c>
      <c r="G196" s="2">
        <f t="shared" si="95"/>
        <v>0.79269841138461639</v>
      </c>
      <c r="H196" s="2">
        <f t="shared" si="95"/>
        <v>0.80038848081689395</v>
      </c>
      <c r="I196" s="2">
        <f t="shared" si="95"/>
        <v>0.81866755404778913</v>
      </c>
      <c r="J196" s="2">
        <f t="shared" si="95"/>
        <v>0.88205821107530413</v>
      </c>
      <c r="K196" s="2">
        <f t="shared" si="95"/>
        <v>0.71790959447418456</v>
      </c>
      <c r="L196" s="2">
        <f t="shared" si="95"/>
        <v>0.87086400788277918</v>
      </c>
      <c r="M196" s="2">
        <f t="shared" si="95"/>
        <v>0.80268597713568901</v>
      </c>
      <c r="N196" s="2">
        <f t="shared" si="95"/>
        <v>0.76300857766104868</v>
      </c>
      <c r="O196" s="2">
        <f t="shared" si="95"/>
        <v>0.80738373813758813</v>
      </c>
      <c r="P196" s="2">
        <f t="shared" si="95"/>
        <v>0.64892590336940537</v>
      </c>
      <c r="Q196" s="2">
        <f t="shared" si="95"/>
        <v>0.77889783242111443</v>
      </c>
      <c r="R196" s="2">
        <f t="shared" si="95"/>
        <v>0.63878818498476264</v>
      </c>
      <c r="S196" s="2">
        <f t="shared" si="95"/>
        <v>0.63955310677631383</v>
      </c>
      <c r="T196" s="2">
        <f t="shared" si="95"/>
        <v>0.65127768310503986</v>
      </c>
    </row>
    <row r="197" spans="1:28">
      <c r="A197" s="1" t="s">
        <v>116</v>
      </c>
      <c r="B197" s="2">
        <f>B96</f>
        <v>6.8007347307544963</v>
      </c>
      <c r="C197" s="2">
        <f t="shared" ref="C197:T197" si="96">C96</f>
        <v>6.516976785060864</v>
      </c>
      <c r="D197" s="2">
        <f t="shared" si="96"/>
        <v>6.4774821463784242</v>
      </c>
      <c r="E197" s="2">
        <f t="shared" si="96"/>
        <v>6.4150712540668957</v>
      </c>
      <c r="F197" s="2">
        <f t="shared" si="96"/>
        <v>6.5248390364350319</v>
      </c>
      <c r="G197" s="2">
        <f t="shared" si="96"/>
        <v>6.4281779942542965</v>
      </c>
      <c r="H197" s="2">
        <f t="shared" si="96"/>
        <v>6.5309724372157874</v>
      </c>
      <c r="I197" s="2">
        <f t="shared" si="96"/>
        <v>6.5228228576872791</v>
      </c>
      <c r="J197" s="2">
        <f t="shared" si="96"/>
        <v>6.5925953547474201</v>
      </c>
      <c r="K197" s="2">
        <f t="shared" si="96"/>
        <v>6.7621826371348481</v>
      </c>
      <c r="L197" s="2">
        <f t="shared" si="96"/>
        <v>6.5261029665834007</v>
      </c>
      <c r="M197" s="2">
        <f t="shared" si="96"/>
        <v>6.4975221573070527</v>
      </c>
      <c r="N197" s="2">
        <f t="shared" si="96"/>
        <v>6.6260294761182674</v>
      </c>
      <c r="O197" s="2">
        <f t="shared" si="96"/>
        <v>6.3970038549079433</v>
      </c>
      <c r="P197" s="2">
        <f t="shared" si="96"/>
        <v>6.6927153981125764</v>
      </c>
      <c r="Q197" s="2">
        <f t="shared" si="96"/>
        <v>7.3884990946314533</v>
      </c>
      <c r="R197" s="2">
        <f t="shared" si="96"/>
        <v>6.406851333120267</v>
      </c>
      <c r="S197" s="2">
        <f t="shared" si="96"/>
        <v>6.4000498842654192</v>
      </c>
      <c r="T197" s="2">
        <f t="shared" si="96"/>
        <v>6.3565282383651569</v>
      </c>
    </row>
    <row r="198" spans="1:28">
      <c r="A198" s="1" t="s">
        <v>117</v>
      </c>
      <c r="B198" s="2">
        <f>B97</f>
        <v>4.8450631860681055E-2</v>
      </c>
      <c r="C198" s="2">
        <f t="shared" ref="C198:T198" si="97">C97</f>
        <v>5.9602084672833303E-2</v>
      </c>
      <c r="D198" s="2">
        <f t="shared" si="97"/>
        <v>6.1722679859388743E-2</v>
      </c>
      <c r="E198" s="2">
        <f t="shared" si="97"/>
        <v>4.2726818007034185E-2</v>
      </c>
      <c r="F198" s="2">
        <f t="shared" si="97"/>
        <v>6.7672923794228401E-2</v>
      </c>
      <c r="G198" s="2">
        <f t="shared" si="97"/>
        <v>6.3384357526657054E-2</v>
      </c>
      <c r="H198" s="2">
        <f t="shared" si="97"/>
        <v>6.553690734880864E-2</v>
      </c>
      <c r="I198" s="2">
        <f t="shared" si="97"/>
        <v>6.6002873751799709E-2</v>
      </c>
      <c r="J198" s="2">
        <f t="shared" si="97"/>
        <v>5.286279589625232E-2</v>
      </c>
      <c r="K198" s="2">
        <f t="shared" si="97"/>
        <v>5.0628926135375472E-2</v>
      </c>
      <c r="L198" s="2">
        <f t="shared" si="97"/>
        <v>6.452646120476542E-2</v>
      </c>
      <c r="M198" s="2">
        <f t="shared" si="97"/>
        <v>6.8813328493540812E-2</v>
      </c>
      <c r="N198" s="2">
        <f t="shared" si="97"/>
        <v>6.8654788871825467E-2</v>
      </c>
      <c r="O198" s="2">
        <f t="shared" si="97"/>
        <v>8.5760064379240317E-2</v>
      </c>
      <c r="P198" s="2">
        <f t="shared" si="97"/>
        <v>0.15424054322166883</v>
      </c>
      <c r="Q198" s="2">
        <f t="shared" si="97"/>
        <v>8.6994831934017677E-3</v>
      </c>
      <c r="R198" s="2">
        <f t="shared" si="97"/>
        <v>0.18300244035906013</v>
      </c>
      <c r="S198" s="2">
        <f t="shared" si="97"/>
        <v>0.17840523004659284</v>
      </c>
      <c r="T198" s="2">
        <f t="shared" si="97"/>
        <v>0.17835640723515161</v>
      </c>
    </row>
    <row r="199" spans="1:28">
      <c r="A199" s="1" t="s">
        <v>243</v>
      </c>
      <c r="B199" s="2">
        <f>B100/(B100+B134)</f>
        <v>0.43572923308569789</v>
      </c>
      <c r="C199" s="2">
        <f t="shared" ref="C199:T199" si="98">C100/(C100+C134)</f>
        <v>0.46121455784471727</v>
      </c>
      <c r="D199" s="2">
        <f t="shared" si="98"/>
        <v>0.43914064368078576</v>
      </c>
      <c r="E199" s="2">
        <f t="shared" si="98"/>
        <v>0.48678051654106325</v>
      </c>
      <c r="F199" s="2">
        <f t="shared" si="98"/>
        <v>0.40697421072654338</v>
      </c>
      <c r="G199" s="2">
        <f t="shared" si="98"/>
        <v>0.41283249508696046</v>
      </c>
      <c r="H199" s="2">
        <f t="shared" si="98"/>
        <v>0.39729513189502863</v>
      </c>
      <c r="I199" s="2">
        <f t="shared" si="98"/>
        <v>0.42854613979699202</v>
      </c>
      <c r="J199" s="2">
        <f t="shared" si="98"/>
        <v>0.47793908589679746</v>
      </c>
      <c r="K199" s="2">
        <f t="shared" si="98"/>
        <v>0.41334311741208246</v>
      </c>
      <c r="L199" s="2">
        <f t="shared" si="98"/>
        <v>0.45589571973545667</v>
      </c>
      <c r="M199" s="2">
        <f t="shared" si="98"/>
        <v>0.4088004022494881</v>
      </c>
      <c r="N199" s="2">
        <f t="shared" si="98"/>
        <v>0.39353938137771061</v>
      </c>
      <c r="O199" s="2">
        <f t="shared" si="98"/>
        <v>0.41212583240483996</v>
      </c>
      <c r="P199" s="2">
        <f t="shared" si="98"/>
        <v>0.1264221286325308</v>
      </c>
      <c r="Q199" s="2">
        <f t="shared" si="98"/>
        <v>0.2567691728533133</v>
      </c>
      <c r="R199" s="2">
        <f t="shared" si="98"/>
        <v>0.16806548330125012</v>
      </c>
      <c r="S199" s="2">
        <f t="shared" si="98"/>
        <v>0.16733377942396341</v>
      </c>
      <c r="T199" s="2">
        <f t="shared" si="98"/>
        <v>0.20872861752804872</v>
      </c>
    </row>
    <row r="200" spans="1:28" s="45" customFormat="1">
      <c r="A200" s="43" t="s">
        <v>172</v>
      </c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3"/>
      <c r="AA200" s="43"/>
      <c r="AB200" s="43"/>
    </row>
    <row r="201" spans="1:28">
      <c r="A201" s="48" t="s">
        <v>171</v>
      </c>
      <c r="B201" s="2">
        <f>IF(B193&lt;1.34, 1, 0)</f>
        <v>0</v>
      </c>
      <c r="C201" s="2">
        <f t="shared" ref="C201:T201" si="99">IF(C193&lt;1.34, 1, 0)</f>
        <v>0</v>
      </c>
      <c r="D201" s="2">
        <f t="shared" si="99"/>
        <v>0</v>
      </c>
      <c r="E201" s="2">
        <f t="shared" si="99"/>
        <v>0</v>
      </c>
      <c r="F201" s="2">
        <f t="shared" si="99"/>
        <v>0</v>
      </c>
      <c r="G201" s="2">
        <f t="shared" si="99"/>
        <v>0</v>
      </c>
      <c r="H201" s="2">
        <f t="shared" si="99"/>
        <v>0</v>
      </c>
      <c r="I201" s="2">
        <f t="shared" si="99"/>
        <v>0</v>
      </c>
      <c r="J201" s="2">
        <f t="shared" si="99"/>
        <v>0</v>
      </c>
      <c r="K201" s="2">
        <f t="shared" si="99"/>
        <v>0</v>
      </c>
      <c r="L201" s="2">
        <f t="shared" si="99"/>
        <v>0</v>
      </c>
      <c r="M201" s="2">
        <f t="shared" si="99"/>
        <v>0</v>
      </c>
      <c r="N201" s="2">
        <f t="shared" si="99"/>
        <v>0</v>
      </c>
      <c r="O201" s="2">
        <f t="shared" si="99"/>
        <v>0</v>
      </c>
      <c r="P201" s="2">
        <f t="shared" si="99"/>
        <v>0</v>
      </c>
      <c r="Q201" s="2">
        <f t="shared" si="99"/>
        <v>0</v>
      </c>
      <c r="R201" s="2">
        <f t="shared" si="99"/>
        <v>0</v>
      </c>
      <c r="S201" s="2">
        <f t="shared" si="99"/>
        <v>0</v>
      </c>
      <c r="T201" s="2">
        <f t="shared" si="99"/>
        <v>0</v>
      </c>
    </row>
    <row r="202" spans="1:28">
      <c r="A202" s="1" t="s">
        <v>183</v>
      </c>
      <c r="B202" s="2">
        <f>IF(B201=1, IF(B197&gt;=7, 1, 0), 0)</f>
        <v>0</v>
      </c>
      <c r="C202" s="2">
        <f t="shared" ref="C202:T202" si="100">IF(C201=1, IF(C197&gt;=7, 1, 0), 0)</f>
        <v>0</v>
      </c>
      <c r="D202" s="2">
        <f t="shared" si="100"/>
        <v>0</v>
      </c>
      <c r="E202" s="2">
        <f t="shared" si="100"/>
        <v>0</v>
      </c>
      <c r="F202" s="2">
        <f t="shared" si="100"/>
        <v>0</v>
      </c>
      <c r="G202" s="2">
        <f t="shared" si="100"/>
        <v>0</v>
      </c>
      <c r="H202" s="2">
        <f t="shared" si="100"/>
        <v>0</v>
      </c>
      <c r="I202" s="2">
        <f t="shared" si="100"/>
        <v>0</v>
      </c>
      <c r="J202" s="2">
        <f t="shared" si="100"/>
        <v>0</v>
      </c>
      <c r="K202" s="2">
        <f t="shared" si="100"/>
        <v>0</v>
      </c>
      <c r="L202" s="2">
        <f t="shared" si="100"/>
        <v>0</v>
      </c>
      <c r="M202" s="2">
        <f t="shared" si="100"/>
        <v>0</v>
      </c>
      <c r="N202" s="2">
        <f t="shared" si="100"/>
        <v>0</v>
      </c>
      <c r="O202" s="2">
        <f t="shared" si="100"/>
        <v>0</v>
      </c>
      <c r="P202" s="2">
        <f t="shared" si="100"/>
        <v>0</v>
      </c>
      <c r="Q202" s="2">
        <f t="shared" si="100"/>
        <v>0</v>
      </c>
      <c r="R202" s="2">
        <f t="shared" si="100"/>
        <v>0</v>
      </c>
      <c r="S202" s="2">
        <f t="shared" si="100"/>
        <v>0</v>
      </c>
      <c r="T202" s="2">
        <f t="shared" si="100"/>
        <v>0</v>
      </c>
    </row>
    <row r="203" spans="1:28">
      <c r="A203" s="37" t="s">
        <v>184</v>
      </c>
      <c r="B203" s="2">
        <f>IF(B202=1, IF(B196&gt;0.9, 3, IF(B196&gt;0.3, 4, 5)), 0)</f>
        <v>0</v>
      </c>
      <c r="C203" s="2">
        <f t="shared" ref="C203:T203" si="101">IF(C202=1, IF(C196&gt;0.9, 3, IF(C196&gt;0.3, 4, 5)), 0)</f>
        <v>0</v>
      </c>
      <c r="D203" s="2">
        <f t="shared" si="101"/>
        <v>0</v>
      </c>
      <c r="E203" s="2">
        <f t="shared" si="101"/>
        <v>0</v>
      </c>
      <c r="F203" s="2">
        <f t="shared" si="101"/>
        <v>0</v>
      </c>
      <c r="G203" s="2">
        <f t="shared" si="101"/>
        <v>0</v>
      </c>
      <c r="H203" s="2">
        <f t="shared" si="101"/>
        <v>0</v>
      </c>
      <c r="I203" s="2">
        <f t="shared" si="101"/>
        <v>0</v>
      </c>
      <c r="J203" s="2">
        <f t="shared" si="101"/>
        <v>0</v>
      </c>
      <c r="K203" s="2">
        <f t="shared" si="101"/>
        <v>0</v>
      </c>
      <c r="L203" s="2">
        <f t="shared" si="101"/>
        <v>0</v>
      </c>
      <c r="M203" s="2">
        <f t="shared" si="101"/>
        <v>0</v>
      </c>
      <c r="N203" s="2">
        <f t="shared" si="101"/>
        <v>0</v>
      </c>
      <c r="O203" s="2">
        <f t="shared" si="101"/>
        <v>0</v>
      </c>
      <c r="P203" s="2">
        <f t="shared" si="101"/>
        <v>0</v>
      </c>
      <c r="Q203" s="2">
        <f t="shared" si="101"/>
        <v>0</v>
      </c>
      <c r="R203" s="2">
        <f t="shared" si="101"/>
        <v>0</v>
      </c>
      <c r="S203" s="2">
        <f t="shared" si="101"/>
        <v>0</v>
      </c>
      <c r="T203" s="2">
        <f t="shared" si="101"/>
        <v>0</v>
      </c>
    </row>
    <row r="204" spans="1:28">
      <c r="A204" s="38" t="s">
        <v>185</v>
      </c>
      <c r="B204" s="2">
        <f>IF(B201=1, IF(B197&lt;7, 1, 0), 0)</f>
        <v>0</v>
      </c>
      <c r="C204" s="2">
        <f t="shared" ref="C204:T204" si="102">IF(C201=1, IF(C197&lt;7, 1, 0), 0)</f>
        <v>0</v>
      </c>
      <c r="D204" s="2">
        <f t="shared" si="102"/>
        <v>0</v>
      </c>
      <c r="E204" s="2">
        <f t="shared" si="102"/>
        <v>0</v>
      </c>
      <c r="F204" s="2">
        <f t="shared" si="102"/>
        <v>0</v>
      </c>
      <c r="G204" s="2">
        <f t="shared" si="102"/>
        <v>0</v>
      </c>
      <c r="H204" s="2">
        <f t="shared" si="102"/>
        <v>0</v>
      </c>
      <c r="I204" s="2">
        <f t="shared" si="102"/>
        <v>0</v>
      </c>
      <c r="J204" s="2">
        <f t="shared" si="102"/>
        <v>0</v>
      </c>
      <c r="K204" s="2">
        <f t="shared" si="102"/>
        <v>0</v>
      </c>
      <c r="L204" s="2">
        <f t="shared" si="102"/>
        <v>0</v>
      </c>
      <c r="M204" s="2">
        <f t="shared" si="102"/>
        <v>0</v>
      </c>
      <c r="N204" s="2">
        <f t="shared" si="102"/>
        <v>0</v>
      </c>
      <c r="O204" s="2">
        <f t="shared" si="102"/>
        <v>0</v>
      </c>
      <c r="P204" s="2">
        <f t="shared" si="102"/>
        <v>0</v>
      </c>
      <c r="Q204" s="2">
        <f t="shared" si="102"/>
        <v>0</v>
      </c>
      <c r="R204" s="2">
        <f t="shared" si="102"/>
        <v>0</v>
      </c>
      <c r="S204" s="2">
        <f t="shared" si="102"/>
        <v>0</v>
      </c>
      <c r="T204" s="2">
        <f t="shared" si="102"/>
        <v>0</v>
      </c>
    </row>
    <row r="205" spans="1:28">
      <c r="A205" s="37" t="s">
        <v>186</v>
      </c>
      <c r="B205" s="2">
        <f>IF(B204=1, IF(B196&gt;0.9, 6, IF(B196&gt;0.3, 7, 8)), 0)</f>
        <v>0</v>
      </c>
      <c r="C205" s="2">
        <f t="shared" ref="C205:T205" si="103">IF(C204=1, IF(C196&gt;0.9, 6, IF(C196&gt;0.3, 7, 8)), 0)</f>
        <v>0</v>
      </c>
      <c r="D205" s="2">
        <f t="shared" si="103"/>
        <v>0</v>
      </c>
      <c r="E205" s="2">
        <f t="shared" si="103"/>
        <v>0</v>
      </c>
      <c r="F205" s="2">
        <f t="shared" si="103"/>
        <v>0</v>
      </c>
      <c r="G205" s="2">
        <f t="shared" si="103"/>
        <v>0</v>
      </c>
      <c r="H205" s="2">
        <f t="shared" si="103"/>
        <v>0</v>
      </c>
      <c r="I205" s="2">
        <f t="shared" si="103"/>
        <v>0</v>
      </c>
      <c r="J205" s="2">
        <f t="shared" si="103"/>
        <v>0</v>
      </c>
      <c r="K205" s="2">
        <f t="shared" si="103"/>
        <v>0</v>
      </c>
      <c r="L205" s="2">
        <f t="shared" si="103"/>
        <v>0</v>
      </c>
      <c r="M205" s="2">
        <f t="shared" si="103"/>
        <v>0</v>
      </c>
      <c r="N205" s="2">
        <f t="shared" si="103"/>
        <v>0</v>
      </c>
      <c r="O205" s="2">
        <f t="shared" si="103"/>
        <v>0</v>
      </c>
      <c r="P205" s="2">
        <f t="shared" si="103"/>
        <v>0</v>
      </c>
      <c r="Q205" s="2">
        <f t="shared" si="103"/>
        <v>0</v>
      </c>
      <c r="R205" s="2">
        <f t="shared" si="103"/>
        <v>0</v>
      </c>
      <c r="S205" s="2">
        <f t="shared" si="103"/>
        <v>0</v>
      </c>
      <c r="T205" s="2">
        <f t="shared" si="103"/>
        <v>0</v>
      </c>
    </row>
    <row r="206" spans="1:28">
      <c r="A206" s="46" t="s">
        <v>254</v>
      </c>
    </row>
    <row r="207" spans="1:28">
      <c r="A207" s="48" t="s">
        <v>182</v>
      </c>
      <c r="B207" s="2">
        <f>IF(B201=0, IF(B194&lt;0.67, 1, 0), 0)</f>
        <v>1</v>
      </c>
      <c r="C207" s="2">
        <f t="shared" ref="C207:T207" si="104">IF(C201=0, IF(C194&lt;0.67, 1, 0), 0)</f>
        <v>1</v>
      </c>
      <c r="D207" s="2">
        <f t="shared" si="104"/>
        <v>1</v>
      </c>
      <c r="E207" s="2">
        <f t="shared" si="104"/>
        <v>1</v>
      </c>
      <c r="F207" s="2">
        <f t="shared" si="104"/>
        <v>1</v>
      </c>
      <c r="G207" s="2">
        <f t="shared" si="104"/>
        <v>1</v>
      </c>
      <c r="H207" s="2">
        <f t="shared" si="104"/>
        <v>1</v>
      </c>
      <c r="I207" s="2">
        <f t="shared" si="104"/>
        <v>1</v>
      </c>
      <c r="J207" s="2">
        <f t="shared" si="104"/>
        <v>1</v>
      </c>
      <c r="K207" s="2">
        <f t="shared" si="104"/>
        <v>1</v>
      </c>
      <c r="L207" s="2">
        <f t="shared" si="104"/>
        <v>1</v>
      </c>
      <c r="M207" s="2">
        <f t="shared" si="104"/>
        <v>1</v>
      </c>
      <c r="N207" s="2">
        <f t="shared" si="104"/>
        <v>1</v>
      </c>
      <c r="O207" s="2">
        <f t="shared" si="104"/>
        <v>1</v>
      </c>
      <c r="P207" s="2">
        <f t="shared" si="104"/>
        <v>1</v>
      </c>
      <c r="Q207" s="2">
        <f t="shared" si="104"/>
        <v>1</v>
      </c>
      <c r="R207" s="2">
        <f t="shared" si="104"/>
        <v>1</v>
      </c>
      <c r="S207" s="2">
        <f t="shared" si="104"/>
        <v>1</v>
      </c>
      <c r="T207" s="2">
        <f t="shared" si="104"/>
        <v>1</v>
      </c>
    </row>
    <row r="208" spans="1:28">
      <c r="A208" s="38" t="s">
        <v>255</v>
      </c>
      <c r="B208" s="2">
        <f>IF(B207=1, IF(B198&gt;0.5, 1, 0), 0)</f>
        <v>0</v>
      </c>
      <c r="C208" s="2">
        <f t="shared" ref="C208:T208" si="105">IF(C207=1, IF(C198&gt;0.5, 1, 0), 0)</f>
        <v>0</v>
      </c>
      <c r="D208" s="2">
        <f t="shared" si="105"/>
        <v>0</v>
      </c>
      <c r="E208" s="2">
        <f t="shared" si="105"/>
        <v>0</v>
      </c>
      <c r="F208" s="2">
        <f t="shared" si="105"/>
        <v>0</v>
      </c>
      <c r="G208" s="2">
        <f t="shared" si="105"/>
        <v>0</v>
      </c>
      <c r="H208" s="2">
        <f t="shared" si="105"/>
        <v>0</v>
      </c>
      <c r="I208" s="2">
        <f t="shared" si="105"/>
        <v>0</v>
      </c>
      <c r="J208" s="2">
        <f t="shared" si="105"/>
        <v>0</v>
      </c>
      <c r="K208" s="2">
        <f t="shared" si="105"/>
        <v>0</v>
      </c>
      <c r="L208" s="2">
        <f t="shared" si="105"/>
        <v>0</v>
      </c>
      <c r="M208" s="2">
        <f t="shared" si="105"/>
        <v>0</v>
      </c>
      <c r="N208" s="2">
        <f t="shared" si="105"/>
        <v>0</v>
      </c>
      <c r="O208" s="2">
        <f t="shared" si="105"/>
        <v>0</v>
      </c>
      <c r="P208" s="2">
        <f t="shared" si="105"/>
        <v>0</v>
      </c>
      <c r="Q208" s="2">
        <f t="shared" si="105"/>
        <v>0</v>
      </c>
      <c r="R208" s="2">
        <f t="shared" si="105"/>
        <v>0</v>
      </c>
      <c r="S208" s="2">
        <f t="shared" si="105"/>
        <v>0</v>
      </c>
      <c r="T208" s="2">
        <f t="shared" si="105"/>
        <v>0</v>
      </c>
    </row>
    <row r="209" spans="1:20">
      <c r="A209" s="37" t="s">
        <v>32</v>
      </c>
      <c r="B209" s="2">
        <f>IF(B208=1, IF(B196&gt;0.5, 9, 10), 0)</f>
        <v>0</v>
      </c>
      <c r="C209" s="2">
        <f t="shared" ref="C209:T209" si="106">IF(C208=1, IF(C196&gt;0.5, 9, 10), 0)</f>
        <v>0</v>
      </c>
      <c r="D209" s="2">
        <f t="shared" si="106"/>
        <v>0</v>
      </c>
      <c r="E209" s="2">
        <f t="shared" si="106"/>
        <v>0</v>
      </c>
      <c r="F209" s="2">
        <f t="shared" si="106"/>
        <v>0</v>
      </c>
      <c r="G209" s="2">
        <f t="shared" si="106"/>
        <v>0</v>
      </c>
      <c r="H209" s="2">
        <f t="shared" si="106"/>
        <v>0</v>
      </c>
      <c r="I209" s="2">
        <f t="shared" si="106"/>
        <v>0</v>
      </c>
      <c r="J209" s="2">
        <f t="shared" si="106"/>
        <v>0</v>
      </c>
      <c r="K209" s="2">
        <f t="shared" si="106"/>
        <v>0</v>
      </c>
      <c r="L209" s="2">
        <f t="shared" si="106"/>
        <v>0</v>
      </c>
      <c r="M209" s="2">
        <f t="shared" si="106"/>
        <v>0</v>
      </c>
      <c r="N209" s="2">
        <f t="shared" si="106"/>
        <v>0</v>
      </c>
      <c r="O209" s="2">
        <f t="shared" si="106"/>
        <v>0</v>
      </c>
      <c r="P209" s="2">
        <f t="shared" si="106"/>
        <v>0</v>
      </c>
      <c r="Q209" s="2">
        <f t="shared" si="106"/>
        <v>0</v>
      </c>
      <c r="R209" s="2">
        <f t="shared" si="106"/>
        <v>0</v>
      </c>
      <c r="S209" s="2">
        <f t="shared" si="106"/>
        <v>0</v>
      </c>
      <c r="T209" s="2">
        <f t="shared" si="106"/>
        <v>0</v>
      </c>
    </row>
    <row r="210" spans="1:20">
      <c r="A210" s="38" t="s">
        <v>256</v>
      </c>
      <c r="B210" s="2">
        <f>IF(B207=1, IF(B208=0, IF(B195&lt;0.5, 1, 0), 0), 0)</f>
        <v>1</v>
      </c>
      <c r="C210" s="2">
        <f t="shared" ref="C210:T210" si="107">IF(C207=1, IF(C208=0, IF(C195&lt;0.5, 1, 0), 0), 0)</f>
        <v>1</v>
      </c>
      <c r="D210" s="2">
        <f t="shared" si="107"/>
        <v>1</v>
      </c>
      <c r="E210" s="2">
        <f t="shared" si="107"/>
        <v>1</v>
      </c>
      <c r="F210" s="2">
        <f t="shared" si="107"/>
        <v>1</v>
      </c>
      <c r="G210" s="2">
        <f t="shared" si="107"/>
        <v>1</v>
      </c>
      <c r="H210" s="2">
        <f t="shared" si="107"/>
        <v>1</v>
      </c>
      <c r="I210" s="2">
        <f t="shared" si="107"/>
        <v>1</v>
      </c>
      <c r="J210" s="2">
        <f t="shared" si="107"/>
        <v>1</v>
      </c>
      <c r="K210" s="2">
        <f t="shared" si="107"/>
        <v>1</v>
      </c>
      <c r="L210" s="2">
        <f t="shared" si="107"/>
        <v>1</v>
      </c>
      <c r="M210" s="2">
        <f t="shared" si="107"/>
        <v>1</v>
      </c>
      <c r="N210" s="2">
        <f t="shared" si="107"/>
        <v>1</v>
      </c>
      <c r="O210" s="2">
        <f t="shared" si="107"/>
        <v>1</v>
      </c>
      <c r="P210" s="2">
        <f t="shared" si="107"/>
        <v>1</v>
      </c>
      <c r="Q210" s="2">
        <f t="shared" si="107"/>
        <v>1</v>
      </c>
      <c r="R210" s="2">
        <f t="shared" si="107"/>
        <v>0</v>
      </c>
      <c r="S210" s="2">
        <f t="shared" si="107"/>
        <v>0</v>
      </c>
      <c r="T210" s="2">
        <f t="shared" si="107"/>
        <v>0</v>
      </c>
    </row>
    <row r="211" spans="1:20">
      <c r="A211" s="47" t="s">
        <v>257</v>
      </c>
      <c r="B211" s="2">
        <f>IF(B210=1, IF(B197&gt;7.5, 1, 0), 0)</f>
        <v>0</v>
      </c>
      <c r="C211" s="2">
        <f t="shared" ref="C211:T211" si="108">IF(C210=1, IF(C197&gt;7.5, 1, 0), 0)</f>
        <v>0</v>
      </c>
      <c r="D211" s="2">
        <f t="shared" si="108"/>
        <v>0</v>
      </c>
      <c r="E211" s="2">
        <f t="shared" si="108"/>
        <v>0</v>
      </c>
      <c r="F211" s="2">
        <f t="shared" si="108"/>
        <v>0</v>
      </c>
      <c r="G211" s="2">
        <f t="shared" si="108"/>
        <v>0</v>
      </c>
      <c r="H211" s="2">
        <f t="shared" si="108"/>
        <v>0</v>
      </c>
      <c r="I211" s="2">
        <f t="shared" si="108"/>
        <v>0</v>
      </c>
      <c r="J211" s="2">
        <f t="shared" si="108"/>
        <v>0</v>
      </c>
      <c r="K211" s="2">
        <f t="shared" si="108"/>
        <v>0</v>
      </c>
      <c r="L211" s="2">
        <f t="shared" si="108"/>
        <v>0</v>
      </c>
      <c r="M211" s="2">
        <f t="shared" si="108"/>
        <v>0</v>
      </c>
      <c r="N211" s="2">
        <f t="shared" si="108"/>
        <v>0</v>
      </c>
      <c r="O211" s="2">
        <f t="shared" si="108"/>
        <v>0</v>
      </c>
      <c r="P211" s="2">
        <f t="shared" si="108"/>
        <v>0</v>
      </c>
      <c r="Q211" s="2">
        <f t="shared" si="108"/>
        <v>0</v>
      </c>
      <c r="R211" s="2">
        <f t="shared" si="108"/>
        <v>0</v>
      </c>
      <c r="S211" s="2">
        <f t="shared" si="108"/>
        <v>0</v>
      </c>
      <c r="T211" s="2">
        <f t="shared" si="108"/>
        <v>0</v>
      </c>
    </row>
    <row r="212" spans="1:20">
      <c r="A212" s="37" t="s">
        <v>47</v>
      </c>
      <c r="B212" s="2">
        <f>IF(B211=1, IF(B196&gt;0.9, 11, IF(B196&gt;0.5, 12, 13)), 0)</f>
        <v>0</v>
      </c>
      <c r="C212" s="2">
        <f t="shared" ref="C212:T212" si="109">IF(C211=1, IF(C196&gt;0.9, 11, IF(C196&gt;0.5, 12, 13)), 0)</f>
        <v>0</v>
      </c>
      <c r="D212" s="2">
        <f t="shared" si="109"/>
        <v>0</v>
      </c>
      <c r="E212" s="2">
        <f t="shared" si="109"/>
        <v>0</v>
      </c>
      <c r="F212" s="2">
        <f t="shared" si="109"/>
        <v>0</v>
      </c>
      <c r="G212" s="2">
        <f t="shared" si="109"/>
        <v>0</v>
      </c>
      <c r="H212" s="2">
        <f t="shared" si="109"/>
        <v>0</v>
      </c>
      <c r="I212" s="2">
        <f t="shared" si="109"/>
        <v>0</v>
      </c>
      <c r="J212" s="2">
        <f t="shared" si="109"/>
        <v>0</v>
      </c>
      <c r="K212" s="2">
        <f t="shared" si="109"/>
        <v>0</v>
      </c>
      <c r="L212" s="2">
        <f t="shared" si="109"/>
        <v>0</v>
      </c>
      <c r="M212" s="2">
        <f t="shared" si="109"/>
        <v>0</v>
      </c>
      <c r="N212" s="2">
        <f t="shared" si="109"/>
        <v>0</v>
      </c>
      <c r="O212" s="2">
        <f t="shared" si="109"/>
        <v>0</v>
      </c>
      <c r="P212" s="2">
        <f t="shared" si="109"/>
        <v>0</v>
      </c>
      <c r="Q212" s="2">
        <f t="shared" si="109"/>
        <v>0</v>
      </c>
      <c r="R212" s="2">
        <f t="shared" si="109"/>
        <v>0</v>
      </c>
      <c r="S212" s="2">
        <f t="shared" si="109"/>
        <v>0</v>
      </c>
      <c r="T212" s="2">
        <f t="shared" si="109"/>
        <v>0</v>
      </c>
    </row>
    <row r="213" spans="1:20">
      <c r="A213" s="47" t="s">
        <v>48</v>
      </c>
      <c r="B213" s="2">
        <f>IF(B210=1, IF(B197&gt;7.25, IF(B197&lt;7.5, 1, 0), 0), 0)</f>
        <v>0</v>
      </c>
      <c r="C213" s="2">
        <f t="shared" ref="C213:T213" si="110">IF(C210=1, IF(C197&gt;7.25, IF(C197&lt;7.5, 1, 0), 0), 0)</f>
        <v>0</v>
      </c>
      <c r="D213" s="2">
        <f t="shared" si="110"/>
        <v>0</v>
      </c>
      <c r="E213" s="2">
        <f t="shared" si="110"/>
        <v>0</v>
      </c>
      <c r="F213" s="2">
        <f t="shared" si="110"/>
        <v>0</v>
      </c>
      <c r="G213" s="2">
        <f t="shared" si="110"/>
        <v>0</v>
      </c>
      <c r="H213" s="2">
        <f t="shared" si="110"/>
        <v>0</v>
      </c>
      <c r="I213" s="2">
        <f t="shared" si="110"/>
        <v>0</v>
      </c>
      <c r="J213" s="2">
        <f t="shared" si="110"/>
        <v>0</v>
      </c>
      <c r="K213" s="2">
        <f t="shared" si="110"/>
        <v>0</v>
      </c>
      <c r="L213" s="2">
        <f t="shared" si="110"/>
        <v>0</v>
      </c>
      <c r="M213" s="2">
        <f t="shared" si="110"/>
        <v>0</v>
      </c>
      <c r="N213" s="2">
        <f t="shared" si="110"/>
        <v>0</v>
      </c>
      <c r="O213" s="2">
        <f t="shared" si="110"/>
        <v>0</v>
      </c>
      <c r="P213" s="2">
        <f t="shared" si="110"/>
        <v>0</v>
      </c>
      <c r="Q213" s="2">
        <f t="shared" si="110"/>
        <v>1</v>
      </c>
      <c r="R213" s="2">
        <f t="shared" si="110"/>
        <v>0</v>
      </c>
      <c r="S213" s="2">
        <f t="shared" si="110"/>
        <v>0</v>
      </c>
      <c r="T213" s="2">
        <f t="shared" si="110"/>
        <v>0</v>
      </c>
    </row>
    <row r="214" spans="1:20">
      <c r="A214" s="37" t="s">
        <v>49</v>
      </c>
      <c r="B214" s="2">
        <f>IF(B213=1, IF(B196&gt;0.9, 14, IF(B196&gt;0.5, 15, 16)), 0)</f>
        <v>0</v>
      </c>
      <c r="C214" s="2">
        <f t="shared" ref="C214:T214" si="111">IF(C213=1, IF(C196&gt;0.9, 14, IF(C196&gt;0.5, 15, 16)), 0)</f>
        <v>0</v>
      </c>
      <c r="D214" s="2">
        <f t="shared" si="111"/>
        <v>0</v>
      </c>
      <c r="E214" s="2">
        <f t="shared" si="111"/>
        <v>0</v>
      </c>
      <c r="F214" s="2">
        <f t="shared" si="111"/>
        <v>0</v>
      </c>
      <c r="G214" s="2">
        <f t="shared" si="111"/>
        <v>0</v>
      </c>
      <c r="H214" s="2">
        <f t="shared" si="111"/>
        <v>0</v>
      </c>
      <c r="I214" s="2">
        <f t="shared" si="111"/>
        <v>0</v>
      </c>
      <c r="J214" s="2">
        <f t="shared" si="111"/>
        <v>0</v>
      </c>
      <c r="K214" s="2">
        <f t="shared" si="111"/>
        <v>0</v>
      </c>
      <c r="L214" s="2">
        <f t="shared" si="111"/>
        <v>0</v>
      </c>
      <c r="M214" s="2">
        <f t="shared" si="111"/>
        <v>0</v>
      </c>
      <c r="N214" s="2">
        <f t="shared" si="111"/>
        <v>0</v>
      </c>
      <c r="O214" s="2">
        <f t="shared" si="111"/>
        <v>0</v>
      </c>
      <c r="P214" s="2">
        <f t="shared" si="111"/>
        <v>0</v>
      </c>
      <c r="Q214" s="2">
        <f t="shared" si="111"/>
        <v>15</v>
      </c>
      <c r="R214" s="2">
        <f t="shared" si="111"/>
        <v>0</v>
      </c>
      <c r="S214" s="2">
        <f t="shared" si="111"/>
        <v>0</v>
      </c>
      <c r="T214" s="2">
        <f t="shared" si="111"/>
        <v>0</v>
      </c>
    </row>
    <row r="215" spans="1:20">
      <c r="A215" s="47" t="s">
        <v>50</v>
      </c>
      <c r="B215" s="2">
        <f>IF(B210=1, IF(B197&gt;6.5, IF(B197&lt;=7.25, 1, 0), 0), 0)</f>
        <v>1</v>
      </c>
      <c r="C215" s="2">
        <f t="shared" ref="C215:T215" si="112">IF(C210=1, IF(C197&gt;6.5, IF(C197&lt;=7.25, 1, 0), 0), 0)</f>
        <v>1</v>
      </c>
      <c r="D215" s="2">
        <f t="shared" si="112"/>
        <v>0</v>
      </c>
      <c r="E215" s="2">
        <f t="shared" si="112"/>
        <v>0</v>
      </c>
      <c r="F215" s="2">
        <f t="shared" si="112"/>
        <v>1</v>
      </c>
      <c r="G215" s="2">
        <f t="shared" si="112"/>
        <v>0</v>
      </c>
      <c r="H215" s="2">
        <f t="shared" si="112"/>
        <v>1</v>
      </c>
      <c r="I215" s="2">
        <f t="shared" si="112"/>
        <v>1</v>
      </c>
      <c r="J215" s="2">
        <f t="shared" si="112"/>
        <v>1</v>
      </c>
      <c r="K215" s="2">
        <f t="shared" si="112"/>
        <v>1</v>
      </c>
      <c r="L215" s="2">
        <f t="shared" si="112"/>
        <v>1</v>
      </c>
      <c r="M215" s="2">
        <f t="shared" si="112"/>
        <v>0</v>
      </c>
      <c r="N215" s="2">
        <f t="shared" si="112"/>
        <v>1</v>
      </c>
      <c r="O215" s="2">
        <f t="shared" si="112"/>
        <v>0</v>
      </c>
      <c r="P215" s="2">
        <f t="shared" si="112"/>
        <v>1</v>
      </c>
      <c r="Q215" s="2">
        <f t="shared" si="112"/>
        <v>0</v>
      </c>
      <c r="R215" s="2">
        <f t="shared" si="112"/>
        <v>0</v>
      </c>
      <c r="S215" s="2">
        <f t="shared" si="112"/>
        <v>0</v>
      </c>
      <c r="T215" s="2">
        <f t="shared" si="112"/>
        <v>0</v>
      </c>
    </row>
    <row r="216" spans="1:20">
      <c r="A216" s="37" t="s">
        <v>27</v>
      </c>
      <c r="B216" s="2">
        <f>IF(B215=1, IF(B196&gt;0.5, 17, 18), 0)</f>
        <v>17</v>
      </c>
      <c r="C216" s="2">
        <f t="shared" ref="C216:T216" si="113">IF(C215=1, IF(C196&gt;0.5, 17, 18), 0)</f>
        <v>17</v>
      </c>
      <c r="D216" s="2">
        <f t="shared" si="113"/>
        <v>0</v>
      </c>
      <c r="E216" s="2">
        <f t="shared" si="113"/>
        <v>0</v>
      </c>
      <c r="F216" s="2">
        <f t="shared" si="113"/>
        <v>17</v>
      </c>
      <c r="G216" s="2">
        <f t="shared" si="113"/>
        <v>0</v>
      </c>
      <c r="H216" s="2">
        <f t="shared" si="113"/>
        <v>17</v>
      </c>
      <c r="I216" s="2">
        <f t="shared" si="113"/>
        <v>17</v>
      </c>
      <c r="J216" s="2">
        <f t="shared" si="113"/>
        <v>17</v>
      </c>
      <c r="K216" s="2">
        <f t="shared" si="113"/>
        <v>17</v>
      </c>
      <c r="L216" s="2">
        <f t="shared" si="113"/>
        <v>17</v>
      </c>
      <c r="M216" s="2">
        <f t="shared" si="113"/>
        <v>0</v>
      </c>
      <c r="N216" s="2">
        <f t="shared" si="113"/>
        <v>17</v>
      </c>
      <c r="O216" s="2">
        <f t="shared" si="113"/>
        <v>0</v>
      </c>
      <c r="P216" s="2">
        <f t="shared" si="113"/>
        <v>17</v>
      </c>
      <c r="Q216" s="2">
        <f t="shared" si="113"/>
        <v>0</v>
      </c>
      <c r="R216" s="2">
        <f t="shared" si="113"/>
        <v>0</v>
      </c>
      <c r="S216" s="2">
        <f t="shared" si="113"/>
        <v>0</v>
      </c>
      <c r="T216" s="2">
        <f t="shared" si="113"/>
        <v>0</v>
      </c>
    </row>
    <row r="217" spans="1:20">
      <c r="A217" s="47" t="s">
        <v>28</v>
      </c>
      <c r="B217" s="2">
        <f>IF(B210=1, IF(B197&gt;6.25, IF(B197&lt;=6.5, 1, 0), 0), 0)</f>
        <v>0</v>
      </c>
      <c r="C217" s="2">
        <f t="shared" ref="C217:T217" si="114">IF(C210=1, IF(C197&gt;6.25, IF(C197&lt;=6.5, 1, 0), 0), 0)</f>
        <v>0</v>
      </c>
      <c r="D217" s="2">
        <f t="shared" si="114"/>
        <v>1</v>
      </c>
      <c r="E217" s="2">
        <f t="shared" si="114"/>
        <v>1</v>
      </c>
      <c r="F217" s="2">
        <f t="shared" si="114"/>
        <v>0</v>
      </c>
      <c r="G217" s="2">
        <f t="shared" si="114"/>
        <v>1</v>
      </c>
      <c r="H217" s="2">
        <f t="shared" si="114"/>
        <v>0</v>
      </c>
      <c r="I217" s="2">
        <f t="shared" si="114"/>
        <v>0</v>
      </c>
      <c r="J217" s="2">
        <f t="shared" si="114"/>
        <v>0</v>
      </c>
      <c r="K217" s="2">
        <f t="shared" si="114"/>
        <v>0</v>
      </c>
      <c r="L217" s="2">
        <f t="shared" si="114"/>
        <v>0</v>
      </c>
      <c r="M217" s="2">
        <f t="shared" si="114"/>
        <v>1</v>
      </c>
      <c r="N217" s="2">
        <f t="shared" si="114"/>
        <v>0</v>
      </c>
      <c r="O217" s="2">
        <f t="shared" si="114"/>
        <v>1</v>
      </c>
      <c r="P217" s="2">
        <f t="shared" si="114"/>
        <v>0</v>
      </c>
      <c r="Q217" s="2">
        <f t="shared" si="114"/>
        <v>0</v>
      </c>
      <c r="R217" s="2">
        <f t="shared" si="114"/>
        <v>0</v>
      </c>
      <c r="S217" s="2">
        <f t="shared" si="114"/>
        <v>0</v>
      </c>
      <c r="T217" s="2">
        <f t="shared" si="114"/>
        <v>0</v>
      </c>
    </row>
    <row r="218" spans="1:20">
      <c r="A218" s="37" t="s">
        <v>29</v>
      </c>
      <c r="B218" s="2">
        <f>IF(B217=1, IF(B196&gt;0.5, 19, 20), 0)</f>
        <v>0</v>
      </c>
      <c r="C218" s="2">
        <f t="shared" ref="C218:T218" si="115">IF(C217=1, IF(C196&gt;0.5, 19, 20), 0)</f>
        <v>0</v>
      </c>
      <c r="D218" s="2">
        <f t="shared" si="115"/>
        <v>19</v>
      </c>
      <c r="E218" s="2">
        <f t="shared" si="115"/>
        <v>19</v>
      </c>
      <c r="F218" s="2">
        <f t="shared" si="115"/>
        <v>0</v>
      </c>
      <c r="G218" s="2">
        <f t="shared" si="115"/>
        <v>19</v>
      </c>
      <c r="H218" s="2">
        <f t="shared" si="115"/>
        <v>0</v>
      </c>
      <c r="I218" s="2">
        <f t="shared" si="115"/>
        <v>0</v>
      </c>
      <c r="J218" s="2">
        <f t="shared" si="115"/>
        <v>0</v>
      </c>
      <c r="K218" s="2">
        <f t="shared" si="115"/>
        <v>0</v>
      </c>
      <c r="L218" s="2">
        <f t="shared" si="115"/>
        <v>0</v>
      </c>
      <c r="M218" s="2">
        <f t="shared" si="115"/>
        <v>19</v>
      </c>
      <c r="N218" s="2">
        <f t="shared" si="115"/>
        <v>0</v>
      </c>
      <c r="O218" s="2">
        <f t="shared" si="115"/>
        <v>19</v>
      </c>
      <c r="P218" s="2">
        <f t="shared" si="115"/>
        <v>0</v>
      </c>
      <c r="Q218" s="2">
        <f t="shared" si="115"/>
        <v>0</v>
      </c>
      <c r="R218" s="2">
        <f t="shared" si="115"/>
        <v>0</v>
      </c>
      <c r="S218" s="2">
        <f t="shared" si="115"/>
        <v>0</v>
      </c>
      <c r="T218" s="2">
        <f t="shared" si="115"/>
        <v>0</v>
      </c>
    </row>
    <row r="219" spans="1:20">
      <c r="A219" s="47" t="s">
        <v>30</v>
      </c>
      <c r="B219" s="2">
        <f>IF(B210=1, IF(B197&lt;=6.25, 1, 0), 0)</f>
        <v>0</v>
      </c>
      <c r="C219" s="2">
        <f t="shared" ref="C219:T219" si="116">IF(C210=1, IF(C197&lt;=6.25, 1, 0), 0)</f>
        <v>0</v>
      </c>
      <c r="D219" s="2">
        <f t="shared" si="116"/>
        <v>0</v>
      </c>
      <c r="E219" s="2">
        <f t="shared" si="116"/>
        <v>0</v>
      </c>
      <c r="F219" s="2">
        <f t="shared" si="116"/>
        <v>0</v>
      </c>
      <c r="G219" s="2">
        <f t="shared" si="116"/>
        <v>0</v>
      </c>
      <c r="H219" s="2">
        <f t="shared" si="116"/>
        <v>0</v>
      </c>
      <c r="I219" s="2">
        <f t="shared" si="116"/>
        <v>0</v>
      </c>
      <c r="J219" s="2">
        <f t="shared" si="116"/>
        <v>0</v>
      </c>
      <c r="K219" s="2">
        <f t="shared" si="116"/>
        <v>0</v>
      </c>
      <c r="L219" s="2">
        <f t="shared" si="116"/>
        <v>0</v>
      </c>
      <c r="M219" s="2">
        <f t="shared" si="116"/>
        <v>0</v>
      </c>
      <c r="N219" s="2">
        <f t="shared" si="116"/>
        <v>0</v>
      </c>
      <c r="O219" s="2">
        <f t="shared" si="116"/>
        <v>0</v>
      </c>
      <c r="P219" s="2">
        <f t="shared" si="116"/>
        <v>0</v>
      </c>
      <c r="Q219" s="2">
        <f t="shared" si="116"/>
        <v>0</v>
      </c>
      <c r="R219" s="2">
        <f t="shared" si="116"/>
        <v>0</v>
      </c>
      <c r="S219" s="2">
        <f t="shared" si="116"/>
        <v>0</v>
      </c>
      <c r="T219" s="2">
        <f t="shared" si="116"/>
        <v>0</v>
      </c>
    </row>
    <row r="220" spans="1:20">
      <c r="A220" s="37" t="s">
        <v>31</v>
      </c>
      <c r="B220" s="2">
        <f>IF(B219=1, IF(B196&gt;0.5, 21, 22), 0)</f>
        <v>0</v>
      </c>
      <c r="C220" s="2">
        <f t="shared" ref="C220:T220" si="117">IF(C219=1, IF(C196&gt;0.5, 21, 22), 0)</f>
        <v>0</v>
      </c>
      <c r="D220" s="2">
        <f t="shared" si="117"/>
        <v>0</v>
      </c>
      <c r="E220" s="2">
        <f t="shared" si="117"/>
        <v>0</v>
      </c>
      <c r="F220" s="2">
        <f t="shared" si="117"/>
        <v>0</v>
      </c>
      <c r="G220" s="2">
        <f t="shared" si="117"/>
        <v>0</v>
      </c>
      <c r="H220" s="2">
        <f t="shared" si="117"/>
        <v>0</v>
      </c>
      <c r="I220" s="2">
        <f t="shared" si="117"/>
        <v>0</v>
      </c>
      <c r="J220" s="2">
        <f t="shared" si="117"/>
        <v>0</v>
      </c>
      <c r="K220" s="2">
        <f t="shared" si="117"/>
        <v>0</v>
      </c>
      <c r="L220" s="2">
        <f t="shared" si="117"/>
        <v>0</v>
      </c>
      <c r="M220" s="2">
        <f t="shared" si="117"/>
        <v>0</v>
      </c>
      <c r="N220" s="2">
        <f t="shared" si="117"/>
        <v>0</v>
      </c>
      <c r="O220" s="2">
        <f t="shared" si="117"/>
        <v>0</v>
      </c>
      <c r="P220" s="2">
        <f t="shared" si="117"/>
        <v>0</v>
      </c>
      <c r="Q220" s="2">
        <f t="shared" si="117"/>
        <v>0</v>
      </c>
      <c r="R220" s="2">
        <f t="shared" si="117"/>
        <v>0</v>
      </c>
      <c r="S220" s="2">
        <f t="shared" si="117"/>
        <v>0</v>
      </c>
      <c r="T220" s="2">
        <f t="shared" si="117"/>
        <v>0</v>
      </c>
    </row>
    <row r="221" spans="1:20">
      <c r="A221" s="1" t="s">
        <v>45</v>
      </c>
      <c r="B221" s="2">
        <f>B208+B210</f>
        <v>1</v>
      </c>
      <c r="C221" s="2">
        <f t="shared" ref="C221:T221" si="118">C208+C210</f>
        <v>1</v>
      </c>
      <c r="D221" s="2">
        <f t="shared" si="118"/>
        <v>1</v>
      </c>
      <c r="E221" s="2">
        <f t="shared" si="118"/>
        <v>1</v>
      </c>
      <c r="F221" s="2">
        <f t="shared" si="118"/>
        <v>1</v>
      </c>
      <c r="G221" s="2">
        <f t="shared" si="118"/>
        <v>1</v>
      </c>
      <c r="H221" s="2">
        <f t="shared" si="118"/>
        <v>1</v>
      </c>
      <c r="I221" s="2">
        <f t="shared" si="118"/>
        <v>1</v>
      </c>
      <c r="J221" s="2">
        <f t="shared" si="118"/>
        <v>1</v>
      </c>
      <c r="K221" s="2">
        <f t="shared" si="118"/>
        <v>1</v>
      </c>
      <c r="L221" s="2">
        <f t="shared" si="118"/>
        <v>1</v>
      </c>
      <c r="M221" s="2">
        <f t="shared" si="118"/>
        <v>1</v>
      </c>
      <c r="N221" s="2">
        <f t="shared" si="118"/>
        <v>1</v>
      </c>
      <c r="O221" s="2">
        <f t="shared" si="118"/>
        <v>1</v>
      </c>
      <c r="P221" s="2">
        <f t="shared" si="118"/>
        <v>1</v>
      </c>
      <c r="Q221" s="2">
        <f t="shared" si="118"/>
        <v>1</v>
      </c>
      <c r="R221" s="2">
        <f t="shared" si="118"/>
        <v>0</v>
      </c>
      <c r="S221" s="2">
        <f t="shared" si="118"/>
        <v>0</v>
      </c>
      <c r="T221" s="2">
        <f t="shared" si="118"/>
        <v>0</v>
      </c>
    </row>
    <row r="222" spans="1:20">
      <c r="A222" s="38" t="s">
        <v>33</v>
      </c>
      <c r="B222" s="2">
        <f>IF(B207=1, IF(B221=0, IF(B199&lt;=0.5, 1, 0), 0), 0)</f>
        <v>0</v>
      </c>
      <c r="C222" s="2">
        <f t="shared" ref="C222:T222" si="119">IF(C207=1, IF(C221=0, IF(C199&lt;=0.5, 1, 0), 0), 0)</f>
        <v>0</v>
      </c>
      <c r="D222" s="2">
        <f t="shared" si="119"/>
        <v>0</v>
      </c>
      <c r="E222" s="2">
        <f t="shared" si="119"/>
        <v>0</v>
      </c>
      <c r="F222" s="2">
        <f t="shared" si="119"/>
        <v>0</v>
      </c>
      <c r="G222" s="2">
        <f t="shared" si="119"/>
        <v>0</v>
      </c>
      <c r="H222" s="2">
        <f t="shared" si="119"/>
        <v>0</v>
      </c>
      <c r="I222" s="2">
        <f t="shared" si="119"/>
        <v>0</v>
      </c>
      <c r="J222" s="2">
        <f t="shared" si="119"/>
        <v>0</v>
      </c>
      <c r="K222" s="2">
        <f t="shared" si="119"/>
        <v>0</v>
      </c>
      <c r="L222" s="2">
        <f t="shared" si="119"/>
        <v>0</v>
      </c>
      <c r="M222" s="2">
        <f t="shared" si="119"/>
        <v>0</v>
      </c>
      <c r="N222" s="2">
        <f t="shared" si="119"/>
        <v>0</v>
      </c>
      <c r="O222" s="2">
        <f t="shared" si="119"/>
        <v>0</v>
      </c>
      <c r="P222" s="2">
        <f t="shared" si="119"/>
        <v>0</v>
      </c>
      <c r="Q222" s="2">
        <f t="shared" si="119"/>
        <v>0</v>
      </c>
      <c r="R222" s="2">
        <f t="shared" si="119"/>
        <v>1</v>
      </c>
      <c r="S222" s="2">
        <f t="shared" si="119"/>
        <v>1</v>
      </c>
      <c r="T222" s="2">
        <f t="shared" si="119"/>
        <v>1</v>
      </c>
    </row>
    <row r="223" spans="1:20">
      <c r="A223" s="47" t="s">
        <v>34</v>
      </c>
      <c r="B223" s="2">
        <f>IF(B222=1, IF(B197&gt;7.25, 1, 0), 0)</f>
        <v>0</v>
      </c>
      <c r="C223" s="2">
        <f t="shared" ref="C223:T223" si="120">IF(C222=1, IF(C197&gt;7.25, 1, 0), 0)</f>
        <v>0</v>
      </c>
      <c r="D223" s="2">
        <f t="shared" si="120"/>
        <v>0</v>
      </c>
      <c r="E223" s="2">
        <f t="shared" si="120"/>
        <v>0</v>
      </c>
      <c r="F223" s="2">
        <f t="shared" si="120"/>
        <v>0</v>
      </c>
      <c r="G223" s="2">
        <f t="shared" si="120"/>
        <v>0</v>
      </c>
      <c r="H223" s="2">
        <f t="shared" si="120"/>
        <v>0</v>
      </c>
      <c r="I223" s="2">
        <f t="shared" si="120"/>
        <v>0</v>
      </c>
      <c r="J223" s="2">
        <f t="shared" si="120"/>
        <v>0</v>
      </c>
      <c r="K223" s="2">
        <f t="shared" si="120"/>
        <v>0</v>
      </c>
      <c r="L223" s="2">
        <f t="shared" si="120"/>
        <v>0</v>
      </c>
      <c r="M223" s="2">
        <f t="shared" si="120"/>
        <v>0</v>
      </c>
      <c r="N223" s="2">
        <f t="shared" si="120"/>
        <v>0</v>
      </c>
      <c r="O223" s="2">
        <f t="shared" si="120"/>
        <v>0</v>
      </c>
      <c r="P223" s="2">
        <f t="shared" si="120"/>
        <v>0</v>
      </c>
      <c r="Q223" s="2">
        <f t="shared" si="120"/>
        <v>0</v>
      </c>
      <c r="R223" s="2">
        <f t="shared" si="120"/>
        <v>0</v>
      </c>
      <c r="S223" s="2">
        <f t="shared" si="120"/>
        <v>0</v>
      </c>
      <c r="T223" s="2">
        <f t="shared" si="120"/>
        <v>0</v>
      </c>
    </row>
    <row r="224" spans="1:20">
      <c r="A224" s="37" t="s">
        <v>36</v>
      </c>
      <c r="B224" s="2">
        <f>IF(B223=1, IF(B196&gt;0.5, 23, 24), 0)</f>
        <v>0</v>
      </c>
      <c r="C224" s="2">
        <f t="shared" ref="C224:T224" si="121">IF(C223=1, IF(C196&gt;0.5, 23, 24), 0)</f>
        <v>0</v>
      </c>
      <c r="D224" s="2">
        <f t="shared" si="121"/>
        <v>0</v>
      </c>
      <c r="E224" s="2">
        <f t="shared" si="121"/>
        <v>0</v>
      </c>
      <c r="F224" s="2">
        <f t="shared" si="121"/>
        <v>0</v>
      </c>
      <c r="G224" s="2">
        <f t="shared" si="121"/>
        <v>0</v>
      </c>
      <c r="H224" s="2">
        <f t="shared" si="121"/>
        <v>0</v>
      </c>
      <c r="I224" s="2">
        <f t="shared" si="121"/>
        <v>0</v>
      </c>
      <c r="J224" s="2">
        <f t="shared" si="121"/>
        <v>0</v>
      </c>
      <c r="K224" s="2">
        <f t="shared" si="121"/>
        <v>0</v>
      </c>
      <c r="L224" s="2">
        <f t="shared" si="121"/>
        <v>0</v>
      </c>
      <c r="M224" s="2">
        <f t="shared" si="121"/>
        <v>0</v>
      </c>
      <c r="N224" s="2">
        <f t="shared" si="121"/>
        <v>0</v>
      </c>
      <c r="O224" s="2">
        <f t="shared" si="121"/>
        <v>0</v>
      </c>
      <c r="P224" s="2">
        <f t="shared" si="121"/>
        <v>0</v>
      </c>
      <c r="Q224" s="2">
        <f t="shared" si="121"/>
        <v>0</v>
      </c>
      <c r="R224" s="2">
        <f t="shared" si="121"/>
        <v>0</v>
      </c>
      <c r="S224" s="2">
        <f t="shared" si="121"/>
        <v>0</v>
      </c>
      <c r="T224" s="2">
        <f t="shared" si="121"/>
        <v>0</v>
      </c>
    </row>
    <row r="225" spans="1:20">
      <c r="A225" s="47" t="s">
        <v>35</v>
      </c>
      <c r="B225" s="2">
        <f>IF(B222=1, IF(B197&gt;6.75, IF(B197&lt;=7.25, 1, 0), 0), 0)</f>
        <v>0</v>
      </c>
      <c r="C225" s="2">
        <f t="shared" ref="C225:T225" si="122">IF(C222=1, IF(C197&gt;6.75, IF(C197&lt;=7.25, 1, 0), 0), 0)</f>
        <v>0</v>
      </c>
      <c r="D225" s="2">
        <f t="shared" si="122"/>
        <v>0</v>
      </c>
      <c r="E225" s="2">
        <f t="shared" si="122"/>
        <v>0</v>
      </c>
      <c r="F225" s="2">
        <f t="shared" si="122"/>
        <v>0</v>
      </c>
      <c r="G225" s="2">
        <f t="shared" si="122"/>
        <v>0</v>
      </c>
      <c r="H225" s="2">
        <f t="shared" si="122"/>
        <v>0</v>
      </c>
      <c r="I225" s="2">
        <f t="shared" si="122"/>
        <v>0</v>
      </c>
      <c r="J225" s="2">
        <f t="shared" si="122"/>
        <v>0</v>
      </c>
      <c r="K225" s="2">
        <f t="shared" si="122"/>
        <v>0</v>
      </c>
      <c r="L225" s="2">
        <f t="shared" si="122"/>
        <v>0</v>
      </c>
      <c r="M225" s="2">
        <f t="shared" si="122"/>
        <v>0</v>
      </c>
      <c r="N225" s="2">
        <f t="shared" si="122"/>
        <v>0</v>
      </c>
      <c r="O225" s="2">
        <f t="shared" si="122"/>
        <v>0</v>
      </c>
      <c r="P225" s="2">
        <f t="shared" si="122"/>
        <v>0</v>
      </c>
      <c r="Q225" s="2">
        <f t="shared" si="122"/>
        <v>0</v>
      </c>
      <c r="R225" s="2">
        <f t="shared" si="122"/>
        <v>0</v>
      </c>
      <c r="S225" s="2">
        <f t="shared" si="122"/>
        <v>0</v>
      </c>
      <c r="T225" s="2">
        <f t="shared" si="122"/>
        <v>0</v>
      </c>
    </row>
    <row r="226" spans="1:20">
      <c r="A226" s="37" t="s">
        <v>37</v>
      </c>
      <c r="B226" s="2">
        <f>IF(B225=1, IF(B196&gt;0.5, 25, 26), 0)</f>
        <v>0</v>
      </c>
      <c r="C226" s="2">
        <f t="shared" ref="C226:T226" si="123">IF(C225=1, IF(C196&gt;0.5, 25, 26), 0)</f>
        <v>0</v>
      </c>
      <c r="D226" s="2">
        <f t="shared" si="123"/>
        <v>0</v>
      </c>
      <c r="E226" s="2">
        <f t="shared" si="123"/>
        <v>0</v>
      </c>
      <c r="F226" s="2">
        <f t="shared" si="123"/>
        <v>0</v>
      </c>
      <c r="G226" s="2">
        <f t="shared" si="123"/>
        <v>0</v>
      </c>
      <c r="H226" s="2">
        <f t="shared" si="123"/>
        <v>0</v>
      </c>
      <c r="I226" s="2">
        <f t="shared" si="123"/>
        <v>0</v>
      </c>
      <c r="J226" s="2">
        <f t="shared" si="123"/>
        <v>0</v>
      </c>
      <c r="K226" s="2">
        <f t="shared" si="123"/>
        <v>0</v>
      </c>
      <c r="L226" s="2">
        <f t="shared" si="123"/>
        <v>0</v>
      </c>
      <c r="M226" s="2">
        <f t="shared" si="123"/>
        <v>0</v>
      </c>
      <c r="N226" s="2">
        <f t="shared" si="123"/>
        <v>0</v>
      </c>
      <c r="O226" s="2">
        <f t="shared" si="123"/>
        <v>0</v>
      </c>
      <c r="P226" s="2">
        <f t="shared" si="123"/>
        <v>0</v>
      </c>
      <c r="Q226" s="2">
        <f t="shared" si="123"/>
        <v>0</v>
      </c>
      <c r="R226" s="2">
        <f t="shared" si="123"/>
        <v>0</v>
      </c>
      <c r="S226" s="2">
        <f t="shared" si="123"/>
        <v>0</v>
      </c>
      <c r="T226" s="2">
        <f t="shared" si="123"/>
        <v>0</v>
      </c>
    </row>
    <row r="227" spans="1:20">
      <c r="A227" s="47" t="s">
        <v>38</v>
      </c>
      <c r="B227" s="2">
        <f>IF(B222=1, IF(B197&gt;6.5, IF(B197&lt;=6.75, 1, 0), 0), 0)</f>
        <v>0</v>
      </c>
      <c r="C227" s="2">
        <f t="shared" ref="C227:T227" si="124">IF(C222=1, IF(C197&gt;6.5, IF(C197&lt;=6.75, 1, 0), 0), 0)</f>
        <v>0</v>
      </c>
      <c r="D227" s="2">
        <f t="shared" si="124"/>
        <v>0</v>
      </c>
      <c r="E227" s="2">
        <f t="shared" si="124"/>
        <v>0</v>
      </c>
      <c r="F227" s="2">
        <f t="shared" si="124"/>
        <v>0</v>
      </c>
      <c r="G227" s="2">
        <f t="shared" si="124"/>
        <v>0</v>
      </c>
      <c r="H227" s="2">
        <f t="shared" si="124"/>
        <v>0</v>
      </c>
      <c r="I227" s="2">
        <f t="shared" si="124"/>
        <v>0</v>
      </c>
      <c r="J227" s="2">
        <f t="shared" si="124"/>
        <v>0</v>
      </c>
      <c r="K227" s="2">
        <f t="shared" si="124"/>
        <v>0</v>
      </c>
      <c r="L227" s="2">
        <f t="shared" si="124"/>
        <v>0</v>
      </c>
      <c r="M227" s="2">
        <f t="shared" si="124"/>
        <v>0</v>
      </c>
      <c r="N227" s="2">
        <f t="shared" si="124"/>
        <v>0</v>
      </c>
      <c r="O227" s="2">
        <f t="shared" si="124"/>
        <v>0</v>
      </c>
      <c r="P227" s="2">
        <f t="shared" si="124"/>
        <v>0</v>
      </c>
      <c r="Q227" s="2">
        <f t="shared" si="124"/>
        <v>0</v>
      </c>
      <c r="R227" s="2">
        <f t="shared" si="124"/>
        <v>0</v>
      </c>
      <c r="S227" s="2">
        <f t="shared" si="124"/>
        <v>0</v>
      </c>
      <c r="T227" s="2">
        <f t="shared" si="124"/>
        <v>0</v>
      </c>
    </row>
    <row r="228" spans="1:20">
      <c r="A228" s="37" t="s">
        <v>39</v>
      </c>
      <c r="B228" s="2">
        <f>IF(B227=1, IF(B196&gt;0.5, 27, 28), 0)</f>
        <v>0</v>
      </c>
      <c r="C228" s="2">
        <f t="shared" ref="C228:T228" si="125">IF(C227=1, IF(C196&gt;0.5, 27, 28), 0)</f>
        <v>0</v>
      </c>
      <c r="D228" s="2">
        <f t="shared" si="125"/>
        <v>0</v>
      </c>
      <c r="E228" s="2">
        <f t="shared" si="125"/>
        <v>0</v>
      </c>
      <c r="F228" s="2">
        <f t="shared" si="125"/>
        <v>0</v>
      </c>
      <c r="G228" s="2">
        <f t="shared" si="125"/>
        <v>0</v>
      </c>
      <c r="H228" s="2">
        <f t="shared" si="125"/>
        <v>0</v>
      </c>
      <c r="I228" s="2">
        <f t="shared" si="125"/>
        <v>0</v>
      </c>
      <c r="J228" s="2">
        <f t="shared" si="125"/>
        <v>0</v>
      </c>
      <c r="K228" s="2">
        <f t="shared" si="125"/>
        <v>0</v>
      </c>
      <c r="L228" s="2">
        <f t="shared" si="125"/>
        <v>0</v>
      </c>
      <c r="M228" s="2">
        <f t="shared" si="125"/>
        <v>0</v>
      </c>
      <c r="N228" s="2">
        <f t="shared" si="125"/>
        <v>0</v>
      </c>
      <c r="O228" s="2">
        <f t="shared" si="125"/>
        <v>0</v>
      </c>
      <c r="P228" s="2">
        <f t="shared" si="125"/>
        <v>0</v>
      </c>
      <c r="Q228" s="2">
        <f t="shared" si="125"/>
        <v>0</v>
      </c>
      <c r="R228" s="2">
        <f t="shared" si="125"/>
        <v>0</v>
      </c>
      <c r="S228" s="2">
        <f t="shared" si="125"/>
        <v>0</v>
      </c>
      <c r="T228" s="2">
        <f t="shared" si="125"/>
        <v>0</v>
      </c>
    </row>
    <row r="229" spans="1:20">
      <c r="A229" s="47" t="s">
        <v>40</v>
      </c>
      <c r="B229" s="2">
        <f>IF(B222=1, IF(B197&gt;6.25, IF(B197&lt;=6.5, 1, 0), 0), 0)</f>
        <v>0</v>
      </c>
      <c r="C229" s="2">
        <f t="shared" ref="C229:T229" si="126">IF(C222=1, IF(C197&gt;6.25, IF(C197&lt;=6.5, 1, 0), 0), 0)</f>
        <v>0</v>
      </c>
      <c r="D229" s="2">
        <f t="shared" si="126"/>
        <v>0</v>
      </c>
      <c r="E229" s="2">
        <f t="shared" si="126"/>
        <v>0</v>
      </c>
      <c r="F229" s="2">
        <f t="shared" si="126"/>
        <v>0</v>
      </c>
      <c r="G229" s="2">
        <f t="shared" si="126"/>
        <v>0</v>
      </c>
      <c r="H229" s="2">
        <f t="shared" si="126"/>
        <v>0</v>
      </c>
      <c r="I229" s="2">
        <f t="shared" si="126"/>
        <v>0</v>
      </c>
      <c r="J229" s="2">
        <f t="shared" si="126"/>
        <v>0</v>
      </c>
      <c r="K229" s="2">
        <f t="shared" si="126"/>
        <v>0</v>
      </c>
      <c r="L229" s="2">
        <f t="shared" si="126"/>
        <v>0</v>
      </c>
      <c r="M229" s="2">
        <f t="shared" si="126"/>
        <v>0</v>
      </c>
      <c r="N229" s="2">
        <f t="shared" si="126"/>
        <v>0</v>
      </c>
      <c r="O229" s="2">
        <f t="shared" si="126"/>
        <v>0</v>
      </c>
      <c r="P229" s="2">
        <f t="shared" si="126"/>
        <v>0</v>
      </c>
      <c r="Q229" s="2">
        <f t="shared" si="126"/>
        <v>0</v>
      </c>
      <c r="R229" s="2">
        <f t="shared" si="126"/>
        <v>1</v>
      </c>
      <c r="S229" s="2">
        <f t="shared" si="126"/>
        <v>1</v>
      </c>
      <c r="T229" s="2">
        <f t="shared" si="126"/>
        <v>1</v>
      </c>
    </row>
    <row r="230" spans="1:20">
      <c r="A230" s="37" t="s">
        <v>41</v>
      </c>
      <c r="B230" s="2">
        <f>IF(B229=1, IF(B196&gt;0.7, 29, IF(B196&gt;0.3, 30, 31)), 0)</f>
        <v>0</v>
      </c>
      <c r="C230" s="2">
        <f t="shared" ref="C230:T230" si="127">IF(C229=1, IF(C196&gt;0.7, 29, IF(C196&gt;0.3, 30, 31)), 0)</f>
        <v>0</v>
      </c>
      <c r="D230" s="2">
        <f t="shared" si="127"/>
        <v>0</v>
      </c>
      <c r="E230" s="2">
        <f t="shared" si="127"/>
        <v>0</v>
      </c>
      <c r="F230" s="2">
        <f t="shared" si="127"/>
        <v>0</v>
      </c>
      <c r="G230" s="2">
        <f t="shared" si="127"/>
        <v>0</v>
      </c>
      <c r="H230" s="2">
        <f t="shared" si="127"/>
        <v>0</v>
      </c>
      <c r="I230" s="2">
        <f t="shared" si="127"/>
        <v>0</v>
      </c>
      <c r="J230" s="2">
        <f t="shared" si="127"/>
        <v>0</v>
      </c>
      <c r="K230" s="2">
        <f t="shared" si="127"/>
        <v>0</v>
      </c>
      <c r="L230" s="2">
        <f t="shared" si="127"/>
        <v>0</v>
      </c>
      <c r="M230" s="2">
        <f t="shared" si="127"/>
        <v>0</v>
      </c>
      <c r="N230" s="2">
        <f t="shared" si="127"/>
        <v>0</v>
      </c>
      <c r="O230" s="2">
        <f t="shared" si="127"/>
        <v>0</v>
      </c>
      <c r="P230" s="2">
        <f t="shared" si="127"/>
        <v>0</v>
      </c>
      <c r="Q230" s="2">
        <f t="shared" si="127"/>
        <v>0</v>
      </c>
      <c r="R230" s="2">
        <f t="shared" si="127"/>
        <v>30</v>
      </c>
      <c r="S230" s="2">
        <f t="shared" si="127"/>
        <v>30</v>
      </c>
      <c r="T230" s="2">
        <f t="shared" si="127"/>
        <v>30</v>
      </c>
    </row>
    <row r="231" spans="1:20">
      <c r="A231" s="47" t="s">
        <v>42</v>
      </c>
      <c r="B231" s="2">
        <f>IF(B222=1, IF(B197&lt;=6.25, 1, 0), 0)</f>
        <v>0</v>
      </c>
      <c r="C231" s="2">
        <f t="shared" ref="C231:T231" si="128">IF(C222=1, IF(C197&lt;=6.25, 1, 0), 0)</f>
        <v>0</v>
      </c>
      <c r="D231" s="2">
        <f t="shared" si="128"/>
        <v>0</v>
      </c>
      <c r="E231" s="2">
        <f t="shared" si="128"/>
        <v>0</v>
      </c>
      <c r="F231" s="2">
        <f t="shared" si="128"/>
        <v>0</v>
      </c>
      <c r="G231" s="2">
        <f t="shared" si="128"/>
        <v>0</v>
      </c>
      <c r="H231" s="2">
        <f t="shared" si="128"/>
        <v>0</v>
      </c>
      <c r="I231" s="2">
        <f t="shared" si="128"/>
        <v>0</v>
      </c>
      <c r="J231" s="2">
        <f t="shared" si="128"/>
        <v>0</v>
      </c>
      <c r="K231" s="2">
        <f t="shared" si="128"/>
        <v>0</v>
      </c>
      <c r="L231" s="2">
        <f t="shared" si="128"/>
        <v>0</v>
      </c>
      <c r="M231" s="2">
        <f t="shared" si="128"/>
        <v>0</v>
      </c>
      <c r="N231" s="2">
        <f t="shared" si="128"/>
        <v>0</v>
      </c>
      <c r="O231" s="2">
        <f t="shared" si="128"/>
        <v>0</v>
      </c>
      <c r="P231" s="2">
        <f t="shared" si="128"/>
        <v>0</v>
      </c>
      <c r="Q231" s="2">
        <f t="shared" si="128"/>
        <v>0</v>
      </c>
      <c r="R231" s="2">
        <f t="shared" si="128"/>
        <v>0</v>
      </c>
      <c r="S231" s="2">
        <f t="shared" si="128"/>
        <v>0</v>
      </c>
      <c r="T231" s="2">
        <f t="shared" si="128"/>
        <v>0</v>
      </c>
    </row>
    <row r="232" spans="1:20">
      <c r="A232" s="37" t="s">
        <v>43</v>
      </c>
      <c r="B232" s="2">
        <f>IF(B231=1, IF(B196&gt;0.7, 32, IF(B196&gt;0.3, 33, 34)), 0)</f>
        <v>0</v>
      </c>
      <c r="C232" s="2">
        <f t="shared" ref="C232:T232" si="129">IF(C231=1, IF(C196&gt;0.7, 32, IF(C196&gt;0.3, 33, 34)), 0)</f>
        <v>0</v>
      </c>
      <c r="D232" s="2">
        <f t="shared" si="129"/>
        <v>0</v>
      </c>
      <c r="E232" s="2">
        <f t="shared" si="129"/>
        <v>0</v>
      </c>
      <c r="F232" s="2">
        <f t="shared" si="129"/>
        <v>0</v>
      </c>
      <c r="G232" s="2">
        <f t="shared" si="129"/>
        <v>0</v>
      </c>
      <c r="H232" s="2">
        <f t="shared" si="129"/>
        <v>0</v>
      </c>
      <c r="I232" s="2">
        <f t="shared" si="129"/>
        <v>0</v>
      </c>
      <c r="J232" s="2">
        <f t="shared" si="129"/>
        <v>0</v>
      </c>
      <c r="K232" s="2">
        <f t="shared" si="129"/>
        <v>0</v>
      </c>
      <c r="L232" s="2">
        <f t="shared" si="129"/>
        <v>0</v>
      </c>
      <c r="M232" s="2">
        <f t="shared" si="129"/>
        <v>0</v>
      </c>
      <c r="N232" s="2">
        <f t="shared" si="129"/>
        <v>0</v>
      </c>
      <c r="O232" s="2">
        <f t="shared" si="129"/>
        <v>0</v>
      </c>
      <c r="P232" s="2">
        <f t="shared" si="129"/>
        <v>0</v>
      </c>
      <c r="Q232" s="2">
        <f t="shared" si="129"/>
        <v>0</v>
      </c>
      <c r="R232" s="2">
        <f t="shared" si="129"/>
        <v>0</v>
      </c>
      <c r="S232" s="2">
        <f t="shared" si="129"/>
        <v>0</v>
      </c>
      <c r="T232" s="2">
        <f t="shared" si="129"/>
        <v>0</v>
      </c>
    </row>
    <row r="233" spans="1:20">
      <c r="A233" s="1" t="s">
        <v>45</v>
      </c>
      <c r="B233" s="2">
        <f>B208+B210+B222</f>
        <v>1</v>
      </c>
      <c r="C233" s="2">
        <f t="shared" ref="C233:T233" si="130">C208+C210+C222</f>
        <v>1</v>
      </c>
      <c r="D233" s="2">
        <f t="shared" si="130"/>
        <v>1</v>
      </c>
      <c r="E233" s="2">
        <f t="shared" si="130"/>
        <v>1</v>
      </c>
      <c r="F233" s="2">
        <f t="shared" si="130"/>
        <v>1</v>
      </c>
      <c r="G233" s="2">
        <f t="shared" si="130"/>
        <v>1</v>
      </c>
      <c r="H233" s="2">
        <f t="shared" si="130"/>
        <v>1</v>
      </c>
      <c r="I233" s="2">
        <f t="shared" si="130"/>
        <v>1</v>
      </c>
      <c r="J233" s="2">
        <f t="shared" si="130"/>
        <v>1</v>
      </c>
      <c r="K233" s="2">
        <f t="shared" si="130"/>
        <v>1</v>
      </c>
      <c r="L233" s="2">
        <f t="shared" si="130"/>
        <v>1</v>
      </c>
      <c r="M233" s="2">
        <f t="shared" si="130"/>
        <v>1</v>
      </c>
      <c r="N233" s="2">
        <f t="shared" si="130"/>
        <v>1</v>
      </c>
      <c r="O233" s="2">
        <f t="shared" si="130"/>
        <v>1</v>
      </c>
      <c r="P233" s="2">
        <f t="shared" si="130"/>
        <v>1</v>
      </c>
      <c r="Q233" s="2">
        <f t="shared" si="130"/>
        <v>1</v>
      </c>
      <c r="R233" s="2">
        <f t="shared" si="130"/>
        <v>1</v>
      </c>
      <c r="S233" s="2">
        <f t="shared" si="130"/>
        <v>1</v>
      </c>
      <c r="T233" s="2">
        <f t="shared" si="130"/>
        <v>1</v>
      </c>
    </row>
    <row r="234" spans="1:20">
      <c r="A234" s="38" t="s">
        <v>44</v>
      </c>
      <c r="B234" s="2">
        <f>IF(B207=1, IF(B233=0, 1, 0), 0)</f>
        <v>0</v>
      </c>
      <c r="C234" s="2">
        <f t="shared" ref="C234:T234" si="131">IF(C207=1, IF(C233=0, 1, 0), 0)</f>
        <v>0</v>
      </c>
      <c r="D234" s="2">
        <f t="shared" si="131"/>
        <v>0</v>
      </c>
      <c r="E234" s="2">
        <f t="shared" si="131"/>
        <v>0</v>
      </c>
      <c r="F234" s="2">
        <f t="shared" si="131"/>
        <v>0</v>
      </c>
      <c r="G234" s="2">
        <f t="shared" si="131"/>
        <v>0</v>
      </c>
      <c r="H234" s="2">
        <f t="shared" si="131"/>
        <v>0</v>
      </c>
      <c r="I234" s="2">
        <f t="shared" si="131"/>
        <v>0</v>
      </c>
      <c r="J234" s="2">
        <f t="shared" si="131"/>
        <v>0</v>
      </c>
      <c r="K234" s="2">
        <f t="shared" si="131"/>
        <v>0</v>
      </c>
      <c r="L234" s="2">
        <f t="shared" si="131"/>
        <v>0</v>
      </c>
      <c r="M234" s="2">
        <f t="shared" si="131"/>
        <v>0</v>
      </c>
      <c r="N234" s="2">
        <f t="shared" si="131"/>
        <v>0</v>
      </c>
      <c r="O234" s="2">
        <f t="shared" si="131"/>
        <v>0</v>
      </c>
      <c r="P234" s="2">
        <f t="shared" si="131"/>
        <v>0</v>
      </c>
      <c r="Q234" s="2">
        <f t="shared" si="131"/>
        <v>0</v>
      </c>
      <c r="R234" s="2">
        <f t="shared" si="131"/>
        <v>0</v>
      </c>
      <c r="S234" s="2">
        <f t="shared" si="131"/>
        <v>0</v>
      </c>
      <c r="T234" s="2">
        <f t="shared" si="131"/>
        <v>0</v>
      </c>
    </row>
    <row r="235" spans="1:20">
      <c r="A235" s="47" t="s">
        <v>46</v>
      </c>
      <c r="B235" s="2">
        <f>IF(B234=1, IF(B197&gt;7.25, 1, 0), 0)</f>
        <v>0</v>
      </c>
      <c r="C235" s="2">
        <f t="shared" ref="C235:T235" si="132">IF(C234=1, IF(C197&gt;7.25, 1, 0), 0)</f>
        <v>0</v>
      </c>
      <c r="D235" s="2">
        <f t="shared" si="132"/>
        <v>0</v>
      </c>
      <c r="E235" s="2">
        <f t="shared" si="132"/>
        <v>0</v>
      </c>
      <c r="F235" s="2">
        <f t="shared" si="132"/>
        <v>0</v>
      </c>
      <c r="G235" s="2">
        <f t="shared" si="132"/>
        <v>0</v>
      </c>
      <c r="H235" s="2">
        <f t="shared" si="132"/>
        <v>0</v>
      </c>
      <c r="I235" s="2">
        <f t="shared" si="132"/>
        <v>0</v>
      </c>
      <c r="J235" s="2">
        <f t="shared" si="132"/>
        <v>0</v>
      </c>
      <c r="K235" s="2">
        <f t="shared" si="132"/>
        <v>0</v>
      </c>
      <c r="L235" s="2">
        <f t="shared" si="132"/>
        <v>0</v>
      </c>
      <c r="M235" s="2">
        <f t="shared" si="132"/>
        <v>0</v>
      </c>
      <c r="N235" s="2">
        <f t="shared" si="132"/>
        <v>0</v>
      </c>
      <c r="O235" s="2">
        <f t="shared" si="132"/>
        <v>0</v>
      </c>
      <c r="P235" s="2">
        <f t="shared" si="132"/>
        <v>0</v>
      </c>
      <c r="Q235" s="2">
        <f t="shared" si="132"/>
        <v>0</v>
      </c>
      <c r="R235" s="2">
        <f t="shared" si="132"/>
        <v>0</v>
      </c>
      <c r="S235" s="2">
        <f t="shared" si="132"/>
        <v>0</v>
      </c>
      <c r="T235" s="2">
        <f t="shared" si="132"/>
        <v>0</v>
      </c>
    </row>
    <row r="236" spans="1:20">
      <c r="A236" s="37" t="s">
        <v>244</v>
      </c>
      <c r="B236" s="2">
        <f>IF(B235=1, IF(B196&gt;0.5, 35, 36), 0)</f>
        <v>0</v>
      </c>
      <c r="C236" s="2">
        <f t="shared" ref="C236:T236" si="133">IF(C235=1, IF(C196&gt;0.5, 35, 36), 0)</f>
        <v>0</v>
      </c>
      <c r="D236" s="2">
        <f t="shared" si="133"/>
        <v>0</v>
      </c>
      <c r="E236" s="2">
        <f t="shared" si="133"/>
        <v>0</v>
      </c>
      <c r="F236" s="2">
        <f t="shared" si="133"/>
        <v>0</v>
      </c>
      <c r="G236" s="2">
        <f t="shared" si="133"/>
        <v>0</v>
      </c>
      <c r="H236" s="2">
        <f t="shared" si="133"/>
        <v>0</v>
      </c>
      <c r="I236" s="2">
        <f t="shared" si="133"/>
        <v>0</v>
      </c>
      <c r="J236" s="2">
        <f t="shared" si="133"/>
        <v>0</v>
      </c>
      <c r="K236" s="2">
        <f t="shared" si="133"/>
        <v>0</v>
      </c>
      <c r="L236" s="2">
        <f t="shared" si="133"/>
        <v>0</v>
      </c>
      <c r="M236" s="2">
        <f t="shared" si="133"/>
        <v>0</v>
      </c>
      <c r="N236" s="2">
        <f t="shared" si="133"/>
        <v>0</v>
      </c>
      <c r="O236" s="2">
        <f t="shared" si="133"/>
        <v>0</v>
      </c>
      <c r="P236" s="2">
        <f t="shared" si="133"/>
        <v>0</v>
      </c>
      <c r="Q236" s="2">
        <f t="shared" si="133"/>
        <v>0</v>
      </c>
      <c r="R236" s="2">
        <f t="shared" si="133"/>
        <v>0</v>
      </c>
      <c r="S236" s="2">
        <f t="shared" si="133"/>
        <v>0</v>
      </c>
      <c r="T236" s="2">
        <f t="shared" si="133"/>
        <v>0</v>
      </c>
    </row>
    <row r="237" spans="1:20">
      <c r="A237" s="47" t="s">
        <v>245</v>
      </c>
      <c r="B237" s="2">
        <f>IF(B234=1, IF(B197&gt;6.75, IF(B197&lt;=7.25, 1, 0), 0), 0)</f>
        <v>0</v>
      </c>
      <c r="C237" s="2">
        <f t="shared" ref="C237:T237" si="134">IF(C234=1, IF(C197&gt;6.75, IF(C197&lt;=7.25, 1, 0), 0), 0)</f>
        <v>0</v>
      </c>
      <c r="D237" s="2">
        <f t="shared" si="134"/>
        <v>0</v>
      </c>
      <c r="E237" s="2">
        <f t="shared" si="134"/>
        <v>0</v>
      </c>
      <c r="F237" s="2">
        <f t="shared" si="134"/>
        <v>0</v>
      </c>
      <c r="G237" s="2">
        <f t="shared" si="134"/>
        <v>0</v>
      </c>
      <c r="H237" s="2">
        <f t="shared" si="134"/>
        <v>0</v>
      </c>
      <c r="I237" s="2">
        <f t="shared" si="134"/>
        <v>0</v>
      </c>
      <c r="J237" s="2">
        <f t="shared" si="134"/>
        <v>0</v>
      </c>
      <c r="K237" s="2">
        <f t="shared" si="134"/>
        <v>0</v>
      </c>
      <c r="L237" s="2">
        <f t="shared" si="134"/>
        <v>0</v>
      </c>
      <c r="M237" s="2">
        <f t="shared" si="134"/>
        <v>0</v>
      </c>
      <c r="N237" s="2">
        <f t="shared" si="134"/>
        <v>0</v>
      </c>
      <c r="O237" s="2">
        <f t="shared" si="134"/>
        <v>0</v>
      </c>
      <c r="P237" s="2">
        <f t="shared" si="134"/>
        <v>0</v>
      </c>
      <c r="Q237" s="2">
        <f t="shared" si="134"/>
        <v>0</v>
      </c>
      <c r="R237" s="2">
        <f t="shared" si="134"/>
        <v>0</v>
      </c>
      <c r="S237" s="2">
        <f t="shared" si="134"/>
        <v>0</v>
      </c>
      <c r="T237" s="2">
        <f t="shared" si="134"/>
        <v>0</v>
      </c>
    </row>
    <row r="238" spans="1:20">
      <c r="A238" s="37" t="s">
        <v>246</v>
      </c>
      <c r="B238" s="2">
        <f>IF(B237=1, IF(B196&gt;0.5, 37, 38), 0)</f>
        <v>0</v>
      </c>
      <c r="C238" s="2">
        <f t="shared" ref="C238:T238" si="135">IF(C237=1, IF(C196&gt;0.5, 37, 38), 0)</f>
        <v>0</v>
      </c>
      <c r="D238" s="2">
        <f t="shared" si="135"/>
        <v>0</v>
      </c>
      <c r="E238" s="2">
        <f t="shared" si="135"/>
        <v>0</v>
      </c>
      <c r="F238" s="2">
        <f t="shared" si="135"/>
        <v>0</v>
      </c>
      <c r="G238" s="2">
        <f t="shared" si="135"/>
        <v>0</v>
      </c>
      <c r="H238" s="2">
        <f t="shared" si="135"/>
        <v>0</v>
      </c>
      <c r="I238" s="2">
        <f t="shared" si="135"/>
        <v>0</v>
      </c>
      <c r="J238" s="2">
        <f t="shared" si="135"/>
        <v>0</v>
      </c>
      <c r="K238" s="2">
        <f t="shared" si="135"/>
        <v>0</v>
      </c>
      <c r="L238" s="2">
        <f t="shared" si="135"/>
        <v>0</v>
      </c>
      <c r="M238" s="2">
        <f t="shared" si="135"/>
        <v>0</v>
      </c>
      <c r="N238" s="2">
        <f t="shared" si="135"/>
        <v>0</v>
      </c>
      <c r="O238" s="2">
        <f t="shared" si="135"/>
        <v>0</v>
      </c>
      <c r="P238" s="2">
        <f t="shared" si="135"/>
        <v>0</v>
      </c>
      <c r="Q238" s="2">
        <f t="shared" si="135"/>
        <v>0</v>
      </c>
      <c r="R238" s="2">
        <f t="shared" si="135"/>
        <v>0</v>
      </c>
      <c r="S238" s="2">
        <f t="shared" si="135"/>
        <v>0</v>
      </c>
      <c r="T238" s="2">
        <f t="shared" si="135"/>
        <v>0</v>
      </c>
    </row>
    <row r="239" spans="1:20">
      <c r="A239" s="47" t="s">
        <v>247</v>
      </c>
      <c r="B239" s="2">
        <f>IF(B234=1, IF(B197&gt;6.5, IF(B197&lt;=6.75, 1, 0), 0), 0)</f>
        <v>0</v>
      </c>
      <c r="C239" s="2">
        <f t="shared" ref="C239:T239" si="136">IF(C234=1, IF(C197&gt;6.5, IF(C197&lt;=6.75, 1, 0), 0), 0)</f>
        <v>0</v>
      </c>
      <c r="D239" s="2">
        <f t="shared" si="136"/>
        <v>0</v>
      </c>
      <c r="E239" s="2">
        <f t="shared" si="136"/>
        <v>0</v>
      </c>
      <c r="F239" s="2">
        <f t="shared" si="136"/>
        <v>0</v>
      </c>
      <c r="G239" s="2">
        <f t="shared" si="136"/>
        <v>0</v>
      </c>
      <c r="H239" s="2">
        <f t="shared" si="136"/>
        <v>0</v>
      </c>
      <c r="I239" s="2">
        <f t="shared" si="136"/>
        <v>0</v>
      </c>
      <c r="J239" s="2">
        <f t="shared" si="136"/>
        <v>0</v>
      </c>
      <c r="K239" s="2">
        <f t="shared" si="136"/>
        <v>0</v>
      </c>
      <c r="L239" s="2">
        <f t="shared" si="136"/>
        <v>0</v>
      </c>
      <c r="M239" s="2">
        <f t="shared" si="136"/>
        <v>0</v>
      </c>
      <c r="N239" s="2">
        <f t="shared" si="136"/>
        <v>0</v>
      </c>
      <c r="O239" s="2">
        <f t="shared" si="136"/>
        <v>0</v>
      </c>
      <c r="P239" s="2">
        <f t="shared" si="136"/>
        <v>0</v>
      </c>
      <c r="Q239" s="2">
        <f t="shared" si="136"/>
        <v>0</v>
      </c>
      <c r="R239" s="2">
        <f t="shared" si="136"/>
        <v>0</v>
      </c>
      <c r="S239" s="2">
        <f t="shared" si="136"/>
        <v>0</v>
      </c>
      <c r="T239" s="2">
        <f t="shared" si="136"/>
        <v>0</v>
      </c>
    </row>
    <row r="240" spans="1:20">
      <c r="A240" s="37" t="s">
        <v>248</v>
      </c>
      <c r="B240" s="2">
        <f>IF(B239=1, IF(B196&gt;0.5, 39, 40), 0)</f>
        <v>0</v>
      </c>
      <c r="C240" s="2">
        <f t="shared" ref="C240:T240" si="137">IF(C239=1, IF(C196&gt;0.5, 39, 40), 0)</f>
        <v>0</v>
      </c>
      <c r="D240" s="2">
        <f t="shared" si="137"/>
        <v>0</v>
      </c>
      <c r="E240" s="2">
        <f t="shared" si="137"/>
        <v>0</v>
      </c>
      <c r="F240" s="2">
        <f t="shared" si="137"/>
        <v>0</v>
      </c>
      <c r="G240" s="2">
        <f t="shared" si="137"/>
        <v>0</v>
      </c>
      <c r="H240" s="2">
        <f t="shared" si="137"/>
        <v>0</v>
      </c>
      <c r="I240" s="2">
        <f t="shared" si="137"/>
        <v>0</v>
      </c>
      <c r="J240" s="2">
        <f t="shared" si="137"/>
        <v>0</v>
      </c>
      <c r="K240" s="2">
        <f t="shared" si="137"/>
        <v>0</v>
      </c>
      <c r="L240" s="2">
        <f t="shared" si="137"/>
        <v>0</v>
      </c>
      <c r="M240" s="2">
        <f t="shared" si="137"/>
        <v>0</v>
      </c>
      <c r="N240" s="2">
        <f t="shared" si="137"/>
        <v>0</v>
      </c>
      <c r="O240" s="2">
        <f t="shared" si="137"/>
        <v>0</v>
      </c>
      <c r="P240" s="2">
        <f t="shared" si="137"/>
        <v>0</v>
      </c>
      <c r="Q240" s="2">
        <f t="shared" si="137"/>
        <v>0</v>
      </c>
      <c r="R240" s="2">
        <f t="shared" si="137"/>
        <v>0</v>
      </c>
      <c r="S240" s="2">
        <f t="shared" si="137"/>
        <v>0</v>
      </c>
      <c r="T240" s="2">
        <f t="shared" si="137"/>
        <v>0</v>
      </c>
    </row>
    <row r="241" spans="1:20">
      <c r="A241" s="47" t="s">
        <v>249</v>
      </c>
      <c r="B241" s="2">
        <f>IF(B234=1, IF(B197&gt;6.25, IF(B197&lt;=6.5, 1, 0), 0), 0)</f>
        <v>0</v>
      </c>
      <c r="C241" s="2">
        <f t="shared" ref="C241:T241" si="138">IF(C234=1, IF(C197&gt;6.25, IF(C197&lt;=6.5, 1, 0), 0), 0)</f>
        <v>0</v>
      </c>
      <c r="D241" s="2">
        <f t="shared" si="138"/>
        <v>0</v>
      </c>
      <c r="E241" s="2">
        <f t="shared" si="138"/>
        <v>0</v>
      </c>
      <c r="F241" s="2">
        <f t="shared" si="138"/>
        <v>0</v>
      </c>
      <c r="G241" s="2">
        <f t="shared" si="138"/>
        <v>0</v>
      </c>
      <c r="H241" s="2">
        <f t="shared" si="138"/>
        <v>0</v>
      </c>
      <c r="I241" s="2">
        <f t="shared" si="138"/>
        <v>0</v>
      </c>
      <c r="J241" s="2">
        <f t="shared" si="138"/>
        <v>0</v>
      </c>
      <c r="K241" s="2">
        <f t="shared" si="138"/>
        <v>0</v>
      </c>
      <c r="L241" s="2">
        <f t="shared" si="138"/>
        <v>0</v>
      </c>
      <c r="M241" s="2">
        <f t="shared" si="138"/>
        <v>0</v>
      </c>
      <c r="N241" s="2">
        <f t="shared" si="138"/>
        <v>0</v>
      </c>
      <c r="O241" s="2">
        <f t="shared" si="138"/>
        <v>0</v>
      </c>
      <c r="P241" s="2">
        <f t="shared" si="138"/>
        <v>0</v>
      </c>
      <c r="Q241" s="2">
        <f t="shared" si="138"/>
        <v>0</v>
      </c>
      <c r="R241" s="2">
        <f t="shared" si="138"/>
        <v>0</v>
      </c>
      <c r="S241" s="2">
        <f t="shared" si="138"/>
        <v>0</v>
      </c>
      <c r="T241" s="2">
        <f t="shared" si="138"/>
        <v>0</v>
      </c>
    </row>
    <row r="242" spans="1:20">
      <c r="A242" s="37" t="s">
        <v>62</v>
      </c>
      <c r="B242" s="2">
        <f>IF(B241=1, IF(B196&gt;0.7, 41, IF(B196&gt;0.3, 42, 43)), 0)</f>
        <v>0</v>
      </c>
      <c r="C242" s="2">
        <f t="shared" ref="C242:T242" si="139">IF(C241=1, IF(C196&gt;0.7, 41, IF(C196&gt;0.3, 42, 43)), 0)</f>
        <v>0</v>
      </c>
      <c r="D242" s="2">
        <f t="shared" si="139"/>
        <v>0</v>
      </c>
      <c r="E242" s="2">
        <f t="shared" si="139"/>
        <v>0</v>
      </c>
      <c r="F242" s="2">
        <f t="shared" si="139"/>
        <v>0</v>
      </c>
      <c r="G242" s="2">
        <f t="shared" si="139"/>
        <v>0</v>
      </c>
      <c r="H242" s="2">
        <f t="shared" si="139"/>
        <v>0</v>
      </c>
      <c r="I242" s="2">
        <f t="shared" si="139"/>
        <v>0</v>
      </c>
      <c r="J242" s="2">
        <f t="shared" si="139"/>
        <v>0</v>
      </c>
      <c r="K242" s="2">
        <f t="shared" si="139"/>
        <v>0</v>
      </c>
      <c r="L242" s="2">
        <f t="shared" si="139"/>
        <v>0</v>
      </c>
      <c r="M242" s="2">
        <f t="shared" si="139"/>
        <v>0</v>
      </c>
      <c r="N242" s="2">
        <f t="shared" si="139"/>
        <v>0</v>
      </c>
      <c r="O242" s="2">
        <f t="shared" si="139"/>
        <v>0</v>
      </c>
      <c r="P242" s="2">
        <f t="shared" si="139"/>
        <v>0</v>
      </c>
      <c r="Q242" s="2">
        <f t="shared" si="139"/>
        <v>0</v>
      </c>
      <c r="R242" s="2">
        <f t="shared" si="139"/>
        <v>0</v>
      </c>
      <c r="S242" s="2">
        <f t="shared" si="139"/>
        <v>0</v>
      </c>
      <c r="T242" s="2">
        <f t="shared" si="139"/>
        <v>0</v>
      </c>
    </row>
    <row r="243" spans="1:20">
      <c r="A243" s="47" t="s">
        <v>63</v>
      </c>
      <c r="B243" s="2">
        <f>IF(B234=1, IF(B197&lt;=6.25, 1, 0), 0)</f>
        <v>0</v>
      </c>
      <c r="C243" s="2">
        <f t="shared" ref="C243:T243" si="140">IF(C234=1, IF(C197&lt;=6.25, 1, 0), 0)</f>
        <v>0</v>
      </c>
      <c r="D243" s="2">
        <f t="shared" si="140"/>
        <v>0</v>
      </c>
      <c r="E243" s="2">
        <f t="shared" si="140"/>
        <v>0</v>
      </c>
      <c r="F243" s="2">
        <f t="shared" si="140"/>
        <v>0</v>
      </c>
      <c r="G243" s="2">
        <f t="shared" si="140"/>
        <v>0</v>
      </c>
      <c r="H243" s="2">
        <f t="shared" si="140"/>
        <v>0</v>
      </c>
      <c r="I243" s="2">
        <f t="shared" si="140"/>
        <v>0</v>
      </c>
      <c r="J243" s="2">
        <f t="shared" si="140"/>
        <v>0</v>
      </c>
      <c r="K243" s="2">
        <f t="shared" si="140"/>
        <v>0</v>
      </c>
      <c r="L243" s="2">
        <f t="shared" si="140"/>
        <v>0</v>
      </c>
      <c r="M243" s="2">
        <f t="shared" si="140"/>
        <v>0</v>
      </c>
      <c r="N243" s="2">
        <f t="shared" si="140"/>
        <v>0</v>
      </c>
      <c r="O243" s="2">
        <f t="shared" si="140"/>
        <v>0</v>
      </c>
      <c r="P243" s="2">
        <f t="shared" si="140"/>
        <v>0</v>
      </c>
      <c r="Q243" s="2">
        <f t="shared" si="140"/>
        <v>0</v>
      </c>
      <c r="R243" s="2">
        <f t="shared" si="140"/>
        <v>0</v>
      </c>
      <c r="S243" s="2">
        <f t="shared" si="140"/>
        <v>0</v>
      </c>
      <c r="T243" s="2">
        <f t="shared" si="140"/>
        <v>0</v>
      </c>
    </row>
    <row r="244" spans="1:20">
      <c r="A244" s="47" t="s">
        <v>64</v>
      </c>
      <c r="B244" s="2">
        <f>IF(B243=1, IF(B196&gt;0.7, 44, IF(B196&gt;0.3, 45, 46)), 0)</f>
        <v>0</v>
      </c>
      <c r="C244" s="2">
        <f t="shared" ref="C244:T244" si="141">IF(C243=1, IF(C196&gt;0.7, 44, IF(C196&gt;0.3, 45, 46)), 0)</f>
        <v>0</v>
      </c>
      <c r="D244" s="2">
        <f t="shared" si="141"/>
        <v>0</v>
      </c>
      <c r="E244" s="2">
        <f t="shared" si="141"/>
        <v>0</v>
      </c>
      <c r="F244" s="2">
        <f t="shared" si="141"/>
        <v>0</v>
      </c>
      <c r="G244" s="2">
        <f t="shared" si="141"/>
        <v>0</v>
      </c>
      <c r="H244" s="2">
        <f t="shared" si="141"/>
        <v>0</v>
      </c>
      <c r="I244" s="2">
        <f t="shared" si="141"/>
        <v>0</v>
      </c>
      <c r="J244" s="2">
        <f t="shared" si="141"/>
        <v>0</v>
      </c>
      <c r="K244" s="2">
        <f t="shared" si="141"/>
        <v>0</v>
      </c>
      <c r="L244" s="2">
        <f t="shared" si="141"/>
        <v>0</v>
      </c>
      <c r="M244" s="2">
        <f t="shared" si="141"/>
        <v>0</v>
      </c>
      <c r="N244" s="2">
        <f t="shared" si="141"/>
        <v>0</v>
      </c>
      <c r="O244" s="2">
        <f t="shared" si="141"/>
        <v>0</v>
      </c>
      <c r="P244" s="2">
        <f t="shared" si="141"/>
        <v>0</v>
      </c>
      <c r="Q244" s="2">
        <f t="shared" si="141"/>
        <v>0</v>
      </c>
      <c r="R244" s="2">
        <f t="shared" si="141"/>
        <v>0</v>
      </c>
      <c r="S244" s="2">
        <f t="shared" si="141"/>
        <v>0</v>
      </c>
      <c r="T244" s="2">
        <f t="shared" si="141"/>
        <v>0</v>
      </c>
    </row>
    <row r="245" spans="1:20">
      <c r="A245" s="43" t="s">
        <v>65</v>
      </c>
    </row>
    <row r="246" spans="1:20">
      <c r="A246" s="48" t="s">
        <v>0</v>
      </c>
      <c r="B246" s="2">
        <f>IF(B194&gt;0.67, IF(B194&lt;1.34, 1, 0), 0)</f>
        <v>0</v>
      </c>
      <c r="C246" s="2">
        <f t="shared" ref="C246:T246" si="142">IF(C194&gt;0.67, IF(C194&lt;1.34, 1, 0), 0)</f>
        <v>0</v>
      </c>
      <c r="D246" s="2">
        <f t="shared" si="142"/>
        <v>0</v>
      </c>
      <c r="E246" s="2">
        <f t="shared" si="142"/>
        <v>0</v>
      </c>
      <c r="F246" s="2">
        <f t="shared" si="142"/>
        <v>0</v>
      </c>
      <c r="G246" s="2">
        <f t="shared" si="142"/>
        <v>0</v>
      </c>
      <c r="H246" s="2">
        <f t="shared" si="142"/>
        <v>0</v>
      </c>
      <c r="I246" s="2">
        <f t="shared" si="142"/>
        <v>0</v>
      </c>
      <c r="J246" s="2">
        <f t="shared" si="142"/>
        <v>0</v>
      </c>
      <c r="K246" s="2">
        <f t="shared" si="142"/>
        <v>0</v>
      </c>
      <c r="L246" s="2">
        <f t="shared" si="142"/>
        <v>0</v>
      </c>
      <c r="M246" s="2">
        <f t="shared" si="142"/>
        <v>0</v>
      </c>
      <c r="N246" s="2">
        <f t="shared" si="142"/>
        <v>0</v>
      </c>
      <c r="O246" s="2">
        <f t="shared" si="142"/>
        <v>0</v>
      </c>
      <c r="P246" s="2">
        <f t="shared" si="142"/>
        <v>0</v>
      </c>
      <c r="Q246" s="2">
        <f t="shared" si="142"/>
        <v>0</v>
      </c>
      <c r="R246" s="2">
        <f t="shared" si="142"/>
        <v>0</v>
      </c>
      <c r="S246" s="2">
        <f t="shared" si="142"/>
        <v>0</v>
      </c>
      <c r="T246" s="2">
        <f t="shared" si="142"/>
        <v>0</v>
      </c>
    </row>
    <row r="247" spans="1:20">
      <c r="A247" s="38" t="s">
        <v>66</v>
      </c>
      <c r="B247" s="2">
        <f>IF(B246=1, IF(B195&lt;0.5, 1, 0), 0)</f>
        <v>0</v>
      </c>
      <c r="C247" s="2">
        <f t="shared" ref="C247:T247" si="143">IF(C246=1, IF(C195&lt;0.5, 1, 0), 0)</f>
        <v>0</v>
      </c>
      <c r="D247" s="2">
        <f t="shared" si="143"/>
        <v>0</v>
      </c>
      <c r="E247" s="2">
        <f t="shared" si="143"/>
        <v>0</v>
      </c>
      <c r="F247" s="2">
        <f t="shared" si="143"/>
        <v>0</v>
      </c>
      <c r="G247" s="2">
        <f t="shared" si="143"/>
        <v>0</v>
      </c>
      <c r="H247" s="2">
        <f t="shared" si="143"/>
        <v>0</v>
      </c>
      <c r="I247" s="2">
        <f t="shared" si="143"/>
        <v>0</v>
      </c>
      <c r="J247" s="2">
        <f t="shared" si="143"/>
        <v>0</v>
      </c>
      <c r="K247" s="2">
        <f t="shared" si="143"/>
        <v>0</v>
      </c>
      <c r="L247" s="2">
        <f t="shared" si="143"/>
        <v>0</v>
      </c>
      <c r="M247" s="2">
        <f t="shared" si="143"/>
        <v>0</v>
      </c>
      <c r="N247" s="2">
        <f t="shared" si="143"/>
        <v>0</v>
      </c>
      <c r="O247" s="2">
        <f t="shared" si="143"/>
        <v>0</v>
      </c>
      <c r="P247" s="2">
        <f t="shared" si="143"/>
        <v>0</v>
      </c>
      <c r="Q247" s="2">
        <f t="shared" si="143"/>
        <v>0</v>
      </c>
      <c r="R247" s="2">
        <f t="shared" si="143"/>
        <v>0</v>
      </c>
      <c r="S247" s="2">
        <f t="shared" si="143"/>
        <v>0</v>
      </c>
      <c r="T247" s="2">
        <f t="shared" si="143"/>
        <v>0</v>
      </c>
    </row>
    <row r="248" spans="1:20">
      <c r="A248" s="1" t="s">
        <v>67</v>
      </c>
      <c r="B248" s="2">
        <f>IF(B247=1, IF(B196&gt;7.5, 1, 0), 0)</f>
        <v>0</v>
      </c>
      <c r="C248" s="2">
        <f t="shared" ref="C248:T248" si="144">IF(C247=1, IF(C196&gt;7.5, 1, 0), 0)</f>
        <v>0</v>
      </c>
      <c r="D248" s="2">
        <f t="shared" si="144"/>
        <v>0</v>
      </c>
      <c r="E248" s="2">
        <f t="shared" si="144"/>
        <v>0</v>
      </c>
      <c r="F248" s="2">
        <f t="shared" si="144"/>
        <v>0</v>
      </c>
      <c r="G248" s="2">
        <f t="shared" si="144"/>
        <v>0</v>
      </c>
      <c r="H248" s="2">
        <f t="shared" si="144"/>
        <v>0</v>
      </c>
      <c r="I248" s="2">
        <f t="shared" si="144"/>
        <v>0</v>
      </c>
      <c r="J248" s="2">
        <f t="shared" si="144"/>
        <v>0</v>
      </c>
      <c r="K248" s="2">
        <f t="shared" si="144"/>
        <v>0</v>
      </c>
      <c r="L248" s="2">
        <f t="shared" si="144"/>
        <v>0</v>
      </c>
      <c r="M248" s="2">
        <f t="shared" si="144"/>
        <v>0</v>
      </c>
      <c r="N248" s="2">
        <f t="shared" si="144"/>
        <v>0</v>
      </c>
      <c r="O248" s="2">
        <f t="shared" si="144"/>
        <v>0</v>
      </c>
      <c r="P248" s="2">
        <f t="shared" si="144"/>
        <v>0</v>
      </c>
      <c r="Q248" s="2">
        <f t="shared" si="144"/>
        <v>0</v>
      </c>
      <c r="R248" s="2">
        <f t="shared" si="144"/>
        <v>0</v>
      </c>
      <c r="S248" s="2">
        <f t="shared" si="144"/>
        <v>0</v>
      </c>
      <c r="T248" s="2">
        <f t="shared" si="144"/>
        <v>0</v>
      </c>
    </row>
    <row r="249" spans="1:20">
      <c r="A249" s="37" t="s">
        <v>68</v>
      </c>
      <c r="B249" s="2">
        <f>IF(B248=1, IF(B196&gt;0.5, 47, 48), 0)</f>
        <v>0</v>
      </c>
      <c r="C249" s="2">
        <f t="shared" ref="C249:T249" si="145">IF(C248=1, IF(C196&gt;0.5, 47, 48), 0)</f>
        <v>0</v>
      </c>
      <c r="D249" s="2">
        <f t="shared" si="145"/>
        <v>0</v>
      </c>
      <c r="E249" s="2">
        <f t="shared" si="145"/>
        <v>0</v>
      </c>
      <c r="F249" s="2">
        <f t="shared" si="145"/>
        <v>0</v>
      </c>
      <c r="G249" s="2">
        <f t="shared" si="145"/>
        <v>0</v>
      </c>
      <c r="H249" s="2">
        <f t="shared" si="145"/>
        <v>0</v>
      </c>
      <c r="I249" s="2">
        <f t="shared" si="145"/>
        <v>0</v>
      </c>
      <c r="J249" s="2">
        <f t="shared" si="145"/>
        <v>0</v>
      </c>
      <c r="K249" s="2">
        <f t="shared" si="145"/>
        <v>0</v>
      </c>
      <c r="L249" s="2">
        <f t="shared" si="145"/>
        <v>0</v>
      </c>
      <c r="M249" s="2">
        <f t="shared" si="145"/>
        <v>0</v>
      </c>
      <c r="N249" s="2">
        <f t="shared" si="145"/>
        <v>0</v>
      </c>
      <c r="O249" s="2">
        <f t="shared" si="145"/>
        <v>0</v>
      </c>
      <c r="P249" s="2">
        <f t="shared" si="145"/>
        <v>0</v>
      </c>
      <c r="Q249" s="2">
        <f t="shared" si="145"/>
        <v>0</v>
      </c>
      <c r="R249" s="2">
        <f t="shared" si="145"/>
        <v>0</v>
      </c>
      <c r="S249" s="2">
        <f t="shared" si="145"/>
        <v>0</v>
      </c>
      <c r="T249" s="2">
        <f t="shared" si="145"/>
        <v>0</v>
      </c>
    </row>
    <row r="250" spans="1:20">
      <c r="A250" s="1" t="s">
        <v>69</v>
      </c>
      <c r="B250" s="2">
        <f>IF(B247=1, IF(B197&lt;=7.5, 1, 0), 0)</f>
        <v>0</v>
      </c>
      <c r="C250" s="2">
        <f t="shared" ref="C250:T250" si="146">IF(C247=1, IF(C197&lt;=7.5, 1, 0), 0)</f>
        <v>0</v>
      </c>
      <c r="D250" s="2">
        <f t="shared" si="146"/>
        <v>0</v>
      </c>
      <c r="E250" s="2">
        <f t="shared" si="146"/>
        <v>0</v>
      </c>
      <c r="F250" s="2">
        <f t="shared" si="146"/>
        <v>0</v>
      </c>
      <c r="G250" s="2">
        <f t="shared" si="146"/>
        <v>0</v>
      </c>
      <c r="H250" s="2">
        <f t="shared" si="146"/>
        <v>0</v>
      </c>
      <c r="I250" s="2">
        <f t="shared" si="146"/>
        <v>0</v>
      </c>
      <c r="J250" s="2">
        <f t="shared" si="146"/>
        <v>0</v>
      </c>
      <c r="K250" s="2">
        <f t="shared" si="146"/>
        <v>0</v>
      </c>
      <c r="L250" s="2">
        <f t="shared" si="146"/>
        <v>0</v>
      </c>
      <c r="M250" s="2">
        <f t="shared" si="146"/>
        <v>0</v>
      </c>
      <c r="N250" s="2">
        <f t="shared" si="146"/>
        <v>0</v>
      </c>
      <c r="O250" s="2">
        <f t="shared" si="146"/>
        <v>0</v>
      </c>
      <c r="P250" s="2">
        <f t="shared" si="146"/>
        <v>0</v>
      </c>
      <c r="Q250" s="2">
        <f t="shared" si="146"/>
        <v>0</v>
      </c>
      <c r="R250" s="2">
        <f t="shared" si="146"/>
        <v>0</v>
      </c>
      <c r="S250" s="2">
        <f t="shared" si="146"/>
        <v>0</v>
      </c>
      <c r="T250" s="2">
        <f t="shared" si="146"/>
        <v>0</v>
      </c>
    </row>
    <row r="251" spans="1:20">
      <c r="A251" s="37" t="s">
        <v>70</v>
      </c>
      <c r="B251" s="2">
        <f>IF(B250=1, IF(B196&gt;0.5, 49, 50), 0)</f>
        <v>0</v>
      </c>
      <c r="C251" s="2">
        <f t="shared" ref="C251:T251" si="147">IF(C250=1, IF(C196&gt;0.5, 49, 50), 0)</f>
        <v>0</v>
      </c>
      <c r="D251" s="2">
        <f t="shared" si="147"/>
        <v>0</v>
      </c>
      <c r="E251" s="2">
        <f t="shared" si="147"/>
        <v>0</v>
      </c>
      <c r="F251" s="2">
        <f t="shared" si="147"/>
        <v>0</v>
      </c>
      <c r="G251" s="2">
        <f t="shared" si="147"/>
        <v>0</v>
      </c>
      <c r="H251" s="2">
        <f t="shared" si="147"/>
        <v>0</v>
      </c>
      <c r="I251" s="2">
        <f t="shared" si="147"/>
        <v>0</v>
      </c>
      <c r="J251" s="2">
        <f t="shared" si="147"/>
        <v>0</v>
      </c>
      <c r="K251" s="2">
        <f t="shared" si="147"/>
        <v>0</v>
      </c>
      <c r="L251" s="2">
        <f t="shared" si="147"/>
        <v>0</v>
      </c>
      <c r="M251" s="2">
        <f t="shared" si="147"/>
        <v>0</v>
      </c>
      <c r="N251" s="2">
        <f t="shared" si="147"/>
        <v>0</v>
      </c>
      <c r="O251" s="2">
        <f t="shared" si="147"/>
        <v>0</v>
      </c>
      <c r="P251" s="2">
        <f t="shared" si="147"/>
        <v>0</v>
      </c>
      <c r="Q251" s="2">
        <f t="shared" si="147"/>
        <v>0</v>
      </c>
      <c r="R251" s="2">
        <f t="shared" si="147"/>
        <v>0</v>
      </c>
      <c r="S251" s="2">
        <f t="shared" si="147"/>
        <v>0</v>
      </c>
      <c r="T251" s="2">
        <f t="shared" si="147"/>
        <v>0</v>
      </c>
    </row>
    <row r="252" spans="1:20">
      <c r="A252" s="38" t="s">
        <v>71</v>
      </c>
      <c r="B252" s="2">
        <f>IF(B246=1, IF(B195&gt;0.5, 1, 0), 0)</f>
        <v>0</v>
      </c>
      <c r="C252" s="2">
        <f t="shared" ref="C252:T252" si="148">IF(C246=1, IF(C195&gt;0.5, 1, 0), 0)</f>
        <v>0</v>
      </c>
      <c r="D252" s="2">
        <f t="shared" si="148"/>
        <v>0</v>
      </c>
      <c r="E252" s="2">
        <f t="shared" si="148"/>
        <v>0</v>
      </c>
      <c r="F252" s="2">
        <f t="shared" si="148"/>
        <v>0</v>
      </c>
      <c r="G252" s="2">
        <f t="shared" si="148"/>
        <v>0</v>
      </c>
      <c r="H252" s="2">
        <f t="shared" si="148"/>
        <v>0</v>
      </c>
      <c r="I252" s="2">
        <f t="shared" si="148"/>
        <v>0</v>
      </c>
      <c r="J252" s="2">
        <f t="shared" si="148"/>
        <v>0</v>
      </c>
      <c r="K252" s="2">
        <f t="shared" si="148"/>
        <v>0</v>
      </c>
      <c r="L252" s="2">
        <f t="shared" si="148"/>
        <v>0</v>
      </c>
      <c r="M252" s="2">
        <f t="shared" si="148"/>
        <v>0</v>
      </c>
      <c r="N252" s="2">
        <f t="shared" si="148"/>
        <v>0</v>
      </c>
      <c r="O252" s="2">
        <f t="shared" si="148"/>
        <v>0</v>
      </c>
      <c r="P252" s="2">
        <f t="shared" si="148"/>
        <v>0</v>
      </c>
      <c r="Q252" s="2">
        <f t="shared" si="148"/>
        <v>0</v>
      </c>
      <c r="R252" s="2">
        <f t="shared" si="148"/>
        <v>0</v>
      </c>
      <c r="S252" s="2">
        <f t="shared" si="148"/>
        <v>0</v>
      </c>
      <c r="T252" s="2">
        <f t="shared" si="148"/>
        <v>0</v>
      </c>
    </row>
    <row r="253" spans="1:20">
      <c r="A253" s="1" t="s">
        <v>72</v>
      </c>
      <c r="B253" s="2">
        <f>IF(B252=1, IF(B197&gt;7.5, 1, 0), 0)</f>
        <v>0</v>
      </c>
      <c r="C253" s="2">
        <f t="shared" ref="C253:T253" si="149">IF(C252=1, IF(C197&gt;7.5, 1, 0), 0)</f>
        <v>0</v>
      </c>
      <c r="D253" s="2">
        <f t="shared" si="149"/>
        <v>0</v>
      </c>
      <c r="E253" s="2">
        <f t="shared" si="149"/>
        <v>0</v>
      </c>
      <c r="F253" s="2">
        <f t="shared" si="149"/>
        <v>0</v>
      </c>
      <c r="G253" s="2">
        <f t="shared" si="149"/>
        <v>0</v>
      </c>
      <c r="H253" s="2">
        <f t="shared" si="149"/>
        <v>0</v>
      </c>
      <c r="I253" s="2">
        <f t="shared" si="149"/>
        <v>0</v>
      </c>
      <c r="J253" s="2">
        <f t="shared" si="149"/>
        <v>0</v>
      </c>
      <c r="K253" s="2">
        <f t="shared" si="149"/>
        <v>0</v>
      </c>
      <c r="L253" s="2">
        <f t="shared" si="149"/>
        <v>0</v>
      </c>
      <c r="M253" s="2">
        <f t="shared" si="149"/>
        <v>0</v>
      </c>
      <c r="N253" s="2">
        <f t="shared" si="149"/>
        <v>0</v>
      </c>
      <c r="O253" s="2">
        <f t="shared" si="149"/>
        <v>0</v>
      </c>
      <c r="P253" s="2">
        <f t="shared" si="149"/>
        <v>0</v>
      </c>
      <c r="Q253" s="2">
        <f t="shared" si="149"/>
        <v>0</v>
      </c>
      <c r="R253" s="2">
        <f t="shared" si="149"/>
        <v>0</v>
      </c>
      <c r="S253" s="2">
        <f t="shared" si="149"/>
        <v>0</v>
      </c>
      <c r="T253" s="2">
        <f t="shared" si="149"/>
        <v>0</v>
      </c>
    </row>
    <row r="254" spans="1:20">
      <c r="A254" s="37" t="s">
        <v>51</v>
      </c>
      <c r="B254" s="2">
        <f>IF(B253=1, IF(B196&gt;0.5, 51, 52), 0)</f>
        <v>0</v>
      </c>
      <c r="C254" s="2">
        <f t="shared" ref="C254:T254" si="150">IF(C253=1, IF(C196&gt;0.5, 51, 52), 0)</f>
        <v>0</v>
      </c>
      <c r="D254" s="2">
        <f t="shared" si="150"/>
        <v>0</v>
      </c>
      <c r="E254" s="2">
        <f t="shared" si="150"/>
        <v>0</v>
      </c>
      <c r="F254" s="2">
        <f t="shared" si="150"/>
        <v>0</v>
      </c>
      <c r="G254" s="2">
        <f t="shared" si="150"/>
        <v>0</v>
      </c>
      <c r="H254" s="2">
        <f t="shared" si="150"/>
        <v>0</v>
      </c>
      <c r="I254" s="2">
        <f t="shared" si="150"/>
        <v>0</v>
      </c>
      <c r="J254" s="2">
        <f t="shared" si="150"/>
        <v>0</v>
      </c>
      <c r="K254" s="2">
        <f t="shared" si="150"/>
        <v>0</v>
      </c>
      <c r="L254" s="2">
        <f t="shared" si="150"/>
        <v>0</v>
      </c>
      <c r="M254" s="2">
        <f t="shared" si="150"/>
        <v>0</v>
      </c>
      <c r="N254" s="2">
        <f t="shared" si="150"/>
        <v>0</v>
      </c>
      <c r="O254" s="2">
        <f t="shared" si="150"/>
        <v>0</v>
      </c>
      <c r="P254" s="2">
        <f t="shared" si="150"/>
        <v>0</v>
      </c>
      <c r="Q254" s="2">
        <f t="shared" si="150"/>
        <v>0</v>
      </c>
      <c r="R254" s="2">
        <f t="shared" si="150"/>
        <v>0</v>
      </c>
      <c r="S254" s="2">
        <f t="shared" si="150"/>
        <v>0</v>
      </c>
      <c r="T254" s="2">
        <f t="shared" si="150"/>
        <v>0</v>
      </c>
    </row>
    <row r="255" spans="1:20">
      <c r="A255" s="1" t="s">
        <v>52</v>
      </c>
      <c r="B255" s="2">
        <f>IF(B252=1, IF(B197&gt;6.5, IF(B197&lt;=7.5, 1, 0), 0), 0)</f>
        <v>0</v>
      </c>
      <c r="C255" s="2">
        <f t="shared" ref="C255:T255" si="151">IF(C252=1, IF(C197&gt;6.5, IF(C197&lt;=7.5, 1, 0), 0), 0)</f>
        <v>0</v>
      </c>
      <c r="D255" s="2">
        <f t="shared" si="151"/>
        <v>0</v>
      </c>
      <c r="E255" s="2">
        <f t="shared" si="151"/>
        <v>0</v>
      </c>
      <c r="F255" s="2">
        <f t="shared" si="151"/>
        <v>0</v>
      </c>
      <c r="G255" s="2">
        <f t="shared" si="151"/>
        <v>0</v>
      </c>
      <c r="H255" s="2">
        <f t="shared" si="151"/>
        <v>0</v>
      </c>
      <c r="I255" s="2">
        <f t="shared" si="151"/>
        <v>0</v>
      </c>
      <c r="J255" s="2">
        <f t="shared" si="151"/>
        <v>0</v>
      </c>
      <c r="K255" s="2">
        <f t="shared" si="151"/>
        <v>0</v>
      </c>
      <c r="L255" s="2">
        <f t="shared" si="151"/>
        <v>0</v>
      </c>
      <c r="M255" s="2">
        <f t="shared" si="151"/>
        <v>0</v>
      </c>
      <c r="N255" s="2">
        <f t="shared" si="151"/>
        <v>0</v>
      </c>
      <c r="O255" s="2">
        <f t="shared" si="151"/>
        <v>0</v>
      </c>
      <c r="P255" s="2">
        <f t="shared" si="151"/>
        <v>0</v>
      </c>
      <c r="Q255" s="2">
        <f t="shared" si="151"/>
        <v>0</v>
      </c>
      <c r="R255" s="2">
        <f t="shared" si="151"/>
        <v>0</v>
      </c>
      <c r="S255" s="2">
        <f t="shared" si="151"/>
        <v>0</v>
      </c>
      <c r="T255" s="2">
        <f t="shared" si="151"/>
        <v>0</v>
      </c>
    </row>
    <row r="256" spans="1:20">
      <c r="A256" s="37" t="s">
        <v>53</v>
      </c>
      <c r="B256" s="2">
        <f>IF(B255=1, IF(B196&gt;0.5, 53, 54), 0)</f>
        <v>0</v>
      </c>
      <c r="C256" s="2">
        <f t="shared" ref="C256:T256" si="152">IF(C255=1, IF(C196&gt;0.5, 53, 54), 0)</f>
        <v>0</v>
      </c>
      <c r="D256" s="2">
        <f t="shared" si="152"/>
        <v>0</v>
      </c>
      <c r="E256" s="2">
        <f t="shared" si="152"/>
        <v>0</v>
      </c>
      <c r="F256" s="2">
        <f t="shared" si="152"/>
        <v>0</v>
      </c>
      <c r="G256" s="2">
        <f t="shared" si="152"/>
        <v>0</v>
      </c>
      <c r="H256" s="2">
        <f t="shared" si="152"/>
        <v>0</v>
      </c>
      <c r="I256" s="2">
        <f t="shared" si="152"/>
        <v>0</v>
      </c>
      <c r="J256" s="2">
        <f t="shared" si="152"/>
        <v>0</v>
      </c>
      <c r="K256" s="2">
        <f t="shared" si="152"/>
        <v>0</v>
      </c>
      <c r="L256" s="2">
        <f t="shared" si="152"/>
        <v>0</v>
      </c>
      <c r="M256" s="2">
        <f t="shared" si="152"/>
        <v>0</v>
      </c>
      <c r="N256" s="2">
        <f t="shared" si="152"/>
        <v>0</v>
      </c>
      <c r="O256" s="2">
        <f t="shared" si="152"/>
        <v>0</v>
      </c>
      <c r="P256" s="2">
        <f t="shared" si="152"/>
        <v>0</v>
      </c>
      <c r="Q256" s="2">
        <f t="shared" si="152"/>
        <v>0</v>
      </c>
      <c r="R256" s="2">
        <f t="shared" si="152"/>
        <v>0</v>
      </c>
      <c r="S256" s="2">
        <f t="shared" si="152"/>
        <v>0</v>
      </c>
      <c r="T256" s="2">
        <f t="shared" si="152"/>
        <v>0</v>
      </c>
    </row>
    <row r="257" spans="1:20">
      <c r="A257" s="1" t="s">
        <v>54</v>
      </c>
      <c r="B257" s="2">
        <f>IF(B252=1, IF(B197&lt;=6.5, 1, 0), 0)</f>
        <v>0</v>
      </c>
      <c r="C257" s="2">
        <f t="shared" ref="C257:T257" si="153">IF(C252=1, IF(C197&lt;=6.5, 1, 0), 0)</f>
        <v>0</v>
      </c>
      <c r="D257" s="2">
        <f t="shared" si="153"/>
        <v>0</v>
      </c>
      <c r="E257" s="2">
        <f t="shared" si="153"/>
        <v>0</v>
      </c>
      <c r="F257" s="2">
        <f t="shared" si="153"/>
        <v>0</v>
      </c>
      <c r="G257" s="2">
        <f t="shared" si="153"/>
        <v>0</v>
      </c>
      <c r="H257" s="2">
        <f t="shared" si="153"/>
        <v>0</v>
      </c>
      <c r="I257" s="2">
        <f t="shared" si="153"/>
        <v>0</v>
      </c>
      <c r="J257" s="2">
        <f t="shared" si="153"/>
        <v>0</v>
      </c>
      <c r="K257" s="2">
        <f t="shared" si="153"/>
        <v>0</v>
      </c>
      <c r="L257" s="2">
        <f t="shared" si="153"/>
        <v>0</v>
      </c>
      <c r="M257" s="2">
        <f t="shared" si="153"/>
        <v>0</v>
      </c>
      <c r="N257" s="2">
        <f t="shared" si="153"/>
        <v>0</v>
      </c>
      <c r="O257" s="2">
        <f t="shared" si="153"/>
        <v>0</v>
      </c>
      <c r="P257" s="2">
        <f t="shared" si="153"/>
        <v>0</v>
      </c>
      <c r="Q257" s="2">
        <f t="shared" si="153"/>
        <v>0</v>
      </c>
      <c r="R257" s="2">
        <f t="shared" si="153"/>
        <v>0</v>
      </c>
      <c r="S257" s="2">
        <f t="shared" si="153"/>
        <v>0</v>
      </c>
      <c r="T257" s="2">
        <f t="shared" si="153"/>
        <v>0</v>
      </c>
    </row>
    <row r="258" spans="1:20">
      <c r="A258" s="37" t="s">
        <v>147</v>
      </c>
      <c r="B258" s="2">
        <f>IF(B257=1, IF(B196&gt;0.5, 55, 56), 0)</f>
        <v>0</v>
      </c>
      <c r="C258" s="2">
        <f t="shared" ref="C258:T258" si="154">IF(C257=1, IF(C196&gt;0.5, 55, 56), 0)</f>
        <v>0</v>
      </c>
      <c r="D258" s="2">
        <f t="shared" si="154"/>
        <v>0</v>
      </c>
      <c r="E258" s="2">
        <f t="shared" si="154"/>
        <v>0</v>
      </c>
      <c r="F258" s="2">
        <f t="shared" si="154"/>
        <v>0</v>
      </c>
      <c r="G258" s="2">
        <f t="shared" si="154"/>
        <v>0</v>
      </c>
      <c r="H258" s="2">
        <f t="shared" si="154"/>
        <v>0</v>
      </c>
      <c r="I258" s="2">
        <f t="shared" si="154"/>
        <v>0</v>
      </c>
      <c r="J258" s="2">
        <f t="shared" si="154"/>
        <v>0</v>
      </c>
      <c r="K258" s="2">
        <f t="shared" si="154"/>
        <v>0</v>
      </c>
      <c r="L258" s="2">
        <f t="shared" si="154"/>
        <v>0</v>
      </c>
      <c r="M258" s="2">
        <f t="shared" si="154"/>
        <v>0</v>
      </c>
      <c r="N258" s="2">
        <f t="shared" si="154"/>
        <v>0</v>
      </c>
      <c r="O258" s="2">
        <f t="shared" si="154"/>
        <v>0</v>
      </c>
      <c r="P258" s="2">
        <f t="shared" si="154"/>
        <v>0</v>
      </c>
      <c r="Q258" s="2">
        <f t="shared" si="154"/>
        <v>0</v>
      </c>
      <c r="R258" s="2">
        <f t="shared" si="154"/>
        <v>0</v>
      </c>
      <c r="S258" s="2">
        <f t="shared" si="154"/>
        <v>0</v>
      </c>
      <c r="T258" s="2">
        <f t="shared" si="154"/>
        <v>0</v>
      </c>
    </row>
    <row r="259" spans="1:20">
      <c r="A259" s="43" t="s">
        <v>148</v>
      </c>
    </row>
    <row r="260" spans="1:20">
      <c r="A260" s="48" t="s">
        <v>170</v>
      </c>
      <c r="B260" s="2">
        <f>IF(B194&gt;=1.34, 1, 0)</f>
        <v>0</v>
      </c>
      <c r="C260" s="2">
        <f t="shared" ref="C260:T260" si="155">IF(C194&gt;=1.34, 1, 0)</f>
        <v>0</v>
      </c>
      <c r="D260" s="2">
        <f t="shared" si="155"/>
        <v>0</v>
      </c>
      <c r="E260" s="2">
        <f t="shared" si="155"/>
        <v>0</v>
      </c>
      <c r="F260" s="2">
        <f t="shared" si="155"/>
        <v>0</v>
      </c>
      <c r="G260" s="2">
        <f t="shared" si="155"/>
        <v>0</v>
      </c>
      <c r="H260" s="2">
        <f t="shared" si="155"/>
        <v>0</v>
      </c>
      <c r="I260" s="2">
        <f t="shared" si="155"/>
        <v>0</v>
      </c>
      <c r="J260" s="2">
        <f t="shared" si="155"/>
        <v>0</v>
      </c>
      <c r="K260" s="2">
        <f t="shared" si="155"/>
        <v>0</v>
      </c>
      <c r="L260" s="2">
        <f t="shared" si="155"/>
        <v>0</v>
      </c>
      <c r="M260" s="2">
        <f t="shared" si="155"/>
        <v>0</v>
      </c>
      <c r="N260" s="2">
        <f t="shared" si="155"/>
        <v>0</v>
      </c>
      <c r="O260" s="2">
        <f t="shared" si="155"/>
        <v>0</v>
      </c>
      <c r="P260" s="2">
        <f t="shared" si="155"/>
        <v>0</v>
      </c>
      <c r="Q260" s="2">
        <f t="shared" si="155"/>
        <v>0</v>
      </c>
      <c r="R260" s="2">
        <f t="shared" si="155"/>
        <v>0</v>
      </c>
      <c r="S260" s="2">
        <f t="shared" si="155"/>
        <v>0</v>
      </c>
      <c r="T260" s="2">
        <f t="shared" si="155"/>
        <v>0</v>
      </c>
    </row>
    <row r="261" spans="1:20">
      <c r="A261" s="38" t="s">
        <v>149</v>
      </c>
      <c r="B261" s="2">
        <f>IF(B260=1, IF(B195&gt;0.5, 1, 0), 0)</f>
        <v>0</v>
      </c>
      <c r="C261" s="2">
        <f t="shared" ref="C261:T261" si="156">IF(C260=1, IF(C195&gt;0.5, 1, 0), 0)</f>
        <v>0</v>
      </c>
      <c r="D261" s="2">
        <f t="shared" si="156"/>
        <v>0</v>
      </c>
      <c r="E261" s="2">
        <f t="shared" si="156"/>
        <v>0</v>
      </c>
      <c r="F261" s="2">
        <f t="shared" si="156"/>
        <v>0</v>
      </c>
      <c r="G261" s="2">
        <f t="shared" si="156"/>
        <v>0</v>
      </c>
      <c r="H261" s="2">
        <f t="shared" si="156"/>
        <v>0</v>
      </c>
      <c r="I261" s="2">
        <f t="shared" si="156"/>
        <v>0</v>
      </c>
      <c r="J261" s="2">
        <f t="shared" si="156"/>
        <v>0</v>
      </c>
      <c r="K261" s="2">
        <f t="shared" si="156"/>
        <v>0</v>
      </c>
      <c r="L261" s="2">
        <f t="shared" si="156"/>
        <v>0</v>
      </c>
      <c r="M261" s="2">
        <f t="shared" si="156"/>
        <v>0</v>
      </c>
      <c r="N261" s="2">
        <f t="shared" si="156"/>
        <v>0</v>
      </c>
      <c r="O261" s="2">
        <f t="shared" si="156"/>
        <v>0</v>
      </c>
      <c r="P261" s="2">
        <f t="shared" si="156"/>
        <v>0</v>
      </c>
      <c r="Q261" s="2">
        <f t="shared" si="156"/>
        <v>0</v>
      </c>
      <c r="R261" s="2">
        <f t="shared" si="156"/>
        <v>0</v>
      </c>
      <c r="S261" s="2">
        <f t="shared" si="156"/>
        <v>0</v>
      </c>
      <c r="T261" s="2">
        <f t="shared" si="156"/>
        <v>0</v>
      </c>
    </row>
    <row r="262" spans="1:20">
      <c r="A262" s="1" t="s">
        <v>135</v>
      </c>
      <c r="B262" s="2">
        <f>IF(B261=1, IF(B199&lt;0.5, 1, 0), 0)</f>
        <v>0</v>
      </c>
      <c r="C262" s="2">
        <f t="shared" ref="C262:T262" si="157">IF(C261=1, IF(C199&lt;0.5, 1, 0), 0)</f>
        <v>0</v>
      </c>
      <c r="D262" s="2">
        <f t="shared" si="157"/>
        <v>0</v>
      </c>
      <c r="E262" s="2">
        <f t="shared" si="157"/>
        <v>0</v>
      </c>
      <c r="F262" s="2">
        <f t="shared" si="157"/>
        <v>0</v>
      </c>
      <c r="G262" s="2">
        <f t="shared" si="157"/>
        <v>0</v>
      </c>
      <c r="H262" s="2">
        <f t="shared" si="157"/>
        <v>0</v>
      </c>
      <c r="I262" s="2">
        <f t="shared" si="157"/>
        <v>0</v>
      </c>
      <c r="J262" s="2">
        <f t="shared" si="157"/>
        <v>0</v>
      </c>
      <c r="K262" s="2">
        <f t="shared" si="157"/>
        <v>0</v>
      </c>
      <c r="L262" s="2">
        <f t="shared" si="157"/>
        <v>0</v>
      </c>
      <c r="M262" s="2">
        <f t="shared" si="157"/>
        <v>0</v>
      </c>
      <c r="N262" s="2">
        <f t="shared" si="157"/>
        <v>0</v>
      </c>
      <c r="O262" s="2">
        <f t="shared" si="157"/>
        <v>0</v>
      </c>
      <c r="P262" s="2">
        <f t="shared" si="157"/>
        <v>0</v>
      </c>
      <c r="Q262" s="2">
        <f t="shared" si="157"/>
        <v>0</v>
      </c>
      <c r="R262" s="2">
        <f t="shared" si="157"/>
        <v>0</v>
      </c>
      <c r="S262" s="2">
        <f t="shared" si="157"/>
        <v>0</v>
      </c>
      <c r="T262" s="2">
        <f t="shared" si="157"/>
        <v>0</v>
      </c>
    </row>
    <row r="263" spans="1:20">
      <c r="A263" s="37" t="s">
        <v>150</v>
      </c>
      <c r="B263" s="2">
        <f>IF(B262=1, IF(B196&gt;0.5, 57, 58), 0)</f>
        <v>0</v>
      </c>
      <c r="C263" s="2">
        <f t="shared" ref="C263:T263" si="158">IF(C262=1, IF(C196&gt;0.5, 57, 58), 0)</f>
        <v>0</v>
      </c>
      <c r="D263" s="2">
        <f t="shared" si="158"/>
        <v>0</v>
      </c>
      <c r="E263" s="2">
        <f t="shared" si="158"/>
        <v>0</v>
      </c>
      <c r="F263" s="2">
        <f t="shared" si="158"/>
        <v>0</v>
      </c>
      <c r="G263" s="2">
        <f t="shared" si="158"/>
        <v>0</v>
      </c>
      <c r="H263" s="2">
        <f t="shared" si="158"/>
        <v>0</v>
      </c>
      <c r="I263" s="2">
        <f t="shared" si="158"/>
        <v>0</v>
      </c>
      <c r="J263" s="2">
        <f t="shared" si="158"/>
        <v>0</v>
      </c>
      <c r="K263" s="2">
        <f t="shared" si="158"/>
        <v>0</v>
      </c>
      <c r="L263" s="2">
        <f t="shared" si="158"/>
        <v>0</v>
      </c>
      <c r="M263" s="2">
        <f t="shared" si="158"/>
        <v>0</v>
      </c>
      <c r="N263" s="2">
        <f t="shared" si="158"/>
        <v>0</v>
      </c>
      <c r="O263" s="2">
        <f t="shared" si="158"/>
        <v>0</v>
      </c>
      <c r="P263" s="2">
        <f t="shared" si="158"/>
        <v>0</v>
      </c>
      <c r="Q263" s="2">
        <f t="shared" si="158"/>
        <v>0</v>
      </c>
      <c r="R263" s="2">
        <f t="shared" si="158"/>
        <v>0</v>
      </c>
      <c r="S263" s="2">
        <f t="shared" si="158"/>
        <v>0</v>
      </c>
      <c r="T263" s="2">
        <f t="shared" si="158"/>
        <v>0</v>
      </c>
    </row>
    <row r="264" spans="1:20">
      <c r="A264" s="1" t="s">
        <v>151</v>
      </c>
      <c r="B264" s="2">
        <f>IF(B261=1, IF(B199&gt;0.5, 1, 0), 0)</f>
        <v>0</v>
      </c>
      <c r="C264" s="2">
        <f t="shared" ref="C264:T264" si="159">IF(C261=1, IF(C199&gt;0.5, 1, 0), 0)</f>
        <v>0</v>
      </c>
      <c r="D264" s="2">
        <f t="shared" si="159"/>
        <v>0</v>
      </c>
      <c r="E264" s="2">
        <f t="shared" si="159"/>
        <v>0</v>
      </c>
      <c r="F264" s="2">
        <f t="shared" si="159"/>
        <v>0</v>
      </c>
      <c r="G264" s="2">
        <f t="shared" si="159"/>
        <v>0</v>
      </c>
      <c r="H264" s="2">
        <f t="shared" si="159"/>
        <v>0</v>
      </c>
      <c r="I264" s="2">
        <f t="shared" si="159"/>
        <v>0</v>
      </c>
      <c r="J264" s="2">
        <f t="shared" si="159"/>
        <v>0</v>
      </c>
      <c r="K264" s="2">
        <f t="shared" si="159"/>
        <v>0</v>
      </c>
      <c r="L264" s="2">
        <f t="shared" si="159"/>
        <v>0</v>
      </c>
      <c r="M264" s="2">
        <f t="shared" si="159"/>
        <v>0</v>
      </c>
      <c r="N264" s="2">
        <f t="shared" si="159"/>
        <v>0</v>
      </c>
      <c r="O264" s="2">
        <f t="shared" si="159"/>
        <v>0</v>
      </c>
      <c r="P264" s="2">
        <f t="shared" si="159"/>
        <v>0</v>
      </c>
      <c r="Q264" s="2">
        <f t="shared" si="159"/>
        <v>0</v>
      </c>
      <c r="R264" s="2">
        <f t="shared" si="159"/>
        <v>0</v>
      </c>
      <c r="S264" s="2">
        <f t="shared" si="159"/>
        <v>0</v>
      </c>
      <c r="T264" s="2">
        <f t="shared" si="159"/>
        <v>0</v>
      </c>
    </row>
    <row r="265" spans="1:20">
      <c r="A265" s="37" t="s">
        <v>136</v>
      </c>
      <c r="B265" s="2">
        <f>IF(B264=1, IF(B196&gt;0.5, 59, 60), 0)</f>
        <v>0</v>
      </c>
      <c r="C265" s="2">
        <f t="shared" ref="C265:T265" si="160">IF(C264=1, IF(C196&gt;0.5, 59, 60), 0)</f>
        <v>0</v>
      </c>
      <c r="D265" s="2">
        <f t="shared" si="160"/>
        <v>0</v>
      </c>
      <c r="E265" s="2">
        <f t="shared" si="160"/>
        <v>0</v>
      </c>
      <c r="F265" s="2">
        <f t="shared" si="160"/>
        <v>0</v>
      </c>
      <c r="G265" s="2">
        <f t="shared" si="160"/>
        <v>0</v>
      </c>
      <c r="H265" s="2">
        <f t="shared" si="160"/>
        <v>0</v>
      </c>
      <c r="I265" s="2">
        <f t="shared" si="160"/>
        <v>0</v>
      </c>
      <c r="J265" s="2">
        <f t="shared" si="160"/>
        <v>0</v>
      </c>
      <c r="K265" s="2">
        <f t="shared" si="160"/>
        <v>0</v>
      </c>
      <c r="L265" s="2">
        <f t="shared" si="160"/>
        <v>0</v>
      </c>
      <c r="M265" s="2">
        <f t="shared" si="160"/>
        <v>0</v>
      </c>
      <c r="N265" s="2">
        <f t="shared" si="160"/>
        <v>0</v>
      </c>
      <c r="O265" s="2">
        <f t="shared" si="160"/>
        <v>0</v>
      </c>
      <c r="P265" s="2">
        <f t="shared" si="160"/>
        <v>0</v>
      </c>
      <c r="Q265" s="2">
        <f t="shared" si="160"/>
        <v>0</v>
      </c>
      <c r="R265" s="2">
        <f t="shared" si="160"/>
        <v>0</v>
      </c>
      <c r="S265" s="2">
        <f t="shared" si="160"/>
        <v>0</v>
      </c>
      <c r="T265" s="2">
        <f t="shared" si="160"/>
        <v>0</v>
      </c>
    </row>
    <row r="266" spans="1:20">
      <c r="A266" s="38" t="s">
        <v>137</v>
      </c>
      <c r="B266" s="2">
        <f>IF(B260=1, IF(B195&gt;=0.5, 1, 0), 0)</f>
        <v>0</v>
      </c>
      <c r="C266" s="2">
        <f t="shared" ref="C266:T266" si="161">IF(C260=1, IF(C195&gt;=0.5, 1, 0), 0)</f>
        <v>0</v>
      </c>
      <c r="D266" s="2">
        <f t="shared" si="161"/>
        <v>0</v>
      </c>
      <c r="E266" s="2">
        <f t="shared" si="161"/>
        <v>0</v>
      </c>
      <c r="F266" s="2">
        <f t="shared" si="161"/>
        <v>0</v>
      </c>
      <c r="G266" s="2">
        <f t="shared" si="161"/>
        <v>0</v>
      </c>
      <c r="H266" s="2">
        <f t="shared" si="161"/>
        <v>0</v>
      </c>
      <c r="I266" s="2">
        <f t="shared" si="161"/>
        <v>0</v>
      </c>
      <c r="J266" s="2">
        <f t="shared" si="161"/>
        <v>0</v>
      </c>
      <c r="K266" s="2">
        <f t="shared" si="161"/>
        <v>0</v>
      </c>
      <c r="L266" s="2">
        <f t="shared" si="161"/>
        <v>0</v>
      </c>
      <c r="M266" s="2">
        <f t="shared" si="161"/>
        <v>0</v>
      </c>
      <c r="N266" s="2">
        <f t="shared" si="161"/>
        <v>0</v>
      </c>
      <c r="O266" s="2">
        <f t="shared" si="161"/>
        <v>0</v>
      </c>
      <c r="P266" s="2">
        <f t="shared" si="161"/>
        <v>0</v>
      </c>
      <c r="Q266" s="2">
        <f t="shared" si="161"/>
        <v>0</v>
      </c>
      <c r="R266" s="2">
        <f t="shared" si="161"/>
        <v>0</v>
      </c>
      <c r="S266" s="2">
        <f t="shared" si="161"/>
        <v>0</v>
      </c>
      <c r="T266" s="2">
        <f t="shared" si="161"/>
        <v>0</v>
      </c>
    </row>
    <row r="267" spans="1:20">
      <c r="A267" s="1" t="s">
        <v>138</v>
      </c>
      <c r="B267" s="2">
        <f>IF(B266=1, IF(B199&lt;0.3, 1, 0), 0)</f>
        <v>0</v>
      </c>
      <c r="C267" s="2">
        <f t="shared" ref="C267:T267" si="162">IF(C266=1, IF(C199&lt;0.3, 1, 0), 0)</f>
        <v>0</v>
      </c>
      <c r="D267" s="2">
        <f t="shared" si="162"/>
        <v>0</v>
      </c>
      <c r="E267" s="2">
        <f t="shared" si="162"/>
        <v>0</v>
      </c>
      <c r="F267" s="2">
        <f t="shared" si="162"/>
        <v>0</v>
      </c>
      <c r="G267" s="2">
        <f t="shared" si="162"/>
        <v>0</v>
      </c>
      <c r="H267" s="2">
        <f t="shared" si="162"/>
        <v>0</v>
      </c>
      <c r="I267" s="2">
        <f t="shared" si="162"/>
        <v>0</v>
      </c>
      <c r="J267" s="2">
        <f t="shared" si="162"/>
        <v>0</v>
      </c>
      <c r="K267" s="2">
        <f t="shared" si="162"/>
        <v>0</v>
      </c>
      <c r="L267" s="2">
        <f t="shared" si="162"/>
        <v>0</v>
      </c>
      <c r="M267" s="2">
        <f t="shared" si="162"/>
        <v>0</v>
      </c>
      <c r="N267" s="2">
        <f t="shared" si="162"/>
        <v>0</v>
      </c>
      <c r="O267" s="2">
        <f t="shared" si="162"/>
        <v>0</v>
      </c>
      <c r="P267" s="2">
        <f t="shared" si="162"/>
        <v>0</v>
      </c>
      <c r="Q267" s="2">
        <f t="shared" si="162"/>
        <v>0</v>
      </c>
      <c r="R267" s="2">
        <f t="shared" si="162"/>
        <v>0</v>
      </c>
      <c r="S267" s="2">
        <f t="shared" si="162"/>
        <v>0</v>
      </c>
      <c r="T267" s="2">
        <f t="shared" si="162"/>
        <v>0</v>
      </c>
    </row>
    <row r="268" spans="1:20">
      <c r="A268" s="37" t="s">
        <v>139</v>
      </c>
      <c r="B268" s="2">
        <f>IF(B267=1, IF(B196&gt;0.5, 61, 62), 0)</f>
        <v>0</v>
      </c>
      <c r="C268" s="2">
        <f t="shared" ref="C268:T268" si="163">IF(C267=1, IF(C196&gt;0.5, 61, 62), 0)</f>
        <v>0</v>
      </c>
      <c r="D268" s="2">
        <f t="shared" si="163"/>
        <v>0</v>
      </c>
      <c r="E268" s="2">
        <f t="shared" si="163"/>
        <v>0</v>
      </c>
      <c r="F268" s="2">
        <f t="shared" si="163"/>
        <v>0</v>
      </c>
      <c r="G268" s="2">
        <f t="shared" si="163"/>
        <v>0</v>
      </c>
      <c r="H268" s="2">
        <f t="shared" si="163"/>
        <v>0</v>
      </c>
      <c r="I268" s="2">
        <f t="shared" si="163"/>
        <v>0</v>
      </c>
      <c r="J268" s="2">
        <f t="shared" si="163"/>
        <v>0</v>
      </c>
      <c r="K268" s="2">
        <f t="shared" si="163"/>
        <v>0</v>
      </c>
      <c r="L268" s="2">
        <f t="shared" si="163"/>
        <v>0</v>
      </c>
      <c r="M268" s="2">
        <f t="shared" si="163"/>
        <v>0</v>
      </c>
      <c r="N268" s="2">
        <f t="shared" si="163"/>
        <v>0</v>
      </c>
      <c r="O268" s="2">
        <f t="shared" si="163"/>
        <v>0</v>
      </c>
      <c r="P268" s="2">
        <f t="shared" si="163"/>
        <v>0</v>
      </c>
      <c r="Q268" s="2">
        <f t="shared" si="163"/>
        <v>0</v>
      </c>
      <c r="R268" s="2">
        <f t="shared" si="163"/>
        <v>0</v>
      </c>
      <c r="S268" s="2">
        <f t="shared" si="163"/>
        <v>0</v>
      </c>
      <c r="T268" s="2">
        <f t="shared" si="163"/>
        <v>0</v>
      </c>
    </row>
    <row r="269" spans="1:20">
      <c r="A269" s="1" t="s">
        <v>140</v>
      </c>
      <c r="B269" s="2">
        <f>IF(B266=1,IF(B199&gt;0.3,IF(B199&lt;=0.7,1,0),0),0)</f>
        <v>0</v>
      </c>
      <c r="C269" s="2">
        <f t="shared" ref="C269:T269" si="164">IF(C266=1,IF(C199&gt;0.3,IF(C199&lt;=0.7,1,0),0),0)</f>
        <v>0</v>
      </c>
      <c r="D269" s="2">
        <f t="shared" si="164"/>
        <v>0</v>
      </c>
      <c r="E269" s="2">
        <f t="shared" si="164"/>
        <v>0</v>
      </c>
      <c r="F269" s="2">
        <f t="shared" si="164"/>
        <v>0</v>
      </c>
      <c r="G269" s="2">
        <f t="shared" si="164"/>
        <v>0</v>
      </c>
      <c r="H269" s="2">
        <f t="shared" si="164"/>
        <v>0</v>
      </c>
      <c r="I269" s="2">
        <f t="shared" si="164"/>
        <v>0</v>
      </c>
      <c r="J269" s="2">
        <f t="shared" si="164"/>
        <v>0</v>
      </c>
      <c r="K269" s="2">
        <f t="shared" si="164"/>
        <v>0</v>
      </c>
      <c r="L269" s="2">
        <f t="shared" si="164"/>
        <v>0</v>
      </c>
      <c r="M269" s="2">
        <f t="shared" si="164"/>
        <v>0</v>
      </c>
      <c r="N269" s="2">
        <f t="shared" si="164"/>
        <v>0</v>
      </c>
      <c r="O269" s="2">
        <f t="shared" si="164"/>
        <v>0</v>
      </c>
      <c r="P269" s="2">
        <f t="shared" si="164"/>
        <v>0</v>
      </c>
      <c r="Q269" s="2">
        <f t="shared" si="164"/>
        <v>0</v>
      </c>
      <c r="R269" s="2">
        <f t="shared" si="164"/>
        <v>0</v>
      </c>
      <c r="S269" s="2">
        <f t="shared" si="164"/>
        <v>0</v>
      </c>
      <c r="T269" s="2">
        <f t="shared" si="164"/>
        <v>0</v>
      </c>
    </row>
    <row r="270" spans="1:20">
      <c r="A270" s="37" t="s">
        <v>141</v>
      </c>
      <c r="B270" s="2">
        <f>IF(B269=1, 63, 0)</f>
        <v>0</v>
      </c>
      <c r="C270" s="2">
        <f t="shared" ref="C270:T270" si="165">IF(C269=1, 63, 0)</f>
        <v>0</v>
      </c>
      <c r="D270" s="2">
        <f t="shared" si="165"/>
        <v>0</v>
      </c>
      <c r="E270" s="2">
        <f t="shared" si="165"/>
        <v>0</v>
      </c>
      <c r="F270" s="2">
        <f t="shared" si="165"/>
        <v>0</v>
      </c>
      <c r="G270" s="2">
        <f t="shared" si="165"/>
        <v>0</v>
      </c>
      <c r="H270" s="2">
        <f t="shared" si="165"/>
        <v>0</v>
      </c>
      <c r="I270" s="2">
        <f t="shared" si="165"/>
        <v>0</v>
      </c>
      <c r="J270" s="2">
        <f t="shared" si="165"/>
        <v>0</v>
      </c>
      <c r="K270" s="2">
        <f t="shared" si="165"/>
        <v>0</v>
      </c>
      <c r="L270" s="2">
        <f t="shared" si="165"/>
        <v>0</v>
      </c>
      <c r="M270" s="2">
        <f t="shared" si="165"/>
        <v>0</v>
      </c>
      <c r="N270" s="2">
        <f t="shared" si="165"/>
        <v>0</v>
      </c>
      <c r="O270" s="2">
        <f t="shared" si="165"/>
        <v>0</v>
      </c>
      <c r="P270" s="2">
        <f t="shared" si="165"/>
        <v>0</v>
      </c>
      <c r="Q270" s="2">
        <f t="shared" si="165"/>
        <v>0</v>
      </c>
      <c r="R270" s="2">
        <f t="shared" si="165"/>
        <v>0</v>
      </c>
      <c r="S270" s="2">
        <f t="shared" si="165"/>
        <v>0</v>
      </c>
      <c r="T270" s="2">
        <f t="shared" si="165"/>
        <v>0</v>
      </c>
    </row>
    <row r="271" spans="1:20">
      <c r="A271" s="1" t="s">
        <v>142</v>
      </c>
      <c r="B271" s="2">
        <f>IF(B266=1, IF(B199&gt;=0.7, 1, 0), 0)</f>
        <v>0</v>
      </c>
      <c r="C271" s="2">
        <f t="shared" ref="C271:T271" si="166">IF(C266=1, IF(C199&gt;=0.7, 1, 0), 0)</f>
        <v>0</v>
      </c>
      <c r="D271" s="2">
        <f t="shared" si="166"/>
        <v>0</v>
      </c>
      <c r="E271" s="2">
        <f t="shared" si="166"/>
        <v>0</v>
      </c>
      <c r="F271" s="2">
        <f t="shared" si="166"/>
        <v>0</v>
      </c>
      <c r="G271" s="2">
        <f t="shared" si="166"/>
        <v>0</v>
      </c>
      <c r="H271" s="2">
        <f t="shared" si="166"/>
        <v>0</v>
      </c>
      <c r="I271" s="2">
        <f t="shared" si="166"/>
        <v>0</v>
      </c>
      <c r="J271" s="2">
        <f t="shared" si="166"/>
        <v>0</v>
      </c>
      <c r="K271" s="2">
        <f t="shared" si="166"/>
        <v>0</v>
      </c>
      <c r="L271" s="2">
        <f t="shared" si="166"/>
        <v>0</v>
      </c>
      <c r="M271" s="2">
        <f t="shared" si="166"/>
        <v>0</v>
      </c>
      <c r="N271" s="2">
        <f t="shared" si="166"/>
        <v>0</v>
      </c>
      <c r="O271" s="2">
        <f t="shared" si="166"/>
        <v>0</v>
      </c>
      <c r="P271" s="2">
        <f t="shared" si="166"/>
        <v>0</v>
      </c>
      <c r="Q271" s="2">
        <f t="shared" si="166"/>
        <v>0</v>
      </c>
      <c r="R271" s="2">
        <f t="shared" si="166"/>
        <v>0</v>
      </c>
      <c r="S271" s="2">
        <f t="shared" si="166"/>
        <v>0</v>
      </c>
      <c r="T271" s="2">
        <f t="shared" si="166"/>
        <v>0</v>
      </c>
    </row>
    <row r="272" spans="1:20">
      <c r="A272" s="37" t="s">
        <v>143</v>
      </c>
      <c r="B272" s="2">
        <f>IF(B271=1, IF(B196&gt;0.5, 64, 65), 0)</f>
        <v>0</v>
      </c>
      <c r="C272" s="2">
        <f t="shared" ref="C272:T272" si="167">IF(C271=1, IF(C196&gt;0.5, 64, 65), 0)</f>
        <v>0</v>
      </c>
      <c r="D272" s="2">
        <f t="shared" si="167"/>
        <v>0</v>
      </c>
      <c r="E272" s="2">
        <f t="shared" si="167"/>
        <v>0</v>
      </c>
      <c r="F272" s="2">
        <f t="shared" si="167"/>
        <v>0</v>
      </c>
      <c r="G272" s="2">
        <f t="shared" si="167"/>
        <v>0</v>
      </c>
      <c r="H272" s="2">
        <f t="shared" si="167"/>
        <v>0</v>
      </c>
      <c r="I272" s="2">
        <f t="shared" si="167"/>
        <v>0</v>
      </c>
      <c r="J272" s="2">
        <f t="shared" si="167"/>
        <v>0</v>
      </c>
      <c r="K272" s="2">
        <f t="shared" si="167"/>
        <v>0</v>
      </c>
      <c r="L272" s="2">
        <f t="shared" si="167"/>
        <v>0</v>
      </c>
      <c r="M272" s="2">
        <f t="shared" si="167"/>
        <v>0</v>
      </c>
      <c r="N272" s="2">
        <f t="shared" si="167"/>
        <v>0</v>
      </c>
      <c r="O272" s="2">
        <f t="shared" si="167"/>
        <v>0</v>
      </c>
      <c r="P272" s="2">
        <f t="shared" si="167"/>
        <v>0</v>
      </c>
      <c r="Q272" s="2">
        <f t="shared" si="167"/>
        <v>0</v>
      </c>
      <c r="R272" s="2">
        <f t="shared" si="167"/>
        <v>0</v>
      </c>
      <c r="S272" s="2">
        <f t="shared" si="167"/>
        <v>0</v>
      </c>
      <c r="T272" s="2">
        <f t="shared" si="167"/>
        <v>0</v>
      </c>
    </row>
    <row r="274" spans="1:20">
      <c r="A274" s="1" t="s">
        <v>144</v>
      </c>
      <c r="B274" s="3">
        <f>SUM(B203+B205+B209+B212+B214+B216+B218+B220+B224+B226+B228+B230+B232+B236+B238+B240+B242+B249+B251+B254+B256+B258+B263+B265+B268+B270+B272)</f>
        <v>17</v>
      </c>
      <c r="C274" s="3">
        <f t="shared" ref="C274:T274" si="168">SUM(C203+C205+C209+C212+C214+C216+C218+C220+C224+C226+C228+C230+C232+C236+C238+C240+C242+C249+C251+C254+C256+C258+C263+C265+C268+C270+C272)</f>
        <v>17</v>
      </c>
      <c r="D274" s="3">
        <f t="shared" si="168"/>
        <v>19</v>
      </c>
      <c r="E274" s="3">
        <f t="shared" si="168"/>
        <v>19</v>
      </c>
      <c r="F274" s="3">
        <f t="shared" si="168"/>
        <v>17</v>
      </c>
      <c r="G274" s="3">
        <f t="shared" si="168"/>
        <v>19</v>
      </c>
      <c r="H274" s="3">
        <f t="shared" si="168"/>
        <v>17</v>
      </c>
      <c r="I274" s="3">
        <f t="shared" si="168"/>
        <v>17</v>
      </c>
      <c r="J274" s="3">
        <f t="shared" si="168"/>
        <v>17</v>
      </c>
      <c r="K274" s="3">
        <f t="shared" si="168"/>
        <v>17</v>
      </c>
      <c r="L274" s="3">
        <f t="shared" si="168"/>
        <v>17</v>
      </c>
      <c r="M274" s="3">
        <f t="shared" si="168"/>
        <v>19</v>
      </c>
      <c r="N274" s="3">
        <f t="shared" si="168"/>
        <v>17</v>
      </c>
      <c r="O274" s="3">
        <f t="shared" si="168"/>
        <v>19</v>
      </c>
      <c r="P274" s="3">
        <f t="shared" si="168"/>
        <v>17</v>
      </c>
      <c r="Q274" s="3">
        <f t="shared" si="168"/>
        <v>15</v>
      </c>
      <c r="R274" s="3">
        <f t="shared" si="168"/>
        <v>30</v>
      </c>
      <c r="S274" s="3">
        <f t="shared" si="168"/>
        <v>30</v>
      </c>
      <c r="T274" s="3">
        <f t="shared" si="168"/>
        <v>30</v>
      </c>
    </row>
    <row r="275" spans="1:20">
      <c r="A275" s="1" t="s">
        <v>146</v>
      </c>
      <c r="B275" s="3">
        <f>VALUE(2)</f>
        <v>2</v>
      </c>
      <c r="C275" s="3">
        <f t="shared" ref="C275:T275" si="169">VALUE(2)</f>
        <v>2</v>
      </c>
      <c r="D275" s="3">
        <f t="shared" si="169"/>
        <v>2</v>
      </c>
      <c r="E275" s="3">
        <f t="shared" si="169"/>
        <v>2</v>
      </c>
      <c r="F275" s="3">
        <f t="shared" si="169"/>
        <v>2</v>
      </c>
      <c r="G275" s="3">
        <f t="shared" si="169"/>
        <v>2</v>
      </c>
      <c r="H275" s="3">
        <f t="shared" si="169"/>
        <v>2</v>
      </c>
      <c r="I275" s="3">
        <f t="shared" si="169"/>
        <v>2</v>
      </c>
      <c r="J275" s="3">
        <f t="shared" si="169"/>
        <v>2</v>
      </c>
      <c r="K275" s="3">
        <f t="shared" si="169"/>
        <v>2</v>
      </c>
      <c r="L275" s="3">
        <f t="shared" si="169"/>
        <v>2</v>
      </c>
      <c r="M275" s="3">
        <f t="shared" si="169"/>
        <v>2</v>
      </c>
      <c r="N275" s="3">
        <f t="shared" si="169"/>
        <v>2</v>
      </c>
      <c r="O275" s="3">
        <f t="shared" si="169"/>
        <v>2</v>
      </c>
      <c r="P275" s="3">
        <f t="shared" si="169"/>
        <v>2</v>
      </c>
      <c r="Q275" s="3">
        <f t="shared" si="169"/>
        <v>2</v>
      </c>
      <c r="R275" s="3">
        <f t="shared" si="169"/>
        <v>2</v>
      </c>
      <c r="S275" s="3">
        <f t="shared" si="169"/>
        <v>2</v>
      </c>
      <c r="T275" s="3">
        <f t="shared" si="169"/>
        <v>2</v>
      </c>
    </row>
    <row r="276" spans="1:20">
      <c r="A276" s="1" t="s">
        <v>145</v>
      </c>
      <c r="B276" s="2" t="str">
        <f>ADDRESS(B274,B275,,,"AN")</f>
        <v>AN!$B$17</v>
      </c>
      <c r="C276" s="2" t="str">
        <f t="shared" ref="C276:T276" si="170">ADDRESS(C274,C275,,,"AN")</f>
        <v>AN!$B$17</v>
      </c>
      <c r="D276" s="2" t="str">
        <f t="shared" si="170"/>
        <v>AN!$B$19</v>
      </c>
      <c r="E276" s="2" t="str">
        <f t="shared" si="170"/>
        <v>AN!$B$19</v>
      </c>
      <c r="F276" s="2" t="str">
        <f t="shared" si="170"/>
        <v>AN!$B$17</v>
      </c>
      <c r="G276" s="2" t="str">
        <f t="shared" si="170"/>
        <v>AN!$B$19</v>
      </c>
      <c r="H276" s="2" t="str">
        <f t="shared" si="170"/>
        <v>AN!$B$17</v>
      </c>
      <c r="I276" s="2" t="str">
        <f t="shared" si="170"/>
        <v>AN!$B$17</v>
      </c>
      <c r="J276" s="2" t="str">
        <f t="shared" si="170"/>
        <v>AN!$B$17</v>
      </c>
      <c r="K276" s="2" t="str">
        <f t="shared" si="170"/>
        <v>AN!$B$17</v>
      </c>
      <c r="L276" s="2" t="str">
        <f t="shared" si="170"/>
        <v>AN!$B$17</v>
      </c>
      <c r="M276" s="2" t="str">
        <f t="shared" si="170"/>
        <v>AN!$B$19</v>
      </c>
      <c r="N276" s="2" t="str">
        <f t="shared" si="170"/>
        <v>AN!$B$17</v>
      </c>
      <c r="O276" s="2" t="str">
        <f t="shared" si="170"/>
        <v>AN!$B$19</v>
      </c>
      <c r="P276" s="2" t="str">
        <f t="shared" si="170"/>
        <v>AN!$B$17</v>
      </c>
      <c r="Q276" s="2" t="str">
        <f t="shared" si="170"/>
        <v>AN!$B$15</v>
      </c>
      <c r="R276" s="2" t="str">
        <f t="shared" si="170"/>
        <v>AN!$B$30</v>
      </c>
      <c r="S276" s="2" t="str">
        <f t="shared" si="170"/>
        <v>AN!$B$30</v>
      </c>
      <c r="T276" s="2" t="str">
        <f t="shared" si="170"/>
        <v>AN!$B$30</v>
      </c>
    </row>
    <row r="277" spans="1:20">
      <c r="B277" s="40" t="str">
        <f ca="1">INDIRECT(B276)</f>
        <v xml:space="preserve">Magnesio-Hbl </v>
      </c>
      <c r="C277" s="40" t="str">
        <f t="shared" ref="C277:T277" ca="1" si="171">INDIRECT(C276)</f>
        <v xml:space="preserve">Magnesio-Hbl </v>
      </c>
      <c r="D277" s="40" t="str">
        <f t="shared" ca="1" si="171"/>
        <v>Tschermakitic Hbl</v>
      </c>
      <c r="E277" s="40" t="str">
        <f t="shared" ca="1" si="171"/>
        <v>Tschermakitic Hbl</v>
      </c>
      <c r="F277" s="40" t="str">
        <f t="shared" ca="1" si="171"/>
        <v xml:space="preserve">Magnesio-Hbl </v>
      </c>
      <c r="G277" s="40" t="str">
        <f t="shared" ca="1" si="171"/>
        <v>Tschermakitic Hbl</v>
      </c>
      <c r="H277" s="40" t="str">
        <f t="shared" ca="1" si="171"/>
        <v xml:space="preserve">Magnesio-Hbl </v>
      </c>
      <c r="I277" s="40" t="str">
        <f t="shared" ca="1" si="171"/>
        <v xml:space="preserve">Magnesio-Hbl </v>
      </c>
      <c r="J277" s="40" t="str">
        <f t="shared" ca="1" si="171"/>
        <v xml:space="preserve">Magnesio-Hbl </v>
      </c>
      <c r="K277" s="40" t="str">
        <f t="shared" ca="1" si="171"/>
        <v xml:space="preserve">Magnesio-Hbl </v>
      </c>
      <c r="L277" s="40" t="str">
        <f t="shared" ca="1" si="171"/>
        <v xml:space="preserve">Magnesio-Hbl </v>
      </c>
      <c r="M277" s="40" t="str">
        <f t="shared" ca="1" si="171"/>
        <v>Tschermakitic Hbl</v>
      </c>
      <c r="N277" s="40" t="str">
        <f t="shared" ca="1" si="171"/>
        <v xml:space="preserve">Magnesio-Hbl </v>
      </c>
      <c r="O277" s="40" t="str">
        <f t="shared" ca="1" si="171"/>
        <v>Tschermakitic Hbl</v>
      </c>
      <c r="P277" s="40" t="str">
        <f t="shared" ca="1" si="171"/>
        <v xml:space="preserve">Magnesio-Hbl </v>
      </c>
      <c r="Q277" s="40" t="str">
        <f t="shared" ca="1" si="171"/>
        <v>Actinolitic Hbl</v>
      </c>
      <c r="R277" s="40" t="str">
        <f t="shared" ca="1" si="171"/>
        <v>Ferroan Paragasitic Hbl</v>
      </c>
      <c r="S277" s="40" t="str">
        <f t="shared" ca="1" si="171"/>
        <v>Ferroan Paragasitic Hbl</v>
      </c>
      <c r="T277" s="40" t="str">
        <f t="shared" ca="1" si="171"/>
        <v>Ferroan Paragasitic Hbl</v>
      </c>
    </row>
    <row r="278" spans="1:20">
      <c r="A278" s="1" t="s">
        <v>5</v>
      </c>
    </row>
    <row r="279" spans="1:20">
      <c r="A279" s="1" t="s">
        <v>5</v>
      </c>
    </row>
    <row r="280" spans="1:20">
      <c r="A280" s="1" t="s">
        <v>5</v>
      </c>
    </row>
    <row r="281" spans="1:20">
      <c r="A281" s="1" t="s">
        <v>5</v>
      </c>
    </row>
    <row r="282" spans="1:20">
      <c r="A282" s="1" t="s">
        <v>5</v>
      </c>
    </row>
    <row r="283" spans="1:20">
      <c r="A283" s="1" t="s">
        <v>4</v>
      </c>
    </row>
    <row r="284" spans="1:20">
      <c r="A284" s="1" t="s">
        <v>4</v>
      </c>
    </row>
    <row r="285" spans="1:20">
      <c r="A285" s="1" t="s">
        <v>4</v>
      </c>
    </row>
    <row r="286" spans="1:20">
      <c r="A286" s="1" t="s">
        <v>4</v>
      </c>
    </row>
    <row r="287" spans="1:20">
      <c r="A287" s="1" t="s">
        <v>4</v>
      </c>
    </row>
    <row r="288" spans="1:20">
      <c r="A288" s="1" t="s">
        <v>4</v>
      </c>
    </row>
    <row r="289" spans="1:1">
      <c r="A289" s="1" t="s">
        <v>5</v>
      </c>
    </row>
    <row r="290" spans="1:1">
      <c r="A290" s="1" t="s">
        <v>5</v>
      </c>
    </row>
    <row r="291" spans="1:1">
      <c r="A291" s="1" t="s">
        <v>4</v>
      </c>
    </row>
    <row r="292" spans="1:1">
      <c r="A292" s="1" t="s">
        <v>4</v>
      </c>
    </row>
    <row r="293" spans="1:1">
      <c r="A293" s="1" t="s">
        <v>4</v>
      </c>
    </row>
    <row r="294" spans="1:1">
      <c r="A294" s="1" t="s">
        <v>4</v>
      </c>
    </row>
    <row r="295" spans="1:1">
      <c r="A295" s="1" t="s">
        <v>4</v>
      </c>
    </row>
    <row r="296" spans="1:1">
      <c r="A296" s="1" t="s">
        <v>4</v>
      </c>
    </row>
    <row r="297" spans="1:1">
      <c r="A297" s="1" t="s">
        <v>5</v>
      </c>
    </row>
    <row r="298" spans="1:1">
      <c r="A298" s="1" t="s">
        <v>5</v>
      </c>
    </row>
    <row r="299" spans="1:1">
      <c r="A299" s="1" t="s">
        <v>5</v>
      </c>
    </row>
    <row r="300" spans="1:1">
      <c r="A300" s="1" t="s">
        <v>5</v>
      </c>
    </row>
    <row r="301" spans="1:1">
      <c r="A301" s="1" t="s">
        <v>5</v>
      </c>
    </row>
    <row r="302" spans="1:1">
      <c r="A302" s="1" t="s">
        <v>5</v>
      </c>
    </row>
    <row r="303" spans="1:1">
      <c r="A303" s="1" t="s">
        <v>1</v>
      </c>
    </row>
    <row r="304" spans="1:1">
      <c r="A304" s="1" t="s">
        <v>5</v>
      </c>
    </row>
    <row r="305" spans="1:1">
      <c r="A305" s="1" t="s">
        <v>5</v>
      </c>
    </row>
    <row r="306" spans="1:1">
      <c r="A306" s="1" t="s">
        <v>1</v>
      </c>
    </row>
    <row r="307" spans="1:1">
      <c r="A307" s="1" t="s">
        <v>1</v>
      </c>
    </row>
    <row r="308" spans="1:1">
      <c r="A308" s="1" t="s">
        <v>1</v>
      </c>
    </row>
    <row r="309" spans="1:1">
      <c r="A309" s="1" t="s">
        <v>1</v>
      </c>
    </row>
    <row r="310" spans="1:1">
      <c r="A310" s="1" t="s">
        <v>1</v>
      </c>
    </row>
    <row r="311" spans="1:1">
      <c r="A311" s="1" t="s">
        <v>1</v>
      </c>
    </row>
    <row r="312" spans="1:1">
      <c r="A312" s="1" t="s">
        <v>4</v>
      </c>
    </row>
    <row r="313" spans="1:1">
      <c r="A313" s="1" t="s">
        <v>4</v>
      </c>
    </row>
    <row r="314" spans="1:1">
      <c r="A314" s="1" t="s">
        <v>4</v>
      </c>
    </row>
    <row r="317" spans="1:1">
      <c r="A317" s="1" t="s">
        <v>4</v>
      </c>
    </row>
    <row r="318" spans="1:1">
      <c r="A318" s="1" t="s">
        <v>4</v>
      </c>
    </row>
    <row r="319" spans="1:1">
      <c r="A319" s="1" t="s">
        <v>5</v>
      </c>
    </row>
    <row r="320" spans="1:1">
      <c r="A320" s="1" t="s">
        <v>5</v>
      </c>
    </row>
    <row r="321" spans="1:1">
      <c r="A321" s="1" t="s">
        <v>5</v>
      </c>
    </row>
    <row r="322" spans="1:1">
      <c r="A322" s="1" t="s">
        <v>5</v>
      </c>
    </row>
    <row r="323" spans="1:1">
      <c r="A323" s="1" t="s">
        <v>5</v>
      </c>
    </row>
    <row r="324" spans="1:1">
      <c r="A324" s="1" t="s">
        <v>5</v>
      </c>
    </row>
    <row r="325" spans="1:1">
      <c r="A325" s="1" t="s">
        <v>5</v>
      </c>
    </row>
    <row r="326" spans="1:1">
      <c r="A326" s="1" t="s">
        <v>5</v>
      </c>
    </row>
    <row r="327" spans="1:1">
      <c r="A327" s="1" t="s">
        <v>5</v>
      </c>
    </row>
    <row r="328" spans="1:1">
      <c r="A328" s="1" t="s">
        <v>5</v>
      </c>
    </row>
    <row r="329" spans="1:1">
      <c r="A329" s="1" t="s">
        <v>5</v>
      </c>
    </row>
    <row r="330" spans="1:1">
      <c r="A330" s="1" t="s">
        <v>5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302"/>
  <sheetViews>
    <sheetView tabSelected="1" topLeftCell="A283" workbookViewId="0">
      <selection activeCell="I321" sqref="I321"/>
    </sheetView>
  </sheetViews>
  <sheetFormatPr baseColWidth="10" defaultRowHeight="13"/>
  <cols>
    <col min="1" max="1" width="35.796875" style="1" customWidth="1"/>
    <col min="2" max="2" width="21" style="54" customWidth="1"/>
    <col min="3" max="10" width="21" style="2" customWidth="1"/>
    <col min="11" max="11" width="21" style="54" customWidth="1"/>
    <col min="12" max="62" width="21" style="2" customWidth="1"/>
    <col min="63" max="72" width="11" style="2" customWidth="1"/>
    <col min="73" max="75" width="11" style="1" customWidth="1"/>
  </cols>
  <sheetData>
    <row r="1" spans="1:4">
      <c r="A1" s="1" t="s">
        <v>13</v>
      </c>
    </row>
    <row r="3" spans="1:4">
      <c r="B3" s="54" t="s">
        <v>111</v>
      </c>
      <c r="C3" s="2" t="s">
        <v>81</v>
      </c>
      <c r="D3" s="2" t="s">
        <v>112</v>
      </c>
    </row>
    <row r="4" spans="1:4">
      <c r="A4" s="1" t="s">
        <v>264</v>
      </c>
      <c r="B4" s="54">
        <v>60.08</v>
      </c>
      <c r="C4" s="2">
        <v>1</v>
      </c>
      <c r="D4" s="2">
        <v>4</v>
      </c>
    </row>
    <row r="5" spans="1:4">
      <c r="A5" s="1" t="s">
        <v>265</v>
      </c>
      <c r="B5" s="54">
        <v>79.900000000000006</v>
      </c>
      <c r="C5" s="2">
        <v>1</v>
      </c>
      <c r="D5" s="2">
        <v>4</v>
      </c>
    </row>
    <row r="6" spans="1:4">
      <c r="A6" s="1" t="s">
        <v>113</v>
      </c>
      <c r="B6" s="54">
        <v>151.99080000000001</v>
      </c>
      <c r="C6" s="2">
        <v>2</v>
      </c>
      <c r="D6" s="2">
        <v>3</v>
      </c>
    </row>
    <row r="7" spans="1:4">
      <c r="A7" s="1" t="s">
        <v>266</v>
      </c>
      <c r="B7" s="54">
        <v>101.94</v>
      </c>
      <c r="C7" s="2">
        <v>2</v>
      </c>
      <c r="D7" s="2">
        <v>3</v>
      </c>
    </row>
    <row r="8" spans="1:4">
      <c r="A8" s="1" t="s">
        <v>268</v>
      </c>
      <c r="B8" s="54">
        <v>71.849999999999994</v>
      </c>
      <c r="C8" s="2">
        <v>1</v>
      </c>
      <c r="D8" s="2">
        <v>2</v>
      </c>
    </row>
    <row r="9" spans="1:4">
      <c r="A9" s="1" t="s">
        <v>269</v>
      </c>
      <c r="B9" s="54">
        <v>70.936999999999998</v>
      </c>
      <c r="C9" s="2">
        <v>1</v>
      </c>
      <c r="D9" s="2">
        <v>2</v>
      </c>
    </row>
    <row r="10" spans="1:4">
      <c r="A10" s="1" t="s">
        <v>114</v>
      </c>
      <c r="B10" s="54">
        <v>74.709400000000002</v>
      </c>
      <c r="C10" s="2">
        <v>1</v>
      </c>
      <c r="D10" s="2">
        <v>2</v>
      </c>
    </row>
    <row r="11" spans="1:4">
      <c r="A11" s="1" t="s">
        <v>270</v>
      </c>
      <c r="B11" s="54">
        <v>40.31</v>
      </c>
      <c r="C11" s="2">
        <v>1</v>
      </c>
      <c r="D11" s="2">
        <v>2</v>
      </c>
    </row>
    <row r="12" spans="1:4">
      <c r="A12" s="1" t="s">
        <v>271</v>
      </c>
      <c r="B12" s="54">
        <v>56.08</v>
      </c>
      <c r="C12" s="2">
        <v>1</v>
      </c>
      <c r="D12" s="2">
        <v>2</v>
      </c>
    </row>
    <row r="13" spans="1:4">
      <c r="A13" s="1" t="s">
        <v>272</v>
      </c>
      <c r="B13" s="54">
        <v>61.981999999999999</v>
      </c>
      <c r="C13" s="2">
        <v>2</v>
      </c>
      <c r="D13" s="2">
        <v>1</v>
      </c>
    </row>
    <row r="14" spans="1:4">
      <c r="A14" s="1" t="s">
        <v>273</v>
      </c>
      <c r="B14" s="54">
        <v>94.2</v>
      </c>
      <c r="C14" s="2">
        <v>2</v>
      </c>
      <c r="D14" s="2">
        <v>1</v>
      </c>
    </row>
    <row r="15" spans="1:4">
      <c r="A15" s="1" t="s">
        <v>267</v>
      </c>
      <c r="B15" s="54">
        <v>159.691</v>
      </c>
      <c r="C15" s="2">
        <v>2</v>
      </c>
      <c r="D15" s="2">
        <v>3</v>
      </c>
    </row>
    <row r="16" spans="1:4">
      <c r="A16" s="1" t="s">
        <v>85</v>
      </c>
      <c r="B16" s="54">
        <v>18.015339999999998</v>
      </c>
      <c r="C16" s="2">
        <v>2</v>
      </c>
      <c r="D16" s="2">
        <v>0</v>
      </c>
    </row>
    <row r="17" spans="1:72">
      <c r="A17" s="1" t="s">
        <v>86</v>
      </c>
      <c r="B17" s="54">
        <v>18.9984</v>
      </c>
      <c r="C17" s="2">
        <v>1</v>
      </c>
      <c r="D17" s="2">
        <v>0</v>
      </c>
    </row>
    <row r="18" spans="1:72">
      <c r="A18" s="1" t="s">
        <v>87</v>
      </c>
      <c r="B18" s="54">
        <v>35.453000000000003</v>
      </c>
      <c r="C18" s="2">
        <v>1</v>
      </c>
      <c r="D18" s="2">
        <v>0</v>
      </c>
    </row>
    <row r="19" spans="1:72" ht="14" thickBot="1"/>
    <row r="20" spans="1:72">
      <c r="A20" s="12"/>
      <c r="B20" s="55"/>
      <c r="C20" s="13"/>
      <c r="D20" s="13"/>
      <c r="E20" s="13"/>
      <c r="F20" s="13"/>
      <c r="G20" s="13"/>
      <c r="H20" s="13"/>
      <c r="I20" s="13"/>
      <c r="J20" s="13"/>
      <c r="K20" s="55"/>
      <c r="L20" s="13"/>
      <c r="M20" s="13"/>
      <c r="N20" s="13"/>
      <c r="O20" s="13"/>
      <c r="P20" s="13"/>
      <c r="Q20" s="13"/>
      <c r="R20" s="13"/>
      <c r="S20" s="13"/>
      <c r="T20" s="13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27"/>
      <c r="BO20" s="16"/>
    </row>
    <row r="21" spans="1:72" s="1" customFormat="1">
      <c r="A21" s="6" t="s">
        <v>82</v>
      </c>
      <c r="B21" s="54" t="str">
        <f>Input!B1</f>
        <v xml:space="preserve">1 / 1 . </v>
      </c>
      <c r="C21" s="7" t="str">
        <f>Input!C1</f>
        <v xml:space="preserve">4 / 1 . </v>
      </c>
      <c r="D21" s="7" t="str">
        <f>Input!D1</f>
        <v xml:space="preserve">5 / 1 . </v>
      </c>
      <c r="E21" s="7" t="str">
        <f>Input!E1</f>
        <v xml:space="preserve">6 / 1 . </v>
      </c>
      <c r="F21" s="7" t="str">
        <f>Input!F1</f>
        <v xml:space="preserve">17 / 1 . </v>
      </c>
      <c r="G21" s="7" t="str">
        <f>Input!G1</f>
        <v xml:space="preserve">18 / 1 . </v>
      </c>
      <c r="H21" s="7" t="str">
        <f>Input!H1</f>
        <v xml:space="preserve">19 / 1 . </v>
      </c>
      <c r="I21" s="7" t="str">
        <f>Input!I1</f>
        <v xml:space="preserve">20 / 1 . </v>
      </c>
      <c r="J21" s="7" t="str">
        <f>Input!J1</f>
        <v xml:space="preserve">26 / 1 . </v>
      </c>
      <c r="K21" s="54" t="str">
        <f>Input!K1</f>
        <v xml:space="preserve">27 / 1 . </v>
      </c>
      <c r="L21" s="7" t="str">
        <f>Input!L1</f>
        <v xml:space="preserve">28 / 1 . </v>
      </c>
      <c r="M21" s="7" t="str">
        <f>Input!M1</f>
        <v xml:space="preserve">33 / 1 . </v>
      </c>
      <c r="N21" s="7" t="str">
        <f>Input!N1</f>
        <v xml:space="preserve">34 / 1 . </v>
      </c>
      <c r="O21" s="7" t="str">
        <f>Input!O1</f>
        <v xml:space="preserve">35 / 1 . </v>
      </c>
      <c r="P21" s="7" t="str">
        <f>Input!P1</f>
        <v xml:space="preserve">43 / 1 . </v>
      </c>
      <c r="Q21" s="7" t="str">
        <f>Input!Q1</f>
        <v xml:space="preserve">44 / 1 . </v>
      </c>
      <c r="R21" s="7" t="str">
        <f>Input!R1</f>
        <v xml:space="preserve">50 / 1 . </v>
      </c>
      <c r="S21" s="7" t="str">
        <f>Input!S1</f>
        <v xml:space="preserve">51 / 1 . </v>
      </c>
      <c r="T21" s="7" t="str">
        <f>Input!T1</f>
        <v xml:space="preserve">52 / 1 . </v>
      </c>
      <c r="U21" s="7" t="str">
        <f>Input!U1</f>
        <v xml:space="preserve">55 / 1 . </v>
      </c>
      <c r="V21" s="7" t="str">
        <f>Input!V1</f>
        <v xml:space="preserve">56 / 1 . </v>
      </c>
      <c r="W21" s="7" t="str">
        <f>Input!W1</f>
        <v xml:space="preserve">58 / 1 . </v>
      </c>
      <c r="X21" s="7" t="str">
        <f>Input!X1</f>
        <v xml:space="preserve">59 / 1 . </v>
      </c>
      <c r="Y21" s="7" t="str">
        <f>Input!Y1</f>
        <v xml:space="preserve">60 / 1 . </v>
      </c>
      <c r="Z21" s="7" t="str">
        <f>Input!Z1</f>
        <v xml:space="preserve">61 / 1 . </v>
      </c>
      <c r="AA21" s="7" t="str">
        <f>Input!AA1</f>
        <v xml:space="preserve">64 / 1 . </v>
      </c>
      <c r="AB21" s="7" t="str">
        <f>Input!AB1</f>
        <v xml:space="preserve">65 / 1 . </v>
      </c>
      <c r="AC21" s="7" t="str">
        <f>Input!AC1</f>
        <v xml:space="preserve">69 / 1 . </v>
      </c>
      <c r="AD21" s="7" t="str">
        <f>Input!AD1</f>
        <v xml:space="preserve">70 / 1 . </v>
      </c>
      <c r="AE21" s="7" t="str">
        <f>Input!AE1</f>
        <v xml:space="preserve">72 / 1 . </v>
      </c>
      <c r="AF21" s="7" t="str">
        <f>Input!AF1</f>
        <v xml:space="preserve">73 / 1 . </v>
      </c>
      <c r="AG21" s="7" t="str">
        <f>Input!AG1</f>
        <v xml:space="preserve">75 / 1 . </v>
      </c>
      <c r="AH21" s="7" t="str">
        <f>Input!AH1</f>
        <v xml:space="preserve">76 / 1 . </v>
      </c>
      <c r="AI21" s="7" t="str">
        <f>Input!AI1</f>
        <v xml:space="preserve">77 / 1 . </v>
      </c>
      <c r="AJ21" s="7" t="str">
        <f>Input!AJ1</f>
        <v xml:space="preserve">78 / 1 . </v>
      </c>
      <c r="AK21" s="7" t="str">
        <f>Input!AK1</f>
        <v xml:space="preserve">79 / 1 . </v>
      </c>
      <c r="AL21" s="7" t="str">
        <f>Input!AL1</f>
        <v xml:space="preserve">82 / 1 . </v>
      </c>
      <c r="AM21" s="7" t="str">
        <f>Input!AM1</f>
        <v xml:space="preserve">83 / 1 . </v>
      </c>
      <c r="AN21" s="7" t="str">
        <f>Input!AN1</f>
        <v xml:space="preserve">84 / 1 . </v>
      </c>
      <c r="AO21" s="7" t="str">
        <f>Input!AO1</f>
        <v xml:space="preserve">85 / 1 . </v>
      </c>
      <c r="AP21" s="7" t="str">
        <f>Input!AP1</f>
        <v xml:space="preserve">86 / 1 . </v>
      </c>
      <c r="AQ21" s="7" t="str">
        <f>Input!AQ1</f>
        <v xml:space="preserve">87 / 1 . </v>
      </c>
      <c r="AR21" s="7" t="str">
        <f>Input!AR1</f>
        <v xml:space="preserve">89 / 1 . </v>
      </c>
      <c r="AS21" s="7" t="str">
        <f>Input!AS1</f>
        <v xml:space="preserve">90 / 1 . </v>
      </c>
      <c r="AT21" s="7" t="str">
        <f>Input!AT1</f>
        <v xml:space="preserve">91 / 1 . </v>
      </c>
      <c r="AU21" s="7" t="str">
        <f>Input!AU1</f>
        <v xml:space="preserve">92 / 1 . </v>
      </c>
      <c r="AV21" s="7" t="str">
        <f>Input!AV1</f>
        <v xml:space="preserve">94 / 1 . </v>
      </c>
      <c r="AW21" s="7" t="str">
        <f>Input!AW1</f>
        <v xml:space="preserve">95 / 1 . </v>
      </c>
      <c r="AX21" s="7" t="str">
        <f>Input!AX1</f>
        <v xml:space="preserve">97 / 1 . </v>
      </c>
      <c r="AY21" s="7" t="str">
        <f>Input!AY1</f>
        <v xml:space="preserve">98 / 1 . </v>
      </c>
      <c r="AZ21" s="7" t="str">
        <f>Input!AZ1</f>
        <v xml:space="preserve">99 / 1 . </v>
      </c>
      <c r="BA21" s="7" t="str">
        <f>Input!BA1</f>
        <v xml:space="preserve">101 / 1 . </v>
      </c>
      <c r="BB21" s="7" t="str">
        <f>Input!BB1</f>
        <v xml:space="preserve">102 / 1 . </v>
      </c>
      <c r="BC21" s="7" t="str">
        <f>Input!BC1</f>
        <v xml:space="preserve">108 / 1 . </v>
      </c>
      <c r="BD21" s="7" t="str">
        <f>Input!BD1</f>
        <v xml:space="preserve">109 / 1 . </v>
      </c>
      <c r="BE21" s="7" t="str">
        <f>Input!BE1</f>
        <v xml:space="preserve">110 / 1 . </v>
      </c>
      <c r="BF21" s="7" t="str">
        <f>Input!BF1</f>
        <v xml:space="preserve">111 / 1 . </v>
      </c>
      <c r="BG21" s="7" t="str">
        <f>Input!BG1</f>
        <v xml:space="preserve">114 / 1 . </v>
      </c>
      <c r="BH21" s="7" t="str">
        <f>Input!BH1</f>
        <v xml:space="preserve">115 / 1 . </v>
      </c>
      <c r="BI21" s="7" t="str">
        <f>Input!BI1</f>
        <v xml:space="preserve">117 / 1 . </v>
      </c>
      <c r="BJ21" s="7" t="str">
        <f>Input!BJ1</f>
        <v xml:space="preserve">118 / 1 . </v>
      </c>
      <c r="BK21" s="7">
        <f>Input!BK1</f>
        <v>0</v>
      </c>
      <c r="BL21" s="7">
        <f>Input!BL1</f>
        <v>0</v>
      </c>
      <c r="BM21" s="7"/>
      <c r="BN21" s="18" t="s">
        <v>79</v>
      </c>
      <c r="BO21" s="17" t="s">
        <v>80</v>
      </c>
      <c r="BP21" s="2"/>
      <c r="BQ21" s="2"/>
      <c r="BR21" s="2"/>
      <c r="BS21" s="2"/>
      <c r="BT21" s="2"/>
    </row>
    <row r="22" spans="1:72" s="1" customFormat="1">
      <c r="A22" s="6"/>
      <c r="B22" s="54" t="str">
        <f>Input!B2</f>
        <v>YG182_test amph</v>
      </c>
      <c r="C22" s="7" t="str">
        <f>Input!C2</f>
        <v>YG182_1_AmphC</v>
      </c>
      <c r="D22" s="7" t="str">
        <f>Input!D2</f>
        <v>YG182_1_AmphB</v>
      </c>
      <c r="E22" s="7" t="str">
        <f>Input!E2</f>
        <v>YG182_1_AmphB</v>
      </c>
      <c r="F22" s="7" t="str">
        <f>Input!F2</f>
        <v>YG182_2_AmphC</v>
      </c>
      <c r="G22" s="7" t="str">
        <f>Input!G2</f>
        <v>YG182_2_AmphB</v>
      </c>
      <c r="H22" s="7" t="str">
        <f>Input!H2</f>
        <v>YG182_2_AmphC</v>
      </c>
      <c r="I22" s="7" t="str">
        <f>Input!I2</f>
        <v>YG182_2_AmphB</v>
      </c>
      <c r="J22" s="7" t="str">
        <f>Input!J2</f>
        <v>YG182_3_AmphC</v>
      </c>
      <c r="K22" s="54" t="str">
        <f>Input!K2</f>
        <v>YG182_3_AmphB</v>
      </c>
      <c r="L22" s="7" t="str">
        <f>Input!L2</f>
        <v>YG182_3_AmphB</v>
      </c>
      <c r="M22" s="7" t="str">
        <f>Input!M2</f>
        <v>YG182_4_AmpC</v>
      </c>
      <c r="N22" s="7" t="str">
        <f>Input!N2</f>
        <v>YG182_4_AmpC</v>
      </c>
      <c r="O22" s="7" t="str">
        <f>Input!O2</f>
        <v>YG182_4_AmpB</v>
      </c>
      <c r="P22" s="7" t="str">
        <f>Input!P2</f>
        <v>19NC11C_1_AmphC</v>
      </c>
      <c r="Q22" s="7" t="str">
        <f>Input!Q2</f>
        <v>19NC11C_1_AmphB</v>
      </c>
      <c r="R22" s="7" t="str">
        <f>Input!R2</f>
        <v>19NC11C_2_AmphC</v>
      </c>
      <c r="S22" s="7" t="str">
        <f>Input!S2</f>
        <v>19NC11C_2_AmphB</v>
      </c>
      <c r="T22" s="7" t="str">
        <f>Input!T2</f>
        <v>19NC11C_2_AmphB</v>
      </c>
      <c r="U22" s="7" t="str">
        <f>Input!U2</f>
        <v>19NC11C_2_AmpB</v>
      </c>
      <c r="V22" s="7" t="str">
        <f>Input!V2</f>
        <v>19NC11C_2_AmpC</v>
      </c>
      <c r="W22" s="7" t="str">
        <f>Input!W2</f>
        <v>19NC11C_3_AmphC</v>
      </c>
      <c r="X22" s="7" t="str">
        <f>Input!X2</f>
        <v>19NC11C_3_AmphB</v>
      </c>
      <c r="Y22" s="7" t="str">
        <f>Input!Y2</f>
        <v>19NC11C_4_AmphC</v>
      </c>
      <c r="Z22" s="7" t="str">
        <f>Input!Z2</f>
        <v>19NC11C_4_AmphB</v>
      </c>
      <c r="AA22" s="7" t="str">
        <f>Input!AA2</f>
        <v>SL59_1_AmphC</v>
      </c>
      <c r="AB22" s="7" t="str">
        <f>Input!AB2</f>
        <v>SL59_1_AmphB</v>
      </c>
      <c r="AC22" s="7" t="str">
        <f>Input!AC2</f>
        <v>SL59_2_AmphC</v>
      </c>
      <c r="AD22" s="7" t="str">
        <f>Input!AD2</f>
        <v>SL59_2_AmphB</v>
      </c>
      <c r="AE22" s="7" t="str">
        <f>Input!AE2</f>
        <v>SL59_3_AmphC</v>
      </c>
      <c r="AF22" s="7" t="str">
        <f>Input!AF2</f>
        <v>SL59_3_AmphB</v>
      </c>
      <c r="AG22" s="7" t="str">
        <f>Input!AG2</f>
        <v>SL59_4_AmphC</v>
      </c>
      <c r="AH22" s="7" t="str">
        <f>Input!AH2</f>
        <v>SL59_4_AmphB</v>
      </c>
      <c r="AI22" s="7" t="str">
        <f>Input!AI2</f>
        <v>SL59_4_AmphC</v>
      </c>
      <c r="AJ22" s="7" t="str">
        <f>Input!AJ2</f>
        <v>SL59_4_AmphB</v>
      </c>
      <c r="AK22" s="7" t="str">
        <f>Input!AK2</f>
        <v>19NC6D_4_AmphC</v>
      </c>
      <c r="AL22" s="7" t="str">
        <f>Input!AL2</f>
        <v>19NC6D_4_AmphC</v>
      </c>
      <c r="AM22" s="7" t="str">
        <f>Input!AM2</f>
        <v>19NC6D_3_AmphC</v>
      </c>
      <c r="AN22" s="7" t="str">
        <f>Input!AN2</f>
        <v>19NC6D_3_AmphB</v>
      </c>
      <c r="AO22" s="7" t="str">
        <f>Input!AO2</f>
        <v>19NC6D_3_AmphC</v>
      </c>
      <c r="AP22" s="7" t="str">
        <f>Input!AP2</f>
        <v>YG41_1_AmphC</v>
      </c>
      <c r="AQ22" s="7" t="str">
        <f>Input!AQ2</f>
        <v>YG41_1_AmphB</v>
      </c>
      <c r="AR22" s="7" t="str">
        <f>Input!AR2</f>
        <v>YG41_1_AmphC</v>
      </c>
      <c r="AS22" s="7" t="str">
        <f>Input!AS2</f>
        <v>YG41_1_AmphB</v>
      </c>
      <c r="AT22" s="7" t="str">
        <f>Input!AT2</f>
        <v>YG41_1_AmphC</v>
      </c>
      <c r="AU22" s="7" t="str">
        <f>Input!AU2</f>
        <v>YG41_1_AmphB</v>
      </c>
      <c r="AV22" s="7" t="str">
        <f>Input!AV2</f>
        <v>YG41_2_AmphC</v>
      </c>
      <c r="AW22" s="7" t="str">
        <f>Input!AW2</f>
        <v>YG41_3_AmphB</v>
      </c>
      <c r="AX22" s="7" t="str">
        <f>Input!AX2</f>
        <v>YG41_4_AmphC</v>
      </c>
      <c r="AY22" s="7" t="str">
        <f>Input!AY2</f>
        <v>YG41_4_AmphC</v>
      </c>
      <c r="AZ22" s="7" t="str">
        <f>Input!AZ2</f>
        <v>YG41_4_AmphB</v>
      </c>
      <c r="BA22" s="7" t="str">
        <f>Input!BA2</f>
        <v>19NC04_X_AmphC</v>
      </c>
      <c r="BB22" s="7" t="str">
        <f>Input!BB2</f>
        <v>19NC04_X_AmphB</v>
      </c>
      <c r="BC22" s="7" t="str">
        <f>Input!BC2</f>
        <v>19NC04_X_Amph</v>
      </c>
      <c r="BD22" s="7" t="str">
        <f>Input!BD2</f>
        <v>19NC04_X_Amph</v>
      </c>
      <c r="BE22" s="7" t="str">
        <f>Input!BE2</f>
        <v>19NC04_X_Amph</v>
      </c>
      <c r="BF22" s="7" t="str">
        <f>Input!BF2</f>
        <v>19NC08B_1_Amph</v>
      </c>
      <c r="BG22" s="7" t="str">
        <f>Input!BG2</f>
        <v>19NC08B_X_AmphC</v>
      </c>
      <c r="BH22" s="7" t="str">
        <f>Input!BH2</f>
        <v>19NC08B_X_AmphB</v>
      </c>
      <c r="BI22" s="7" t="str">
        <f>Input!BI2</f>
        <v>19NC08B_X_Amph</v>
      </c>
      <c r="BJ22" s="7" t="str">
        <f>Input!BJ2</f>
        <v>19NC08B_X_AmphB</v>
      </c>
      <c r="BK22" s="7">
        <f>Input!BK2</f>
        <v>0</v>
      </c>
      <c r="BL22" s="7">
        <f>Input!BL2</f>
        <v>0</v>
      </c>
      <c r="BM22" s="7"/>
      <c r="BN22" s="18"/>
      <c r="BO22" s="17"/>
      <c r="BP22" s="2"/>
      <c r="BQ22" s="2"/>
      <c r="BR22" s="2"/>
      <c r="BS22" s="2"/>
      <c r="BT22" s="2"/>
    </row>
    <row r="23" spans="1:72" s="1" customFormat="1">
      <c r="A23" s="6" t="s">
        <v>264</v>
      </c>
      <c r="B23" s="54">
        <f>Input!B3</f>
        <v>46.44</v>
      </c>
      <c r="C23" s="7">
        <f>Input!C3</f>
        <v>45.22</v>
      </c>
      <c r="D23" s="7">
        <f>Input!D3</f>
        <v>44.98</v>
      </c>
      <c r="E23" s="7">
        <f>Input!E3</f>
        <v>44.03</v>
      </c>
      <c r="F23" s="7">
        <f>Input!F3</f>
        <v>44.95</v>
      </c>
      <c r="G23" s="7">
        <f>Input!G3</f>
        <v>44.23</v>
      </c>
      <c r="H23" s="7">
        <f>Input!H3</f>
        <v>44.96</v>
      </c>
      <c r="I23" s="7">
        <f>Input!I3</f>
        <v>45.33</v>
      </c>
      <c r="J23" s="7">
        <f>Input!J3</f>
        <v>45.95</v>
      </c>
      <c r="K23" s="54">
        <f>Input!K3</f>
        <v>44.19</v>
      </c>
      <c r="L23" s="7">
        <f>Input!L3</f>
        <v>45.63</v>
      </c>
      <c r="M23" s="7">
        <f>Input!M3</f>
        <v>44.73</v>
      </c>
      <c r="N23" s="7">
        <f>Input!N3</f>
        <v>45.72</v>
      </c>
      <c r="O23" s="7">
        <f>Input!O3</f>
        <v>44.31</v>
      </c>
      <c r="P23" s="7">
        <f>Input!P3</f>
        <v>44.7</v>
      </c>
      <c r="Q23" s="7">
        <f>Input!Q3</f>
        <v>51.09</v>
      </c>
      <c r="R23" s="7">
        <f>Input!R3</f>
        <v>42.91</v>
      </c>
      <c r="S23" s="7">
        <f>Input!S3</f>
        <v>42.89</v>
      </c>
      <c r="T23" s="7">
        <f>Input!T3</f>
        <v>42.61</v>
      </c>
      <c r="U23" s="7">
        <f>Input!U3</f>
        <v>42.07</v>
      </c>
      <c r="V23" s="7">
        <f>Input!V3</f>
        <v>42.23</v>
      </c>
      <c r="W23" s="7">
        <f>Input!W3</f>
        <v>45.55</v>
      </c>
      <c r="X23" s="7">
        <f>Input!X3</f>
        <v>44.27</v>
      </c>
      <c r="Y23" s="7">
        <f>Input!Y3</f>
        <v>41.03</v>
      </c>
      <c r="Z23" s="7">
        <f>Input!Z3</f>
        <v>44.42</v>
      </c>
      <c r="AA23" s="7">
        <f>Input!AA3</f>
        <v>46.99</v>
      </c>
      <c r="AB23" s="7">
        <f>Input!AB3</f>
        <v>44.27</v>
      </c>
      <c r="AC23" s="7">
        <f>Input!AC3</f>
        <v>43.54</v>
      </c>
      <c r="AD23" s="7">
        <f>Input!AD3</f>
        <v>42.81</v>
      </c>
      <c r="AE23" s="7">
        <f>Input!AE3</f>
        <v>42.5</v>
      </c>
      <c r="AF23" s="7">
        <f>Input!AF3</f>
        <v>43.06</v>
      </c>
      <c r="AG23" s="7">
        <f>Input!AG3</f>
        <v>42.37</v>
      </c>
      <c r="AH23" s="7">
        <f>Input!AH3</f>
        <v>43.38</v>
      </c>
      <c r="AI23" s="7">
        <f>Input!AI3</f>
        <v>42.26</v>
      </c>
      <c r="AJ23" s="7">
        <f>Input!AJ3</f>
        <v>43.27</v>
      </c>
      <c r="AK23" s="7">
        <f>Input!AK3</f>
        <v>43.92</v>
      </c>
      <c r="AL23" s="7">
        <f>Input!AL3</f>
        <v>43.51</v>
      </c>
      <c r="AM23" s="7">
        <f>Input!AM3</f>
        <v>44.27</v>
      </c>
      <c r="AN23" s="7">
        <f>Input!AN3</f>
        <v>44.19</v>
      </c>
      <c r="AO23" s="7">
        <f>Input!AO3</f>
        <v>44.27</v>
      </c>
      <c r="AP23" s="7">
        <f>Input!AP3</f>
        <v>44.29</v>
      </c>
      <c r="AQ23" s="7">
        <f>Input!AQ3</f>
        <v>44.56</v>
      </c>
      <c r="AR23" s="7">
        <f>Input!AR3</f>
        <v>44.18</v>
      </c>
      <c r="AS23" s="7">
        <f>Input!AS3</f>
        <v>44.01</v>
      </c>
      <c r="AT23" s="7">
        <f>Input!AT3</f>
        <v>43.91</v>
      </c>
      <c r="AU23" s="7">
        <f>Input!AU3</f>
        <v>45.76</v>
      </c>
      <c r="AV23" s="7">
        <f>Input!AV3</f>
        <v>43.95</v>
      </c>
      <c r="AW23" s="7">
        <f>Input!AW3</f>
        <v>42.92</v>
      </c>
      <c r="AX23" s="7">
        <f>Input!AX3</f>
        <v>43.27</v>
      </c>
      <c r="AY23" s="7">
        <f>Input!AY3</f>
        <v>43.81</v>
      </c>
      <c r="AZ23" s="7">
        <f>Input!AZ3</f>
        <v>44.32</v>
      </c>
      <c r="BA23" s="7">
        <f>Input!BA3</f>
        <v>43.24</v>
      </c>
      <c r="BB23" s="7">
        <f>Input!BB3</f>
        <v>43.13</v>
      </c>
      <c r="BC23" s="7">
        <f>Input!BC3</f>
        <v>42.3</v>
      </c>
      <c r="BD23" s="7">
        <f>Input!BD3</f>
        <v>42.86</v>
      </c>
      <c r="BE23" s="7">
        <f>Input!BE3</f>
        <v>42.82</v>
      </c>
      <c r="BF23" s="7">
        <f>Input!BF3</f>
        <v>41.75</v>
      </c>
      <c r="BG23" s="7">
        <f>Input!BG3</f>
        <v>41.26</v>
      </c>
      <c r="BH23" s="7">
        <f>Input!BH3</f>
        <v>42.62</v>
      </c>
      <c r="BI23" s="7">
        <f>Input!BI3</f>
        <v>41.5</v>
      </c>
      <c r="BJ23" s="7">
        <f>Input!BJ3</f>
        <v>41.82</v>
      </c>
      <c r="BK23" s="7">
        <f>Input!BK3</f>
        <v>0</v>
      </c>
      <c r="BL23" s="7">
        <f>Input!BL3</f>
        <v>0</v>
      </c>
      <c r="BM23" s="7"/>
      <c r="BN23" s="18">
        <f t="shared" ref="BN23:BN36" si="0">AVERAGE(B23:I23)</f>
        <v>45.017499999999998</v>
      </c>
      <c r="BO23" s="17">
        <f t="shared" ref="BO23:BO36" si="1">STDEV(B23:I23)</f>
        <v>0.7335578660590738</v>
      </c>
      <c r="BP23" s="2"/>
      <c r="BQ23" s="2"/>
      <c r="BR23" s="2"/>
      <c r="BS23" s="2"/>
      <c r="BT23" s="2"/>
    </row>
    <row r="24" spans="1:72" s="1" customFormat="1">
      <c r="A24" s="6" t="s">
        <v>265</v>
      </c>
      <c r="B24" s="54">
        <f>Input!B4</f>
        <v>0.44</v>
      </c>
      <c r="C24" s="7">
        <f>Input!C4</f>
        <v>0.55000000000000004</v>
      </c>
      <c r="D24" s="7">
        <f>Input!D4</f>
        <v>0.56999999999999995</v>
      </c>
      <c r="E24" s="7">
        <f>Input!E4</f>
        <v>0.39</v>
      </c>
      <c r="F24" s="7">
        <f>Input!F4</f>
        <v>0.62</v>
      </c>
      <c r="G24" s="7">
        <f>Input!G4</f>
        <v>0.57999999999999996</v>
      </c>
      <c r="H24" s="7">
        <f>Input!H4</f>
        <v>0.6</v>
      </c>
      <c r="I24" s="7">
        <f>Input!I4</f>
        <v>0.61</v>
      </c>
      <c r="J24" s="7">
        <f>Input!J4</f>
        <v>0.49</v>
      </c>
      <c r="K24" s="54">
        <f>Input!K4</f>
        <v>0.44</v>
      </c>
      <c r="L24" s="7">
        <f>Input!L4</f>
        <v>0.6</v>
      </c>
      <c r="M24" s="7">
        <f>Input!M4</f>
        <v>0.63</v>
      </c>
      <c r="N24" s="7">
        <f>Input!N4</f>
        <v>0.63</v>
      </c>
      <c r="O24" s="7">
        <f>Input!O4</f>
        <v>0.79</v>
      </c>
      <c r="P24" s="7">
        <f>Input!P4</f>
        <v>1.37</v>
      </c>
      <c r="Q24" s="7">
        <f>Input!Q4</f>
        <v>0.08</v>
      </c>
      <c r="R24" s="7">
        <f>Input!R4</f>
        <v>1.63</v>
      </c>
      <c r="S24" s="7">
        <f>Input!S4</f>
        <v>1.59</v>
      </c>
      <c r="T24" s="7">
        <f>Input!T4</f>
        <v>1.59</v>
      </c>
      <c r="U24" s="7">
        <f>Input!U4</f>
        <v>1.55</v>
      </c>
      <c r="V24" s="7">
        <f>Input!V4</f>
        <v>1.49</v>
      </c>
      <c r="W24" s="7">
        <f>Input!W4</f>
        <v>0.85</v>
      </c>
      <c r="X24" s="7">
        <f>Input!X4</f>
        <v>0.86</v>
      </c>
      <c r="Y24" s="7">
        <f>Input!Y4</f>
        <v>1.24</v>
      </c>
      <c r="Z24" s="7">
        <f>Input!Z4</f>
        <v>0.63</v>
      </c>
      <c r="AA24" s="7">
        <f>Input!AA4</f>
        <v>0.92</v>
      </c>
      <c r="AB24" s="7">
        <f>Input!AB4</f>
        <v>2.2400000000000002</v>
      </c>
      <c r="AC24" s="7">
        <f>Input!AC4</f>
        <v>2.48</v>
      </c>
      <c r="AD24" s="7">
        <f>Input!AD4</f>
        <v>2.52</v>
      </c>
      <c r="AE24" s="7">
        <f>Input!AE4</f>
        <v>2.5299999999999998</v>
      </c>
      <c r="AF24" s="7">
        <f>Input!AF4</f>
        <v>2.5</v>
      </c>
      <c r="AG24" s="7">
        <f>Input!AG4</f>
        <v>2.63</v>
      </c>
      <c r="AH24" s="7">
        <f>Input!AH4</f>
        <v>2.34</v>
      </c>
      <c r="AI24" s="7">
        <f>Input!AI4</f>
        <v>2.63</v>
      </c>
      <c r="AJ24" s="7">
        <f>Input!AJ4</f>
        <v>2.36</v>
      </c>
      <c r="AK24" s="7">
        <f>Input!AK4</f>
        <v>0.77</v>
      </c>
      <c r="AL24" s="7">
        <f>Input!AL4</f>
        <v>0.9</v>
      </c>
      <c r="AM24" s="7">
        <f>Input!AM4</f>
        <v>0.78</v>
      </c>
      <c r="AN24" s="7">
        <f>Input!AN4</f>
        <v>0.72</v>
      </c>
      <c r="AO24" s="7">
        <f>Input!AO4</f>
        <v>0.78</v>
      </c>
      <c r="AP24" s="7">
        <f>Input!AP4</f>
        <v>0.87</v>
      </c>
      <c r="AQ24" s="7">
        <f>Input!AQ4</f>
        <v>0.95</v>
      </c>
      <c r="AR24" s="7">
        <f>Input!AR4</f>
        <v>0.88</v>
      </c>
      <c r="AS24" s="7">
        <f>Input!AS4</f>
        <v>0.97</v>
      </c>
      <c r="AT24" s="7">
        <f>Input!AT4</f>
        <v>0.93</v>
      </c>
      <c r="AU24" s="7">
        <f>Input!AU4</f>
        <v>0.6</v>
      </c>
      <c r="AV24" s="7">
        <f>Input!AV4</f>
        <v>1.05</v>
      </c>
      <c r="AW24" s="7">
        <f>Input!AW4</f>
        <v>0.8</v>
      </c>
      <c r="AX24" s="7">
        <f>Input!AX4</f>
        <v>0.76</v>
      </c>
      <c r="AY24" s="7">
        <f>Input!AY4</f>
        <v>1.04</v>
      </c>
      <c r="AZ24" s="7">
        <f>Input!AZ4</f>
        <v>0.92</v>
      </c>
      <c r="BA24" s="7">
        <f>Input!BA4</f>
        <v>1.49</v>
      </c>
      <c r="BB24" s="7">
        <f>Input!BB4</f>
        <v>1.51</v>
      </c>
      <c r="BC24" s="7">
        <f>Input!BC4</f>
        <v>1.44</v>
      </c>
      <c r="BD24" s="7">
        <f>Input!BD4</f>
        <v>1.38</v>
      </c>
      <c r="BE24" s="7">
        <f>Input!BE4</f>
        <v>1.56</v>
      </c>
      <c r="BF24" s="7">
        <f>Input!BF4</f>
        <v>1.82</v>
      </c>
      <c r="BG24" s="7">
        <f>Input!BG4</f>
        <v>1.87</v>
      </c>
      <c r="BH24" s="7">
        <f>Input!BH4</f>
        <v>1.57</v>
      </c>
      <c r="BI24" s="7">
        <f>Input!BI4</f>
        <v>1.98</v>
      </c>
      <c r="BJ24" s="7">
        <f>Input!BJ4</f>
        <v>1.94</v>
      </c>
      <c r="BK24" s="7">
        <f>Input!BK4</f>
        <v>0</v>
      </c>
      <c r="BL24" s="7">
        <f>Input!BL4</f>
        <v>0</v>
      </c>
      <c r="BM24" s="7"/>
      <c r="BN24" s="18">
        <f t="shared" si="0"/>
        <v>0.54500000000000004</v>
      </c>
      <c r="BO24" s="17">
        <f t="shared" si="1"/>
        <v>8.4346225252145648E-2</v>
      </c>
      <c r="BP24" s="2"/>
      <c r="BQ24" s="2"/>
      <c r="BR24" s="2"/>
      <c r="BS24" s="2"/>
      <c r="BT24" s="2"/>
    </row>
    <row r="25" spans="1:72" s="1" customFormat="1">
      <c r="A25" s="6" t="s">
        <v>113</v>
      </c>
      <c r="B25" s="54">
        <f>Input!B5</f>
        <v>0.05</v>
      </c>
      <c r="C25" s="7">
        <f>Input!C5</f>
        <v>0.04</v>
      </c>
      <c r="D25" s="7">
        <f>Input!D5</f>
        <v>0.03</v>
      </c>
      <c r="E25" s="7">
        <f>Input!E5</f>
        <v>0.05</v>
      </c>
      <c r="F25" s="7">
        <f>Input!F5</f>
        <v>0.03</v>
      </c>
      <c r="G25" s="7">
        <f>Input!G5</f>
        <v>0.02</v>
      </c>
      <c r="H25" s="7">
        <f>Input!H5</f>
        <v>7.0000000000000007E-2</v>
      </c>
      <c r="I25" s="7">
        <f>Input!I5</f>
        <v>0.05</v>
      </c>
      <c r="J25" s="7">
        <f>Input!J5</f>
        <v>0.06</v>
      </c>
      <c r="K25" s="54">
        <f>Input!K5</f>
        <v>0.01</v>
      </c>
      <c r="L25" s="7">
        <f>Input!L5</f>
        <v>0.05</v>
      </c>
      <c r="M25" s="7">
        <f>Input!M5</f>
        <v>0.04</v>
      </c>
      <c r="N25" s="7">
        <f>Input!N5</f>
        <v>0.06</v>
      </c>
      <c r="O25" s="7">
        <f>Input!O5</f>
        <v>0.04</v>
      </c>
      <c r="P25" s="7">
        <f>Input!P5</f>
        <v>0.09</v>
      </c>
      <c r="Q25" s="7">
        <f>Input!Q5</f>
        <v>0.02</v>
      </c>
      <c r="R25" s="7">
        <f>Input!R5</f>
        <v>0.11</v>
      </c>
      <c r="S25" s="7">
        <f>Input!S5</f>
        <v>0.11</v>
      </c>
      <c r="T25" s="7">
        <f>Input!T5</f>
        <v>0.1</v>
      </c>
      <c r="U25" s="7">
        <f>Input!U5</f>
        <v>0.11</v>
      </c>
      <c r="V25" s="7">
        <f>Input!V5</f>
        <v>0.1</v>
      </c>
      <c r="W25" s="7">
        <f>Input!W5</f>
        <v>7.0000000000000007E-2</v>
      </c>
      <c r="X25" s="7">
        <f>Input!X5</f>
        <v>7.0000000000000007E-2</v>
      </c>
      <c r="Y25" s="7">
        <f>Input!Y5</f>
        <v>0.17</v>
      </c>
      <c r="Z25" s="7">
        <f>Input!Z5</f>
        <v>0.09</v>
      </c>
      <c r="AA25" s="7">
        <f>Input!AA5</f>
        <v>0.09</v>
      </c>
      <c r="AB25" s="7">
        <f>Input!AB5</f>
        <v>0.11</v>
      </c>
      <c r="AC25" s="7">
        <f>Input!AC5</f>
        <v>0.25</v>
      </c>
      <c r="AD25" s="7">
        <f>Input!AD5</f>
        <v>0.23</v>
      </c>
      <c r="AE25" s="7">
        <f>Input!AE5</f>
        <v>0.11</v>
      </c>
      <c r="AF25" s="7">
        <f>Input!AF5</f>
        <v>0.15</v>
      </c>
      <c r="AG25" s="7">
        <f>Input!AG5</f>
        <v>0.06</v>
      </c>
      <c r="AH25" s="7">
        <f>Input!AH5</f>
        <v>0.02</v>
      </c>
      <c r="AI25" s="7">
        <f>Input!AI5</f>
        <v>0.05</v>
      </c>
      <c r="AJ25" s="7">
        <f>Input!AJ5</f>
        <v>0.04</v>
      </c>
      <c r="AK25" s="7">
        <f>Input!AK5</f>
        <v>0.02</v>
      </c>
      <c r="AL25" s="7">
        <f>Input!AL5</f>
        <v>0.02</v>
      </c>
      <c r="AM25" s="7">
        <f>Input!AM5</f>
        <v>0.06</v>
      </c>
      <c r="AN25" s="7">
        <f>Input!AN5</f>
        <v>7.0000000000000007E-2</v>
      </c>
      <c r="AO25" s="7">
        <f>Input!AO5</f>
        <v>7.0000000000000007E-2</v>
      </c>
      <c r="AP25" s="7">
        <f>Input!AP5</f>
        <v>0.05</v>
      </c>
      <c r="AQ25" s="7">
        <f>Input!AQ5</f>
        <v>0.05</v>
      </c>
      <c r="AR25" s="7">
        <f>Input!AR5</f>
        <v>0.03</v>
      </c>
      <c r="AS25" s="7">
        <f>Input!AS5</f>
        <v>0.03</v>
      </c>
      <c r="AT25" s="7">
        <f>Input!AT5</f>
        <v>0.02</v>
      </c>
      <c r="AU25" s="7">
        <f>Input!AU5</f>
        <v>0.03</v>
      </c>
      <c r="AV25" s="7">
        <f>Input!AV5</f>
        <v>0.02</v>
      </c>
      <c r="AW25" s="7">
        <f>Input!AW5</f>
        <v>0</v>
      </c>
      <c r="AX25" s="7">
        <f>Input!AX5</f>
        <v>0.03</v>
      </c>
      <c r="AY25" s="7">
        <f>Input!AY5</f>
        <v>0.05</v>
      </c>
      <c r="AZ25" s="7">
        <f>Input!AZ5</f>
        <v>0.02</v>
      </c>
      <c r="BA25" s="7">
        <f>Input!BA5</f>
        <v>0.02</v>
      </c>
      <c r="BB25" s="7">
        <f>Input!BB5</f>
        <v>0.02</v>
      </c>
      <c r="BC25" s="7">
        <f>Input!BC5</f>
        <v>0.03</v>
      </c>
      <c r="BD25" s="7">
        <f>Input!BD5</f>
        <v>0.02</v>
      </c>
      <c r="BE25" s="7">
        <f>Input!BE5</f>
        <v>0.01</v>
      </c>
      <c r="BF25" s="7">
        <f>Input!BF5</f>
        <v>0.03</v>
      </c>
      <c r="BG25" s="7">
        <f>Input!BG5</f>
        <v>0</v>
      </c>
      <c r="BH25" s="7">
        <f>Input!BH5</f>
        <v>0.03</v>
      </c>
      <c r="BI25" s="7">
        <f>Input!BI5</f>
        <v>0.02</v>
      </c>
      <c r="BJ25" s="7">
        <f>Input!BJ5</f>
        <v>0.01</v>
      </c>
      <c r="BK25" s="7">
        <f>Input!BK5</f>
        <v>0</v>
      </c>
      <c r="BL25" s="7">
        <f>Input!BL5</f>
        <v>0</v>
      </c>
      <c r="BM25" s="7"/>
      <c r="BN25" s="18">
        <f t="shared" si="0"/>
        <v>4.2499999999999996E-2</v>
      </c>
      <c r="BO25" s="17">
        <f t="shared" si="1"/>
        <v>1.5811388300841903E-2</v>
      </c>
      <c r="BP25" s="2"/>
      <c r="BQ25" s="2"/>
      <c r="BR25" s="2"/>
      <c r="BS25" s="2"/>
      <c r="BT25" s="2"/>
    </row>
    <row r="26" spans="1:72" s="1" customFormat="1">
      <c r="A26" s="6" t="s">
        <v>266</v>
      </c>
      <c r="B26" s="54">
        <f>Input!B6</f>
        <v>9.56</v>
      </c>
      <c r="C26" s="7">
        <f>Input!C6</f>
        <v>11.21</v>
      </c>
      <c r="D26" s="7">
        <f>Input!D6</f>
        <v>11.78</v>
      </c>
      <c r="E26" s="7">
        <f>Input!E6</f>
        <v>11.73</v>
      </c>
      <c r="F26" s="7">
        <f>Input!F6</f>
        <v>11.48</v>
      </c>
      <c r="G26" s="7">
        <f>Input!G6</f>
        <v>11.91</v>
      </c>
      <c r="H26" s="7">
        <f>Input!H6</f>
        <v>11.54</v>
      </c>
      <c r="I26" s="7">
        <f>Input!I6</f>
        <v>11.44</v>
      </c>
      <c r="J26" s="7">
        <f>Input!J6</f>
        <v>10.87</v>
      </c>
      <c r="K26" s="54">
        <f>Input!K6</f>
        <v>9.27</v>
      </c>
      <c r="L26" s="7">
        <f>Input!L6</f>
        <v>11.37</v>
      </c>
      <c r="M26" s="7">
        <f>Input!M6</f>
        <v>11.74</v>
      </c>
      <c r="N26" s="7">
        <f>Input!N6</f>
        <v>11.6</v>
      </c>
      <c r="O26" s="7">
        <f>Input!O6</f>
        <v>12.23</v>
      </c>
      <c r="P26" s="7">
        <f>Input!P6</f>
        <v>9.49</v>
      </c>
      <c r="Q26" s="7">
        <f>Input!Q6</f>
        <v>4.8099999999999996</v>
      </c>
      <c r="R26" s="7">
        <f>Input!R6</f>
        <v>11.31</v>
      </c>
      <c r="S26" s="7">
        <f>Input!S6</f>
        <v>11.45</v>
      </c>
      <c r="T26" s="7">
        <f>Input!T6</f>
        <v>11.29</v>
      </c>
      <c r="U26" s="7">
        <f>Input!U6</f>
        <v>11.81</v>
      </c>
      <c r="V26" s="7">
        <f>Input!V6</f>
        <v>11.96</v>
      </c>
      <c r="W26" s="7">
        <f>Input!W6</f>
        <v>8.35</v>
      </c>
      <c r="X26" s="7">
        <f>Input!X6</f>
        <v>10.17</v>
      </c>
      <c r="Y26" s="7">
        <f>Input!Y6</f>
        <v>15.09</v>
      </c>
      <c r="Z26" s="7">
        <f>Input!Z6</f>
        <v>11.22</v>
      </c>
      <c r="AA26" s="7">
        <f>Input!AA6</f>
        <v>9.44</v>
      </c>
      <c r="AB26" s="7">
        <f>Input!AB6</f>
        <v>11.11</v>
      </c>
      <c r="AC26" s="7">
        <f>Input!AC6</f>
        <v>12.36</v>
      </c>
      <c r="AD26" s="7">
        <f>Input!AD6</f>
        <v>12.32</v>
      </c>
      <c r="AE26" s="7">
        <f>Input!AE6</f>
        <v>12.53</v>
      </c>
      <c r="AF26" s="7">
        <f>Input!AF6</f>
        <v>11.91</v>
      </c>
      <c r="AG26" s="7">
        <f>Input!AG6</f>
        <v>12.98</v>
      </c>
      <c r="AH26" s="7">
        <f>Input!AH6</f>
        <v>12.96</v>
      </c>
      <c r="AI26" s="7">
        <f>Input!AI6</f>
        <v>12.61</v>
      </c>
      <c r="AJ26" s="7">
        <f>Input!AJ6</f>
        <v>12.26</v>
      </c>
      <c r="AK26" s="7">
        <f>Input!AK6</f>
        <v>12.93</v>
      </c>
      <c r="AL26" s="7">
        <f>Input!AL6</f>
        <v>13.26</v>
      </c>
      <c r="AM26" s="7">
        <f>Input!AM6</f>
        <v>12.94</v>
      </c>
      <c r="AN26" s="7">
        <f>Input!AN6</f>
        <v>12.75</v>
      </c>
      <c r="AO26" s="7">
        <f>Input!AO6</f>
        <v>12.69</v>
      </c>
      <c r="AP26" s="7">
        <f>Input!AP6</f>
        <v>10.06</v>
      </c>
      <c r="AQ26" s="7">
        <f>Input!AQ6</f>
        <v>10.34</v>
      </c>
      <c r="AR26" s="7">
        <f>Input!AR6</f>
        <v>10.36</v>
      </c>
      <c r="AS26" s="7">
        <f>Input!AS6</f>
        <v>10.38</v>
      </c>
      <c r="AT26" s="7">
        <f>Input!AT6</f>
        <v>10.18</v>
      </c>
      <c r="AU26" s="7">
        <f>Input!AU6</f>
        <v>8.58</v>
      </c>
      <c r="AV26" s="7">
        <f>Input!AV6</f>
        <v>10.35</v>
      </c>
      <c r="AW26" s="7">
        <f>Input!AW6</f>
        <v>10.96</v>
      </c>
      <c r="AX26" s="7">
        <f>Input!AX6</f>
        <v>11.96</v>
      </c>
      <c r="AY26" s="7">
        <f>Input!AY6</f>
        <v>10.31</v>
      </c>
      <c r="AZ26" s="7">
        <f>Input!AZ6</f>
        <v>10.25</v>
      </c>
      <c r="BA26" s="7">
        <f>Input!BA6</f>
        <v>11.51</v>
      </c>
      <c r="BB26" s="7">
        <f>Input!BB6</f>
        <v>11.74</v>
      </c>
      <c r="BC26" s="7">
        <f>Input!BC6</f>
        <v>11.15</v>
      </c>
      <c r="BD26" s="7">
        <f>Input!BD6</f>
        <v>11.97</v>
      </c>
      <c r="BE26" s="7">
        <f>Input!BE6</f>
        <v>11.79</v>
      </c>
      <c r="BF26" s="7">
        <f>Input!BF6</f>
        <v>12.13</v>
      </c>
      <c r="BG26" s="7">
        <f>Input!BG6</f>
        <v>12.22</v>
      </c>
      <c r="BH26" s="7">
        <f>Input!BH6</f>
        <v>11.66</v>
      </c>
      <c r="BI26" s="7">
        <f>Input!BI6</f>
        <v>12.08</v>
      </c>
      <c r="BJ26" s="7">
        <f>Input!BJ6</f>
        <v>11.73</v>
      </c>
      <c r="BK26" s="7">
        <f>Input!BK6</f>
        <v>0</v>
      </c>
      <c r="BL26" s="7">
        <f>Input!BL6</f>
        <v>0</v>
      </c>
      <c r="BM26" s="7"/>
      <c r="BN26" s="18">
        <f t="shared" si="0"/>
        <v>11.331250000000001</v>
      </c>
      <c r="BO26" s="17">
        <f t="shared" si="1"/>
        <v>0.74879784607443545</v>
      </c>
      <c r="BP26" s="2"/>
      <c r="BQ26" s="2"/>
      <c r="BR26" s="2"/>
      <c r="BS26" s="2"/>
      <c r="BT26" s="2"/>
    </row>
    <row r="27" spans="1:72" s="1" customFormat="1">
      <c r="A27" s="6" t="s">
        <v>268</v>
      </c>
      <c r="B27" s="54">
        <f>Input!B7</f>
        <v>13.78</v>
      </c>
      <c r="C27" s="7">
        <f>Input!C7</f>
        <v>13.44</v>
      </c>
      <c r="D27" s="7">
        <f>Input!D7</f>
        <v>14.5</v>
      </c>
      <c r="E27" s="7">
        <f>Input!E7</f>
        <v>14.61</v>
      </c>
      <c r="F27" s="7">
        <f>Input!F7</f>
        <v>13.9</v>
      </c>
      <c r="G27" s="7">
        <f>Input!G7</f>
        <v>14.65</v>
      </c>
      <c r="H27" s="7">
        <f>Input!H7</f>
        <v>13.48</v>
      </c>
      <c r="I27" s="7">
        <f>Input!I7</f>
        <v>14.11</v>
      </c>
      <c r="J27" s="7">
        <f>Input!J7</f>
        <v>13.8</v>
      </c>
      <c r="K27" s="54">
        <f>Input!K7</f>
        <v>14.59</v>
      </c>
      <c r="L27" s="7">
        <f>Input!L7</f>
        <v>13.72</v>
      </c>
      <c r="M27" s="7">
        <f>Input!M7</f>
        <v>13.89</v>
      </c>
      <c r="N27" s="7">
        <f>Input!N7</f>
        <v>13.89</v>
      </c>
      <c r="O27" s="7">
        <f>Input!O7</f>
        <v>14.45</v>
      </c>
      <c r="P27" s="7">
        <f>Input!P7</f>
        <v>13.43</v>
      </c>
      <c r="Q27" s="7">
        <f>Input!Q7</f>
        <v>10.050000000000001</v>
      </c>
      <c r="R27" s="7">
        <f>Input!R7</f>
        <v>14.33</v>
      </c>
      <c r="S27" s="7">
        <f>Input!S7</f>
        <v>14.27</v>
      </c>
      <c r="T27" s="7">
        <f>Input!T7</f>
        <v>14.68</v>
      </c>
      <c r="U27" s="7">
        <f>Input!U7</f>
        <v>14.78</v>
      </c>
      <c r="V27" s="7">
        <f>Input!V7</f>
        <v>14.53</v>
      </c>
      <c r="W27" s="7">
        <f>Input!W7</f>
        <v>14.42</v>
      </c>
      <c r="X27" s="7">
        <f>Input!X7</f>
        <v>14.05</v>
      </c>
      <c r="Y27" s="7">
        <f>Input!Y7</f>
        <v>13.83</v>
      </c>
      <c r="Z27" s="7">
        <f>Input!Z7</f>
        <v>13.77</v>
      </c>
      <c r="AA27" s="7">
        <f>Input!AA7</f>
        <v>11.56</v>
      </c>
      <c r="AB27" s="7">
        <f>Input!AB7</f>
        <v>13.27</v>
      </c>
      <c r="AC27" s="7">
        <f>Input!AC7</f>
        <v>12.17</v>
      </c>
      <c r="AD27" s="7">
        <f>Input!AD7</f>
        <v>12.75</v>
      </c>
      <c r="AE27" s="7">
        <f>Input!AE7</f>
        <v>13.48</v>
      </c>
      <c r="AF27" s="7">
        <f>Input!AF7</f>
        <v>13.12</v>
      </c>
      <c r="AG27" s="7">
        <f>Input!AG7</f>
        <v>13.32</v>
      </c>
      <c r="AH27" s="7">
        <f>Input!AH7</f>
        <v>13.09</v>
      </c>
      <c r="AI27" s="7">
        <f>Input!AI7</f>
        <v>12.99</v>
      </c>
      <c r="AJ27" s="7">
        <f>Input!AJ7</f>
        <v>12.81</v>
      </c>
      <c r="AK27" s="7">
        <f>Input!AK7</f>
        <v>13.82</v>
      </c>
      <c r="AL27" s="7">
        <f>Input!AL7</f>
        <v>13.7</v>
      </c>
      <c r="AM27" s="7">
        <f>Input!AM7</f>
        <v>13.66</v>
      </c>
      <c r="AN27" s="7">
        <f>Input!AN7</f>
        <v>13.61</v>
      </c>
      <c r="AO27" s="7">
        <f>Input!AO7</f>
        <v>13.31</v>
      </c>
      <c r="AP27" s="7">
        <f>Input!AP7</f>
        <v>18.22</v>
      </c>
      <c r="AQ27" s="7">
        <f>Input!AQ7</f>
        <v>17.73</v>
      </c>
      <c r="AR27" s="7">
        <f>Input!AR7</f>
        <v>17.920000000000002</v>
      </c>
      <c r="AS27" s="7">
        <f>Input!AS7</f>
        <v>18.48</v>
      </c>
      <c r="AT27" s="7">
        <f>Input!AT7</f>
        <v>18.3</v>
      </c>
      <c r="AU27" s="7">
        <f>Input!AU7</f>
        <v>17.48</v>
      </c>
      <c r="AV27" s="7">
        <f>Input!AV7</f>
        <v>18.600000000000001</v>
      </c>
      <c r="AW27" s="7">
        <f>Input!AW7</f>
        <v>18.39</v>
      </c>
      <c r="AX27" s="7">
        <f>Input!AX7</f>
        <v>15.96</v>
      </c>
      <c r="AY27" s="7">
        <f>Input!AY7</f>
        <v>18.37</v>
      </c>
      <c r="AZ27" s="7">
        <f>Input!AZ7</f>
        <v>17.989999999999998</v>
      </c>
      <c r="BA27" s="7">
        <f>Input!BA7</f>
        <v>14.83</v>
      </c>
      <c r="BB27" s="7">
        <f>Input!BB7</f>
        <v>14.88</v>
      </c>
      <c r="BC27" s="7">
        <f>Input!BC7</f>
        <v>14.95</v>
      </c>
      <c r="BD27" s="7">
        <f>Input!BD7</f>
        <v>14.98</v>
      </c>
      <c r="BE27" s="7">
        <f>Input!BE7</f>
        <v>15.18</v>
      </c>
      <c r="BF27" s="7">
        <f>Input!BF7</f>
        <v>17</v>
      </c>
      <c r="BG27" s="7">
        <f>Input!BG7</f>
        <v>17.29</v>
      </c>
      <c r="BH27" s="7">
        <f>Input!BH7</f>
        <v>16.649999999999999</v>
      </c>
      <c r="BI27" s="7">
        <f>Input!BI7</f>
        <v>17.2</v>
      </c>
      <c r="BJ27" s="7">
        <f>Input!BJ7</f>
        <v>16.39</v>
      </c>
      <c r="BK27" s="7">
        <f>Input!BK7</f>
        <v>0</v>
      </c>
      <c r="BL27" s="7">
        <f>Input!BL7</f>
        <v>0</v>
      </c>
      <c r="BM27" s="7"/>
      <c r="BN27" s="18">
        <f t="shared" si="0"/>
        <v>14.058750000000002</v>
      </c>
      <c r="BO27" s="17">
        <f t="shared" si="1"/>
        <v>0.48865522464354005</v>
      </c>
      <c r="BP27" s="2"/>
      <c r="BQ27" s="2"/>
      <c r="BR27" s="2"/>
      <c r="BS27" s="2"/>
      <c r="BT27" s="2"/>
    </row>
    <row r="28" spans="1:72" s="1" customFormat="1">
      <c r="A28" s="6" t="s">
        <v>269</v>
      </c>
      <c r="B28" s="54">
        <f>Input!B8</f>
        <v>0.68</v>
      </c>
      <c r="C28" s="7">
        <f>Input!C8</f>
        <v>0.84</v>
      </c>
      <c r="D28" s="7">
        <f>Input!D8</f>
        <v>1.01</v>
      </c>
      <c r="E28" s="7">
        <f>Input!E8</f>
        <v>1.1100000000000001</v>
      </c>
      <c r="F28" s="7">
        <f>Input!F8</f>
        <v>0.85</v>
      </c>
      <c r="G28" s="7">
        <f>Input!G8</f>
        <v>0.84</v>
      </c>
      <c r="H28" s="7">
        <f>Input!H8</f>
        <v>0.81</v>
      </c>
      <c r="I28" s="7">
        <f>Input!I8</f>
        <v>0.85</v>
      </c>
      <c r="J28" s="7">
        <f>Input!J8</f>
        <v>0.89</v>
      </c>
      <c r="K28" s="54">
        <f>Input!K8</f>
        <v>0.89</v>
      </c>
      <c r="L28" s="7">
        <f>Input!L8</f>
        <v>0.9</v>
      </c>
      <c r="M28" s="7">
        <f>Input!M8</f>
        <v>0.77</v>
      </c>
      <c r="N28" s="7">
        <f>Input!N8</f>
        <v>0.69</v>
      </c>
      <c r="O28" s="7">
        <f>Input!O8</f>
        <v>0.7</v>
      </c>
      <c r="P28" s="7">
        <f>Input!P8</f>
        <v>0.22</v>
      </c>
      <c r="Q28" s="7">
        <f>Input!Q8</f>
        <v>0.23</v>
      </c>
      <c r="R28" s="7">
        <f>Input!R8</f>
        <v>0.18</v>
      </c>
      <c r="S28" s="7">
        <f>Input!S8</f>
        <v>0.2</v>
      </c>
      <c r="T28" s="7">
        <f>Input!T8</f>
        <v>0.21</v>
      </c>
      <c r="U28" s="7">
        <f>Input!U8</f>
        <v>0.19</v>
      </c>
      <c r="V28" s="7">
        <f>Input!V8</f>
        <v>0.26</v>
      </c>
      <c r="W28" s="7">
        <f>Input!W8</f>
        <v>0.25</v>
      </c>
      <c r="X28" s="7">
        <f>Input!X8</f>
        <v>0.23</v>
      </c>
      <c r="Y28" s="7">
        <f>Input!Y8</f>
        <v>0.15</v>
      </c>
      <c r="Z28" s="7">
        <f>Input!Z8</f>
        <v>0.21</v>
      </c>
      <c r="AA28" s="7">
        <f>Input!AA8</f>
        <v>0.18</v>
      </c>
      <c r="AB28" s="7">
        <f>Input!AB8</f>
        <v>0.26</v>
      </c>
      <c r="AC28" s="7">
        <f>Input!AC8</f>
        <v>0.14000000000000001</v>
      </c>
      <c r="AD28" s="7">
        <f>Input!AD8</f>
        <v>0.21</v>
      </c>
      <c r="AE28" s="7">
        <f>Input!AE8</f>
        <v>0.24</v>
      </c>
      <c r="AF28" s="7">
        <f>Input!AF8</f>
        <v>0.22</v>
      </c>
      <c r="AG28" s="7">
        <f>Input!AG8</f>
        <v>0.24</v>
      </c>
      <c r="AH28" s="7">
        <f>Input!AH8</f>
        <v>0.21</v>
      </c>
      <c r="AI28" s="7">
        <f>Input!AI8</f>
        <v>0.25</v>
      </c>
      <c r="AJ28" s="7">
        <f>Input!AJ8</f>
        <v>0.24</v>
      </c>
      <c r="AK28" s="7">
        <f>Input!AK8</f>
        <v>0.25</v>
      </c>
      <c r="AL28" s="7">
        <f>Input!AL8</f>
        <v>0.2</v>
      </c>
      <c r="AM28" s="7">
        <f>Input!AM8</f>
        <v>0.18</v>
      </c>
      <c r="AN28" s="7">
        <f>Input!AN8</f>
        <v>0.21</v>
      </c>
      <c r="AO28" s="7">
        <f>Input!AO8</f>
        <v>0.28000000000000003</v>
      </c>
      <c r="AP28" s="7">
        <f>Input!AP8</f>
        <v>0.31</v>
      </c>
      <c r="AQ28" s="7">
        <f>Input!AQ8</f>
        <v>0.27</v>
      </c>
      <c r="AR28" s="7">
        <f>Input!AR8</f>
        <v>0.34</v>
      </c>
      <c r="AS28" s="7">
        <f>Input!AS8</f>
        <v>0.34</v>
      </c>
      <c r="AT28" s="7">
        <f>Input!AT8</f>
        <v>0.33</v>
      </c>
      <c r="AU28" s="7">
        <f>Input!AU8</f>
        <v>0.27</v>
      </c>
      <c r="AV28" s="7">
        <f>Input!AV8</f>
        <v>0.28000000000000003</v>
      </c>
      <c r="AW28" s="7">
        <f>Input!AW8</f>
        <v>0.26</v>
      </c>
      <c r="AX28" s="7">
        <f>Input!AX8</f>
        <v>0.25</v>
      </c>
      <c r="AY28" s="7">
        <f>Input!AY8</f>
        <v>0.3</v>
      </c>
      <c r="AZ28" s="7">
        <f>Input!AZ8</f>
        <v>0.3</v>
      </c>
      <c r="BA28" s="7">
        <f>Input!BA8</f>
        <v>0.2</v>
      </c>
      <c r="BB28" s="7">
        <f>Input!BB8</f>
        <v>0.24</v>
      </c>
      <c r="BC28" s="7">
        <f>Input!BC8</f>
        <v>0.18</v>
      </c>
      <c r="BD28" s="7">
        <f>Input!BD8</f>
        <v>0.2</v>
      </c>
      <c r="BE28" s="7">
        <f>Input!BE8</f>
        <v>0.18</v>
      </c>
      <c r="BF28" s="7">
        <f>Input!BF8</f>
        <v>0.16</v>
      </c>
      <c r="BG28" s="7">
        <f>Input!BG8</f>
        <v>0.25</v>
      </c>
      <c r="BH28" s="7">
        <f>Input!BH8</f>
        <v>0.2</v>
      </c>
      <c r="BI28" s="7">
        <f>Input!BI8</f>
        <v>0.21</v>
      </c>
      <c r="BJ28" s="7">
        <f>Input!BJ8</f>
        <v>0.24</v>
      </c>
      <c r="BK28" s="7">
        <f>Input!BK8</f>
        <v>0</v>
      </c>
      <c r="BL28" s="7">
        <f>Input!BL8</f>
        <v>0</v>
      </c>
      <c r="BM28" s="7"/>
      <c r="BN28" s="18">
        <f t="shared" si="0"/>
        <v>0.87375000000000003</v>
      </c>
      <c r="BO28" s="17">
        <f t="shared" si="1"/>
        <v>0.13059616052111628</v>
      </c>
      <c r="BP28" s="2"/>
      <c r="BQ28" s="2"/>
      <c r="BR28" s="2"/>
      <c r="BS28" s="2"/>
      <c r="BT28" s="2"/>
    </row>
    <row r="29" spans="1:72" s="1" customFormat="1">
      <c r="A29" s="6" t="s">
        <v>114</v>
      </c>
      <c r="B29" s="54">
        <f>Input!B9</f>
        <v>0.03</v>
      </c>
      <c r="C29" s="7">
        <f>Input!C9</f>
        <v>0</v>
      </c>
      <c r="D29" s="7">
        <f>Input!D9</f>
        <v>0</v>
      </c>
      <c r="E29" s="7">
        <f>Input!E9</f>
        <v>0.03</v>
      </c>
      <c r="F29" s="7">
        <f>Input!F9</f>
        <v>0</v>
      </c>
      <c r="G29" s="7">
        <f>Input!G9</f>
        <v>0</v>
      </c>
      <c r="H29" s="7">
        <f>Input!H9</f>
        <v>0</v>
      </c>
      <c r="I29" s="7">
        <f>Input!I9</f>
        <v>0</v>
      </c>
      <c r="J29" s="7">
        <f>Input!J9</f>
        <v>0</v>
      </c>
      <c r="K29" s="54">
        <f>Input!K9</f>
        <v>0</v>
      </c>
      <c r="L29" s="7">
        <f>Input!L9</f>
        <v>0</v>
      </c>
      <c r="M29" s="7">
        <f>Input!M9</f>
        <v>0</v>
      </c>
      <c r="N29" s="7">
        <f>Input!N9</f>
        <v>0</v>
      </c>
      <c r="O29" s="7">
        <f>Input!O9</f>
        <v>0</v>
      </c>
      <c r="P29" s="7">
        <f>Input!P9</f>
        <v>0</v>
      </c>
      <c r="Q29" s="7">
        <f>Input!Q9</f>
        <v>0</v>
      </c>
      <c r="R29" s="7">
        <f>Input!R9</f>
        <v>0</v>
      </c>
      <c r="S29" s="7">
        <f>Input!S9</f>
        <v>0</v>
      </c>
      <c r="T29" s="7">
        <f>Input!T9</f>
        <v>0</v>
      </c>
      <c r="U29" s="7">
        <f>Input!U9</f>
        <v>0</v>
      </c>
      <c r="V29" s="7">
        <f>Input!V9</f>
        <v>0</v>
      </c>
      <c r="W29" s="7">
        <f>Input!W9</f>
        <v>0</v>
      </c>
      <c r="X29" s="7">
        <f>Input!X9</f>
        <v>0</v>
      </c>
      <c r="Y29" s="7">
        <f>Input!Y9</f>
        <v>0</v>
      </c>
      <c r="Z29" s="7">
        <f>Input!Z9</f>
        <v>0</v>
      </c>
      <c r="AA29" s="7">
        <f>Input!AA9</f>
        <v>0</v>
      </c>
      <c r="AB29" s="7">
        <f>Input!AB9</f>
        <v>0</v>
      </c>
      <c r="AC29" s="7">
        <f>Input!AC9</f>
        <v>0</v>
      </c>
      <c r="AD29" s="7">
        <f>Input!AD9</f>
        <v>0</v>
      </c>
      <c r="AE29" s="7">
        <f>Input!AE9</f>
        <v>0</v>
      </c>
      <c r="AF29" s="7">
        <f>Input!AF9</f>
        <v>0</v>
      </c>
      <c r="AG29" s="7">
        <f>Input!AG9</f>
        <v>0</v>
      </c>
      <c r="AH29" s="7">
        <f>Input!AH9</f>
        <v>0</v>
      </c>
      <c r="AI29" s="7">
        <f>Input!AI9</f>
        <v>0</v>
      </c>
      <c r="AJ29" s="7">
        <f>Input!AJ9</f>
        <v>0</v>
      </c>
      <c r="AK29" s="7">
        <f>Input!AK9</f>
        <v>0</v>
      </c>
      <c r="AL29" s="7">
        <f>Input!AL9</f>
        <v>0</v>
      </c>
      <c r="AM29" s="7">
        <f>Input!AM9</f>
        <v>0</v>
      </c>
      <c r="AN29" s="7">
        <f>Input!AN9</f>
        <v>0</v>
      </c>
      <c r="AO29" s="7">
        <f>Input!AO9</f>
        <v>0</v>
      </c>
      <c r="AP29" s="7">
        <f>Input!AP9</f>
        <v>0</v>
      </c>
      <c r="AQ29" s="7">
        <f>Input!AQ9</f>
        <v>0</v>
      </c>
      <c r="AR29" s="7">
        <f>Input!AR9</f>
        <v>0</v>
      </c>
      <c r="AS29" s="7">
        <f>Input!AS9</f>
        <v>0</v>
      </c>
      <c r="AT29" s="7">
        <f>Input!AT9</f>
        <v>0</v>
      </c>
      <c r="AU29" s="7">
        <f>Input!AU9</f>
        <v>0</v>
      </c>
      <c r="AV29" s="7">
        <f>Input!AV9</f>
        <v>0</v>
      </c>
      <c r="AW29" s="7">
        <f>Input!AW9</f>
        <v>0</v>
      </c>
      <c r="AX29" s="7">
        <f>Input!AX9</f>
        <v>0</v>
      </c>
      <c r="AY29" s="7">
        <f>Input!AY9</f>
        <v>0</v>
      </c>
      <c r="AZ29" s="7">
        <f>Input!AZ9</f>
        <v>0</v>
      </c>
      <c r="BA29" s="7">
        <f>Input!BA9</f>
        <v>0</v>
      </c>
      <c r="BB29" s="7">
        <f>Input!BB9</f>
        <v>0</v>
      </c>
      <c r="BC29" s="7">
        <f>Input!BC9</f>
        <v>0</v>
      </c>
      <c r="BD29" s="7">
        <f>Input!BD9</f>
        <v>0</v>
      </c>
      <c r="BE29" s="7">
        <f>Input!BE9</f>
        <v>0</v>
      </c>
      <c r="BF29" s="7">
        <f>Input!BF9</f>
        <v>0</v>
      </c>
      <c r="BG29" s="7">
        <f>Input!BG9</f>
        <v>0</v>
      </c>
      <c r="BH29" s="7">
        <f>Input!BH9</f>
        <v>0</v>
      </c>
      <c r="BI29" s="7">
        <f>Input!BI9</f>
        <v>0</v>
      </c>
      <c r="BJ29" s="7">
        <f>Input!BJ9</f>
        <v>0</v>
      </c>
      <c r="BK29" s="7">
        <f>Input!BK9</f>
        <v>0</v>
      </c>
      <c r="BL29" s="7">
        <f>Input!BL9</f>
        <v>0</v>
      </c>
      <c r="BM29" s="7"/>
      <c r="BN29" s="18">
        <f t="shared" si="0"/>
        <v>7.4999999999999997E-3</v>
      </c>
      <c r="BO29" s="17">
        <f t="shared" si="1"/>
        <v>1.3887301496588272E-2</v>
      </c>
      <c r="BP29" s="2"/>
      <c r="BQ29" s="2"/>
      <c r="BR29" s="2"/>
      <c r="BS29" s="2"/>
      <c r="BT29" s="2"/>
    </row>
    <row r="30" spans="1:72" s="1" customFormat="1">
      <c r="A30" s="6" t="s">
        <v>270</v>
      </c>
      <c r="B30" s="54">
        <f>Input!B10</f>
        <v>12.46</v>
      </c>
      <c r="C30" s="7">
        <f>Input!C10</f>
        <v>13</v>
      </c>
      <c r="D30" s="7">
        <f>Input!D10</f>
        <v>12.06</v>
      </c>
      <c r="E30" s="7">
        <f>Input!E10</f>
        <v>11.98</v>
      </c>
      <c r="F30" s="7">
        <f>Input!F10</f>
        <v>12.24</v>
      </c>
      <c r="G30" s="7">
        <f>Input!G10</f>
        <v>11.92</v>
      </c>
      <c r="H30" s="7">
        <f>Input!H10</f>
        <v>12.39</v>
      </c>
      <c r="I30" s="7">
        <f>Input!I10</f>
        <v>12.42</v>
      </c>
      <c r="J30" s="7">
        <f>Input!J10</f>
        <v>12.84</v>
      </c>
      <c r="K30" s="54">
        <f>Input!K10</f>
        <v>11.1</v>
      </c>
      <c r="L30" s="7">
        <f>Input!L10</f>
        <v>12.84</v>
      </c>
      <c r="M30" s="7">
        <f>Input!M10</f>
        <v>12.18</v>
      </c>
      <c r="N30" s="7">
        <f>Input!N10</f>
        <v>11.8</v>
      </c>
      <c r="O30" s="7">
        <f>Input!O10</f>
        <v>12.09</v>
      </c>
      <c r="P30" s="7">
        <f>Input!P10</f>
        <v>12.36</v>
      </c>
      <c r="Q30" s="7">
        <f>Input!Q10</f>
        <v>16.41</v>
      </c>
      <c r="R30" s="7">
        <f>Input!R10</f>
        <v>11.66</v>
      </c>
      <c r="S30" s="7">
        <f>Input!S10</f>
        <v>11.64</v>
      </c>
      <c r="T30" s="7">
        <f>Input!T10</f>
        <v>11.74</v>
      </c>
      <c r="U30" s="7">
        <f>Input!U10</f>
        <v>11.16</v>
      </c>
      <c r="V30" s="7">
        <f>Input!V10</f>
        <v>11.2</v>
      </c>
      <c r="W30" s="7">
        <f>Input!W10</f>
        <v>12.17</v>
      </c>
      <c r="X30" s="7">
        <f>Input!X10</f>
        <v>12.38</v>
      </c>
      <c r="Y30" s="7">
        <f>Input!Y10</f>
        <v>7.05</v>
      </c>
      <c r="Z30" s="7">
        <f>Input!Z10</f>
        <v>11.19</v>
      </c>
      <c r="AA30" s="7">
        <f>Input!AA10</f>
        <v>12.51</v>
      </c>
      <c r="AB30" s="7">
        <f>Input!AB10</f>
        <v>12.98</v>
      </c>
      <c r="AC30" s="7">
        <f>Input!AC10</f>
        <v>12.59</v>
      </c>
      <c r="AD30" s="7">
        <f>Input!AD10</f>
        <v>12.28</v>
      </c>
      <c r="AE30" s="7">
        <f>Input!AE10</f>
        <v>12.11</v>
      </c>
      <c r="AF30" s="7">
        <f>Input!AF10</f>
        <v>12.34</v>
      </c>
      <c r="AG30" s="7">
        <f>Input!AG10</f>
        <v>11.88</v>
      </c>
      <c r="AH30" s="7">
        <f>Input!AH10</f>
        <v>12.38</v>
      </c>
      <c r="AI30" s="7">
        <f>Input!AI10</f>
        <v>11.88</v>
      </c>
      <c r="AJ30" s="7">
        <f>Input!AJ10</f>
        <v>12.43</v>
      </c>
      <c r="AK30" s="7">
        <f>Input!AK10</f>
        <v>11.29</v>
      </c>
      <c r="AL30" s="7">
        <f>Input!AL10</f>
        <v>11.1</v>
      </c>
      <c r="AM30" s="7">
        <f>Input!AM10</f>
        <v>11.65</v>
      </c>
      <c r="AN30" s="7">
        <f>Input!AN10</f>
        <v>11.48</v>
      </c>
      <c r="AO30" s="7">
        <f>Input!AO10</f>
        <v>11.58</v>
      </c>
      <c r="AP30" s="7">
        <f>Input!AP10</f>
        <v>9.8800000000000008</v>
      </c>
      <c r="AQ30" s="7">
        <f>Input!AQ10</f>
        <v>9.89</v>
      </c>
      <c r="AR30" s="7">
        <f>Input!AR10</f>
        <v>9.8000000000000007</v>
      </c>
      <c r="AS30" s="7">
        <f>Input!AS10</f>
        <v>9.65</v>
      </c>
      <c r="AT30" s="7">
        <f>Input!AT10</f>
        <v>9.6199999999999992</v>
      </c>
      <c r="AU30" s="7">
        <f>Input!AU10</f>
        <v>10.79</v>
      </c>
      <c r="AV30" s="7">
        <f>Input!AV10</f>
        <v>9.58</v>
      </c>
      <c r="AW30" s="7">
        <f>Input!AW10</f>
        <v>9.42</v>
      </c>
      <c r="AX30" s="7">
        <f>Input!AX10</f>
        <v>7.53</v>
      </c>
      <c r="AY30" s="7">
        <f>Input!AY10</f>
        <v>9.4600000000000009</v>
      </c>
      <c r="AZ30" s="7">
        <f>Input!AZ10</f>
        <v>9.92</v>
      </c>
      <c r="BA30" s="7">
        <f>Input!BA10</f>
        <v>11.34</v>
      </c>
      <c r="BB30" s="7">
        <f>Input!BB10</f>
        <v>11.19</v>
      </c>
      <c r="BC30" s="7">
        <f>Input!BC10</f>
        <v>11.34</v>
      </c>
      <c r="BD30" s="7">
        <f>Input!BD10</f>
        <v>11.05</v>
      </c>
      <c r="BE30" s="7">
        <f>Input!BE10</f>
        <v>11.48</v>
      </c>
      <c r="BF30" s="7">
        <f>Input!BF10</f>
        <v>9.52</v>
      </c>
      <c r="BG30" s="7">
        <f>Input!BG10</f>
        <v>9.4499999999999993</v>
      </c>
      <c r="BH30" s="7">
        <f>Input!BH10</f>
        <v>9.83</v>
      </c>
      <c r="BI30" s="7">
        <f>Input!BI10</f>
        <v>9.33</v>
      </c>
      <c r="BJ30" s="7">
        <f>Input!BJ10</f>
        <v>9.73</v>
      </c>
      <c r="BK30" s="7">
        <f>Input!BK10</f>
        <v>0</v>
      </c>
      <c r="BL30" s="7">
        <f>Input!BL10</f>
        <v>0</v>
      </c>
      <c r="BM30" s="7"/>
      <c r="BN30" s="18">
        <f t="shared" si="0"/>
        <v>12.30875</v>
      </c>
      <c r="BO30" s="17">
        <f t="shared" si="1"/>
        <v>0.34753982300080161</v>
      </c>
      <c r="BP30" s="2"/>
      <c r="BQ30" s="2"/>
      <c r="BR30" s="2"/>
      <c r="BS30" s="2"/>
      <c r="BT30" s="2"/>
    </row>
    <row r="31" spans="1:72" s="1" customFormat="1">
      <c r="A31" s="6" t="s">
        <v>271</v>
      </c>
      <c r="B31" s="54">
        <f>Input!B11</f>
        <v>10.49</v>
      </c>
      <c r="C31" s="7">
        <f>Input!C11</f>
        <v>10.53</v>
      </c>
      <c r="D31" s="7">
        <f>Input!D11</f>
        <v>10.55</v>
      </c>
      <c r="E31" s="7">
        <f>Input!E11</f>
        <v>10</v>
      </c>
      <c r="F31" s="7">
        <f>Input!F11</f>
        <v>10.87</v>
      </c>
      <c r="G31" s="7">
        <f>Input!G11</f>
        <v>10.94</v>
      </c>
      <c r="H31" s="7">
        <f>Input!H11</f>
        <v>11.02</v>
      </c>
      <c r="I31" s="7">
        <f>Input!I11</f>
        <v>10.81</v>
      </c>
      <c r="J31" s="7">
        <f>Input!J11</f>
        <v>10.26</v>
      </c>
      <c r="K31" s="54">
        <f>Input!K11</f>
        <v>10.35</v>
      </c>
      <c r="L31" s="7">
        <f>Input!L11</f>
        <v>10.48</v>
      </c>
      <c r="M31" s="7">
        <f>Input!M11</f>
        <v>10.81</v>
      </c>
      <c r="N31" s="7">
        <f>Input!N11</f>
        <v>10.39</v>
      </c>
      <c r="O31" s="7">
        <f>Input!O11</f>
        <v>10.85</v>
      </c>
      <c r="P31" s="7">
        <f>Input!P11</f>
        <v>12.13</v>
      </c>
      <c r="Q31" s="7">
        <f>Input!Q11</f>
        <v>12.64</v>
      </c>
      <c r="R31" s="7">
        <f>Input!R11</f>
        <v>11.95</v>
      </c>
      <c r="S31" s="7">
        <f>Input!S11</f>
        <v>12.03</v>
      </c>
      <c r="T31" s="7">
        <f>Input!T11</f>
        <v>12.07</v>
      </c>
      <c r="U31" s="7">
        <f>Input!U11</f>
        <v>11.87</v>
      </c>
      <c r="V31" s="7">
        <f>Input!V11</f>
        <v>12.09</v>
      </c>
      <c r="W31" s="7">
        <f>Input!W11</f>
        <v>12.05</v>
      </c>
      <c r="X31" s="7">
        <f>Input!X11</f>
        <v>11.83</v>
      </c>
      <c r="Y31" s="7">
        <f>Input!Y11</f>
        <v>16.239999999999998</v>
      </c>
      <c r="Z31" s="7">
        <f>Input!Z11</f>
        <v>13.1</v>
      </c>
      <c r="AA31" s="7">
        <f>Input!AA11</f>
        <v>13.58</v>
      </c>
      <c r="AB31" s="7">
        <f>Input!AB11</f>
        <v>11.34</v>
      </c>
      <c r="AC31" s="7">
        <f>Input!AC11</f>
        <v>11.29</v>
      </c>
      <c r="AD31" s="7">
        <f>Input!AD11</f>
        <v>11.48</v>
      </c>
      <c r="AE31" s="7">
        <f>Input!AE11</f>
        <v>11.12</v>
      </c>
      <c r="AF31" s="7">
        <f>Input!AF11</f>
        <v>11.2</v>
      </c>
      <c r="AG31" s="7">
        <f>Input!AG11</f>
        <v>11.21</v>
      </c>
      <c r="AH31" s="7">
        <f>Input!AH11</f>
        <v>11.17</v>
      </c>
      <c r="AI31" s="7">
        <f>Input!AI11</f>
        <v>11.24</v>
      </c>
      <c r="AJ31" s="7">
        <f>Input!AJ11</f>
        <v>11.01</v>
      </c>
      <c r="AK31" s="7">
        <f>Input!AK11</f>
        <v>11.05</v>
      </c>
      <c r="AL31" s="7">
        <f>Input!AL11</f>
        <v>10.92</v>
      </c>
      <c r="AM31" s="7">
        <f>Input!AM11</f>
        <v>10.87</v>
      </c>
      <c r="AN31" s="7">
        <f>Input!AN11</f>
        <v>10.71</v>
      </c>
      <c r="AO31" s="7">
        <f>Input!AO11</f>
        <v>10.88</v>
      </c>
      <c r="AP31" s="7">
        <f>Input!AP11</f>
        <v>11.79</v>
      </c>
      <c r="AQ31" s="7">
        <f>Input!AQ11</f>
        <v>11.69</v>
      </c>
      <c r="AR31" s="7">
        <f>Input!AR11</f>
        <v>11.85</v>
      </c>
      <c r="AS31" s="7">
        <f>Input!AS11</f>
        <v>11.78</v>
      </c>
      <c r="AT31" s="7">
        <f>Input!AT11</f>
        <v>11.42</v>
      </c>
      <c r="AU31" s="7">
        <f>Input!AU11</f>
        <v>11.74</v>
      </c>
      <c r="AV31" s="7">
        <f>Input!AV11</f>
        <v>11.44</v>
      </c>
      <c r="AW31" s="7">
        <f>Input!AW11</f>
        <v>11.67</v>
      </c>
      <c r="AX31" s="7">
        <f>Input!AX11</f>
        <v>14.35</v>
      </c>
      <c r="AY31" s="7">
        <f>Input!AY11</f>
        <v>11.48</v>
      </c>
      <c r="AZ31" s="7">
        <f>Input!AZ11</f>
        <v>11.74</v>
      </c>
      <c r="BA31" s="7">
        <f>Input!BA11</f>
        <v>12.02</v>
      </c>
      <c r="BB31" s="7">
        <f>Input!BB11</f>
        <v>11.82</v>
      </c>
      <c r="BC31" s="7">
        <f>Input!BC11</f>
        <v>11.92</v>
      </c>
      <c r="BD31" s="7">
        <f>Input!BD11</f>
        <v>11.95</v>
      </c>
      <c r="BE31" s="7">
        <f>Input!BE11</f>
        <v>12</v>
      </c>
      <c r="BF31" s="7">
        <f>Input!BF11</f>
        <v>11.59</v>
      </c>
      <c r="BG31" s="7">
        <f>Input!BG11</f>
        <v>11.34</v>
      </c>
      <c r="BH31" s="7">
        <f>Input!BH11</f>
        <v>11.69</v>
      </c>
      <c r="BI31" s="7">
        <f>Input!BI11</f>
        <v>11.4</v>
      </c>
      <c r="BJ31" s="7">
        <f>Input!BJ11</f>
        <v>11.98</v>
      </c>
      <c r="BK31" s="7">
        <f>Input!BK11</f>
        <v>0</v>
      </c>
      <c r="BL31" s="7">
        <f>Input!BL11</f>
        <v>0</v>
      </c>
      <c r="BM31" s="7"/>
      <c r="BN31" s="18">
        <f t="shared" si="0"/>
        <v>10.651249999999999</v>
      </c>
      <c r="BO31" s="17">
        <f t="shared" si="1"/>
        <v>0.33112093172823021</v>
      </c>
      <c r="BP31" s="2"/>
      <c r="BQ31" s="2"/>
      <c r="BR31" s="2"/>
      <c r="BS31" s="2"/>
      <c r="BT31" s="2"/>
    </row>
    <row r="32" spans="1:72" s="1" customFormat="1">
      <c r="A32" s="6" t="s">
        <v>272</v>
      </c>
      <c r="B32" s="54">
        <f>Input!B12</f>
        <v>1.35</v>
      </c>
      <c r="C32" s="7">
        <f>Input!C12</f>
        <v>1.4</v>
      </c>
      <c r="D32" s="7">
        <f>Input!D12</f>
        <v>1.51</v>
      </c>
      <c r="E32" s="7">
        <f>Input!E12</f>
        <v>1.39</v>
      </c>
      <c r="F32" s="7">
        <f>Input!F12</f>
        <v>1.39</v>
      </c>
      <c r="G32" s="7">
        <f>Input!G12</f>
        <v>1.47</v>
      </c>
      <c r="H32" s="7">
        <f>Input!H12</f>
        <v>1.37</v>
      </c>
      <c r="I32" s="7">
        <f>Input!I12</f>
        <v>1.41</v>
      </c>
      <c r="J32" s="7">
        <f>Input!J12</f>
        <v>1.41</v>
      </c>
      <c r="K32" s="54">
        <f>Input!K12</f>
        <v>1.29</v>
      </c>
      <c r="L32" s="7">
        <f>Input!L12</f>
        <v>1.53</v>
      </c>
      <c r="M32" s="7">
        <f>Input!M12</f>
        <v>1.45</v>
      </c>
      <c r="N32" s="7">
        <f>Input!N12</f>
        <v>1.63</v>
      </c>
      <c r="O32" s="7">
        <f>Input!O12</f>
        <v>1.51</v>
      </c>
      <c r="P32" s="7">
        <f>Input!P12</f>
        <v>1.38</v>
      </c>
      <c r="Q32" s="7">
        <f>Input!Q12</f>
        <v>0.74</v>
      </c>
      <c r="R32" s="7">
        <f>Input!R12</f>
        <v>1.67</v>
      </c>
      <c r="S32" s="7">
        <f>Input!S12</f>
        <v>1.57</v>
      </c>
      <c r="T32" s="7">
        <f>Input!T12</f>
        <v>1.6</v>
      </c>
      <c r="U32" s="7">
        <f>Input!U12</f>
        <v>1.64</v>
      </c>
      <c r="V32" s="7">
        <f>Input!V12</f>
        <v>1.68</v>
      </c>
      <c r="W32" s="7">
        <f>Input!W12</f>
        <v>1.24</v>
      </c>
      <c r="X32" s="7">
        <f>Input!X12</f>
        <v>1.52</v>
      </c>
      <c r="Y32" s="7">
        <f>Input!Y12</f>
        <v>1.05</v>
      </c>
      <c r="Z32" s="7">
        <f>Input!Z12</f>
        <v>1.26</v>
      </c>
      <c r="AA32" s="7">
        <f>Input!AA12</f>
        <v>1.17</v>
      </c>
      <c r="AB32" s="7">
        <f>Input!AB12</f>
        <v>2.08</v>
      </c>
      <c r="AC32" s="7">
        <f>Input!AC12</f>
        <v>2.4700000000000002</v>
      </c>
      <c r="AD32" s="7">
        <f>Input!AD12</f>
        <v>2.5099999999999998</v>
      </c>
      <c r="AE32" s="7">
        <f>Input!AE12</f>
        <v>2.58</v>
      </c>
      <c r="AF32" s="7">
        <f>Input!AF12</f>
        <v>2.63</v>
      </c>
      <c r="AG32" s="7">
        <f>Input!AG12</f>
        <v>2.64</v>
      </c>
      <c r="AH32" s="7">
        <f>Input!AH12</f>
        <v>2.59</v>
      </c>
      <c r="AI32" s="7">
        <f>Input!AI12</f>
        <v>2.5499999999999998</v>
      </c>
      <c r="AJ32" s="7">
        <f>Input!AJ12</f>
        <v>2.56</v>
      </c>
      <c r="AK32" s="7">
        <f>Input!AK12</f>
        <v>2.44</v>
      </c>
      <c r="AL32" s="7">
        <f>Input!AL12</f>
        <v>2.59</v>
      </c>
      <c r="AM32" s="7">
        <f>Input!AM12</f>
        <v>2.4700000000000002</v>
      </c>
      <c r="AN32" s="7">
        <f>Input!AN12</f>
        <v>2.4900000000000002</v>
      </c>
      <c r="AO32" s="7">
        <f>Input!AO12</f>
        <v>2.58</v>
      </c>
      <c r="AP32" s="7">
        <f>Input!AP12</f>
        <v>1.41</v>
      </c>
      <c r="AQ32" s="7">
        <f>Input!AQ12</f>
        <v>1.3</v>
      </c>
      <c r="AR32" s="7">
        <f>Input!AR12</f>
        <v>1.44</v>
      </c>
      <c r="AS32" s="7">
        <f>Input!AS12</f>
        <v>1.49</v>
      </c>
      <c r="AT32" s="7">
        <f>Input!AT12</f>
        <v>1.58</v>
      </c>
      <c r="AU32" s="7">
        <f>Input!AU12</f>
        <v>1.1599999999999999</v>
      </c>
      <c r="AV32" s="7">
        <f>Input!AV12</f>
        <v>1.54</v>
      </c>
      <c r="AW32" s="7">
        <f>Input!AW12</f>
        <v>1.53</v>
      </c>
      <c r="AX32" s="7">
        <f>Input!AX12</f>
        <v>1</v>
      </c>
      <c r="AY32" s="7">
        <f>Input!AY12</f>
        <v>1.59</v>
      </c>
      <c r="AZ32" s="7">
        <f>Input!AZ12</f>
        <v>1.44</v>
      </c>
      <c r="BA32" s="7">
        <f>Input!BA12</f>
        <v>1.97</v>
      </c>
      <c r="BB32" s="7">
        <f>Input!BB12</f>
        <v>1.99</v>
      </c>
      <c r="BC32" s="7">
        <f>Input!BC12</f>
        <v>1.91</v>
      </c>
      <c r="BD32" s="7">
        <f>Input!BD12</f>
        <v>1.95</v>
      </c>
      <c r="BE32" s="7">
        <f>Input!BE12</f>
        <v>1.96</v>
      </c>
      <c r="BF32" s="7">
        <f>Input!BF12</f>
        <v>2.38</v>
      </c>
      <c r="BG32" s="7">
        <f>Input!BG12</f>
        <v>2.42</v>
      </c>
      <c r="BH32" s="7">
        <f>Input!BH12</f>
        <v>2.25</v>
      </c>
      <c r="BI32" s="7">
        <f>Input!BI12</f>
        <v>2.2200000000000002</v>
      </c>
      <c r="BJ32" s="7">
        <f>Input!BJ12</f>
        <v>2.1800000000000002</v>
      </c>
      <c r="BK32" s="7">
        <f>Input!BK12</f>
        <v>0</v>
      </c>
      <c r="BL32" s="7">
        <f>Input!BL12</f>
        <v>0</v>
      </c>
      <c r="BM32" s="7"/>
      <c r="BN32" s="18">
        <f t="shared" si="0"/>
        <v>1.4112499999999999</v>
      </c>
      <c r="BO32" s="17">
        <f t="shared" si="1"/>
        <v>5.303300858899105E-2</v>
      </c>
      <c r="BP32" s="2"/>
      <c r="BQ32" s="2"/>
      <c r="BR32" s="2"/>
      <c r="BS32" s="2"/>
      <c r="BT32" s="2"/>
    </row>
    <row r="33" spans="1:79" s="1" customFormat="1">
      <c r="A33" s="6" t="s">
        <v>273</v>
      </c>
      <c r="B33" s="54">
        <f>Input!B13</f>
        <v>0.24</v>
      </c>
      <c r="C33" s="7">
        <f>Input!C13</f>
        <v>0.14000000000000001</v>
      </c>
      <c r="D33" s="7">
        <f>Input!D13</f>
        <v>0.27</v>
      </c>
      <c r="E33" s="7">
        <f>Input!E13</f>
        <v>0.25</v>
      </c>
      <c r="F33" s="7">
        <f>Input!F13</f>
        <v>0.34</v>
      </c>
      <c r="G33" s="7">
        <f>Input!G13</f>
        <v>0.26</v>
      </c>
      <c r="H33" s="7">
        <f>Input!H13</f>
        <v>0.21</v>
      </c>
      <c r="I33" s="7">
        <f>Input!I13</f>
        <v>0.23</v>
      </c>
      <c r="J33" s="7">
        <f>Input!J13</f>
        <v>0.16</v>
      </c>
      <c r="K33" s="54">
        <f>Input!K13</f>
        <v>0.27</v>
      </c>
      <c r="L33" s="7">
        <f>Input!L13</f>
        <v>0.14000000000000001</v>
      </c>
      <c r="M33" s="7">
        <f>Input!M13</f>
        <v>0.22</v>
      </c>
      <c r="N33" s="7">
        <f>Input!N13</f>
        <v>0.25</v>
      </c>
      <c r="O33" s="7">
        <f>Input!O13</f>
        <v>0.25</v>
      </c>
      <c r="P33" s="7">
        <f>Input!P13</f>
        <v>0.73</v>
      </c>
      <c r="Q33" s="7">
        <f>Input!Q13</f>
        <v>0.26</v>
      </c>
      <c r="R33" s="7">
        <f>Input!R13</f>
        <v>0.99</v>
      </c>
      <c r="S33" s="7">
        <f>Input!S13</f>
        <v>1.02</v>
      </c>
      <c r="T33" s="7">
        <f>Input!T13</f>
        <v>0.94</v>
      </c>
      <c r="U33" s="7">
        <f>Input!U13</f>
        <v>1.01</v>
      </c>
      <c r="V33" s="7">
        <f>Input!V13</f>
        <v>1.07</v>
      </c>
      <c r="W33" s="7">
        <f>Input!W13</f>
        <v>0.7</v>
      </c>
      <c r="X33" s="7">
        <f>Input!X13</f>
        <v>0.76</v>
      </c>
      <c r="Y33" s="7">
        <f>Input!Y13</f>
        <v>0.67</v>
      </c>
      <c r="Z33" s="7">
        <f>Input!Z13</f>
        <v>0.69</v>
      </c>
      <c r="AA33" s="7">
        <f>Input!AA13</f>
        <v>0.04</v>
      </c>
      <c r="AB33" s="7">
        <f>Input!AB13</f>
        <v>0.1</v>
      </c>
      <c r="AC33" s="7">
        <f>Input!AC13</f>
        <v>0.15</v>
      </c>
      <c r="AD33" s="7">
        <f>Input!AD13</f>
        <v>0.14000000000000001</v>
      </c>
      <c r="AE33" s="7">
        <f>Input!AE13</f>
        <v>0.14000000000000001</v>
      </c>
      <c r="AF33" s="7">
        <f>Input!AF13</f>
        <v>0.12</v>
      </c>
      <c r="AG33" s="7">
        <f>Input!AG13</f>
        <v>0.14000000000000001</v>
      </c>
      <c r="AH33" s="7">
        <f>Input!AH13</f>
        <v>0.12</v>
      </c>
      <c r="AI33" s="7">
        <f>Input!AI13</f>
        <v>0.18</v>
      </c>
      <c r="AJ33" s="7">
        <f>Input!AJ13</f>
        <v>0.12</v>
      </c>
      <c r="AK33" s="7">
        <f>Input!AK13</f>
        <v>0.45</v>
      </c>
      <c r="AL33" s="7">
        <f>Input!AL13</f>
        <v>0.32</v>
      </c>
      <c r="AM33" s="7">
        <f>Input!AM13</f>
        <v>0.38</v>
      </c>
      <c r="AN33" s="7">
        <f>Input!AN13</f>
        <v>0.37</v>
      </c>
      <c r="AO33" s="7">
        <f>Input!AO13</f>
        <v>0.28000000000000003</v>
      </c>
      <c r="AP33" s="7">
        <f>Input!AP13</f>
        <v>0.13</v>
      </c>
      <c r="AQ33" s="7">
        <f>Input!AQ13</f>
        <v>0.18</v>
      </c>
      <c r="AR33" s="7">
        <f>Input!AR13</f>
        <v>0.15</v>
      </c>
      <c r="AS33" s="7">
        <f>Input!AS13</f>
        <v>0.16</v>
      </c>
      <c r="AT33" s="7">
        <f>Input!AT13</f>
        <v>0.04</v>
      </c>
      <c r="AU33" s="7">
        <f>Input!AU13</f>
        <v>0.16</v>
      </c>
      <c r="AV33" s="7">
        <f>Input!AV13</f>
        <v>0.14000000000000001</v>
      </c>
      <c r="AW33" s="7">
        <f>Input!AW13</f>
        <v>0.17</v>
      </c>
      <c r="AX33" s="7">
        <f>Input!AX13</f>
        <v>7.0000000000000007E-2</v>
      </c>
      <c r="AY33" s="7">
        <f>Input!AY13</f>
        <v>0.08</v>
      </c>
      <c r="AZ33" s="7">
        <f>Input!AZ13</f>
        <v>0.17</v>
      </c>
      <c r="BA33" s="7">
        <f>Input!BA13</f>
        <v>0.04</v>
      </c>
      <c r="BB33" s="7">
        <f>Input!BB13</f>
        <v>0.03</v>
      </c>
      <c r="BC33" s="7">
        <f>Input!BC13</f>
        <v>0.04</v>
      </c>
      <c r="BD33" s="7">
        <f>Input!BD13</f>
        <v>7.0000000000000007E-2</v>
      </c>
      <c r="BE33" s="7">
        <f>Input!BE13</f>
        <v>0.09</v>
      </c>
      <c r="BF33" s="7">
        <f>Input!BF13</f>
        <v>0.09</v>
      </c>
      <c r="BG33" s="7">
        <f>Input!BG13</f>
        <v>0.14000000000000001</v>
      </c>
      <c r="BH33" s="7">
        <f>Input!BH13</f>
        <v>0.08</v>
      </c>
      <c r="BI33" s="7">
        <f>Input!BI13</f>
        <v>0.05</v>
      </c>
      <c r="BJ33" s="7">
        <f>Input!BJ13</f>
        <v>0.12</v>
      </c>
      <c r="BK33" s="7">
        <f>Input!BK13</f>
        <v>0</v>
      </c>
      <c r="BL33" s="7">
        <f>Input!BL13</f>
        <v>0</v>
      </c>
      <c r="BM33" s="7"/>
      <c r="BN33" s="18">
        <f t="shared" si="0"/>
        <v>0.24249999999999999</v>
      </c>
      <c r="BO33" s="17">
        <f t="shared" si="1"/>
        <v>5.6505372690188918E-2</v>
      </c>
      <c r="BP33" s="2"/>
      <c r="BQ33" s="2"/>
      <c r="BR33" s="2"/>
      <c r="BS33" s="2"/>
      <c r="BT33" s="2"/>
    </row>
    <row r="34" spans="1:79" s="1" customFormat="1">
      <c r="A34" s="6" t="s">
        <v>85</v>
      </c>
      <c r="B34" s="54">
        <f>Input!B14</f>
        <v>0</v>
      </c>
      <c r="C34" s="7">
        <f>Input!C14</f>
        <v>0</v>
      </c>
      <c r="D34" s="7">
        <f>Input!D14</f>
        <v>0</v>
      </c>
      <c r="E34" s="7">
        <f>Input!E14</f>
        <v>0</v>
      </c>
      <c r="F34" s="7">
        <f>Input!F14</f>
        <v>0</v>
      </c>
      <c r="G34" s="7">
        <f>Input!G14</f>
        <v>0</v>
      </c>
      <c r="H34" s="7">
        <f>Input!H14</f>
        <v>0</v>
      </c>
      <c r="I34" s="7">
        <f>Input!I14</f>
        <v>0</v>
      </c>
      <c r="J34" s="7">
        <f>Input!J14</f>
        <v>0</v>
      </c>
      <c r="K34" s="54">
        <f>Input!K14</f>
        <v>0</v>
      </c>
      <c r="L34" s="7">
        <f>Input!L14</f>
        <v>0</v>
      </c>
      <c r="M34" s="7">
        <f>Input!M14</f>
        <v>0</v>
      </c>
      <c r="N34" s="7">
        <f>Input!N14</f>
        <v>0</v>
      </c>
      <c r="O34" s="7">
        <f>Input!O14</f>
        <v>0</v>
      </c>
      <c r="P34" s="7">
        <f>Input!P14</f>
        <v>0</v>
      </c>
      <c r="Q34" s="7">
        <f>Input!Q14</f>
        <v>0</v>
      </c>
      <c r="R34" s="7">
        <f>Input!R14</f>
        <v>0</v>
      </c>
      <c r="S34" s="7">
        <f>Input!S14</f>
        <v>0</v>
      </c>
      <c r="T34" s="7">
        <f>Input!T14</f>
        <v>0</v>
      </c>
      <c r="U34" s="7">
        <f>Input!U14</f>
        <v>0</v>
      </c>
      <c r="V34" s="7">
        <f>Input!V14</f>
        <v>0</v>
      </c>
      <c r="W34" s="7">
        <f>Input!W14</f>
        <v>0</v>
      </c>
      <c r="X34" s="7">
        <f>Input!X14</f>
        <v>0</v>
      </c>
      <c r="Y34" s="7">
        <f>Input!Y14</f>
        <v>0</v>
      </c>
      <c r="Z34" s="7">
        <f>Input!Z14</f>
        <v>0</v>
      </c>
      <c r="AA34" s="7">
        <f>Input!AA14</f>
        <v>0</v>
      </c>
      <c r="AB34" s="7">
        <f>Input!AB14</f>
        <v>0</v>
      </c>
      <c r="AC34" s="7">
        <f>Input!AC14</f>
        <v>0</v>
      </c>
      <c r="AD34" s="7">
        <f>Input!AD14</f>
        <v>0</v>
      </c>
      <c r="AE34" s="7">
        <f>Input!AE14</f>
        <v>0</v>
      </c>
      <c r="AF34" s="7">
        <f>Input!AF14</f>
        <v>0</v>
      </c>
      <c r="AG34" s="7">
        <f>Input!AG14</f>
        <v>0</v>
      </c>
      <c r="AH34" s="7">
        <f>Input!AH14</f>
        <v>0</v>
      </c>
      <c r="AI34" s="7">
        <f>Input!AI14</f>
        <v>0</v>
      </c>
      <c r="AJ34" s="7">
        <f>Input!AJ14</f>
        <v>0</v>
      </c>
      <c r="AK34" s="7">
        <f>Input!AK14</f>
        <v>0</v>
      </c>
      <c r="AL34" s="7">
        <f>Input!AL14</f>
        <v>0</v>
      </c>
      <c r="AM34" s="7">
        <f>Input!AM14</f>
        <v>0</v>
      </c>
      <c r="AN34" s="7">
        <f>Input!AN14</f>
        <v>0</v>
      </c>
      <c r="AO34" s="7">
        <f>Input!AO14</f>
        <v>0</v>
      </c>
      <c r="AP34" s="7">
        <f>Input!AP14</f>
        <v>0</v>
      </c>
      <c r="AQ34" s="7">
        <f>Input!AQ14</f>
        <v>0</v>
      </c>
      <c r="AR34" s="7">
        <f>Input!AR14</f>
        <v>0</v>
      </c>
      <c r="AS34" s="7">
        <f>Input!AS14</f>
        <v>0</v>
      </c>
      <c r="AT34" s="7">
        <f>Input!AT14</f>
        <v>0</v>
      </c>
      <c r="AU34" s="7">
        <f>Input!AU14</f>
        <v>0</v>
      </c>
      <c r="AV34" s="7">
        <f>Input!AV14</f>
        <v>0</v>
      </c>
      <c r="AW34" s="7">
        <f>Input!AW14</f>
        <v>0</v>
      </c>
      <c r="AX34" s="7">
        <f>Input!AX14</f>
        <v>0</v>
      </c>
      <c r="AY34" s="7">
        <f>Input!AY14</f>
        <v>0</v>
      </c>
      <c r="AZ34" s="7">
        <f>Input!AZ14</f>
        <v>0</v>
      </c>
      <c r="BA34" s="7">
        <f>Input!BA14</f>
        <v>0</v>
      </c>
      <c r="BB34" s="7">
        <f>Input!BB14</f>
        <v>0</v>
      </c>
      <c r="BC34" s="7">
        <f>Input!BC14</f>
        <v>0</v>
      </c>
      <c r="BD34" s="7">
        <f>Input!BD14</f>
        <v>0</v>
      </c>
      <c r="BE34" s="7">
        <f>Input!BE14</f>
        <v>0</v>
      </c>
      <c r="BF34" s="7">
        <f>Input!BF14</f>
        <v>0</v>
      </c>
      <c r="BG34" s="7">
        <f>Input!BG14</f>
        <v>0</v>
      </c>
      <c r="BH34" s="7">
        <f>Input!BH14</f>
        <v>0</v>
      </c>
      <c r="BI34" s="7">
        <f>Input!BI14</f>
        <v>0</v>
      </c>
      <c r="BJ34" s="7">
        <f>Input!BJ14</f>
        <v>0</v>
      </c>
      <c r="BK34" s="7">
        <f>Input!BK14</f>
        <v>0</v>
      </c>
      <c r="BL34" s="7">
        <f>Input!BL14</f>
        <v>0</v>
      </c>
      <c r="BM34" s="7"/>
      <c r="BN34" s="18">
        <f t="shared" si="0"/>
        <v>0</v>
      </c>
      <c r="BO34" s="17">
        <f t="shared" si="1"/>
        <v>0</v>
      </c>
      <c r="BP34" s="2"/>
      <c r="BQ34" s="2"/>
      <c r="BR34" s="2"/>
      <c r="BS34" s="2"/>
      <c r="BT34" s="2"/>
    </row>
    <row r="35" spans="1:79" s="1" customFormat="1">
      <c r="A35" s="6" t="s">
        <v>86</v>
      </c>
      <c r="B35" s="54">
        <f>Input!B15</f>
        <v>0</v>
      </c>
      <c r="C35" s="7">
        <f>Input!C15</f>
        <v>0</v>
      </c>
      <c r="D35" s="7">
        <f>Input!D15</f>
        <v>0</v>
      </c>
      <c r="E35" s="7">
        <f>Input!E15</f>
        <v>0</v>
      </c>
      <c r="F35" s="7">
        <f>Input!F15</f>
        <v>0</v>
      </c>
      <c r="G35" s="7">
        <f>Input!G15</f>
        <v>0</v>
      </c>
      <c r="H35" s="7">
        <f>Input!H15</f>
        <v>0</v>
      </c>
      <c r="I35" s="7">
        <f>Input!I15</f>
        <v>0</v>
      </c>
      <c r="J35" s="7">
        <f>Input!J15</f>
        <v>0</v>
      </c>
      <c r="K35" s="54">
        <f>Input!K15</f>
        <v>0</v>
      </c>
      <c r="L35" s="7">
        <f>Input!L15</f>
        <v>0</v>
      </c>
      <c r="M35" s="7">
        <f>Input!M15</f>
        <v>0</v>
      </c>
      <c r="N35" s="7">
        <f>Input!N15</f>
        <v>0</v>
      </c>
      <c r="O35" s="7">
        <f>Input!O15</f>
        <v>0</v>
      </c>
      <c r="P35" s="7">
        <f>Input!P15</f>
        <v>0</v>
      </c>
      <c r="Q35" s="7">
        <f>Input!Q15</f>
        <v>0</v>
      </c>
      <c r="R35" s="7">
        <f>Input!R15</f>
        <v>0</v>
      </c>
      <c r="S35" s="7">
        <f>Input!S15</f>
        <v>0</v>
      </c>
      <c r="T35" s="7">
        <f>Input!T15</f>
        <v>0</v>
      </c>
      <c r="U35" s="7">
        <f>Input!U15</f>
        <v>0</v>
      </c>
      <c r="V35" s="7">
        <f>Input!V15</f>
        <v>0</v>
      </c>
      <c r="W35" s="7">
        <f>Input!W15</f>
        <v>0</v>
      </c>
      <c r="X35" s="7">
        <f>Input!X15</f>
        <v>0</v>
      </c>
      <c r="Y35" s="7">
        <f>Input!Y15</f>
        <v>0</v>
      </c>
      <c r="Z35" s="7">
        <f>Input!Z15</f>
        <v>0</v>
      </c>
      <c r="AA35" s="7">
        <f>Input!AA15</f>
        <v>0</v>
      </c>
      <c r="AB35" s="7">
        <f>Input!AB15</f>
        <v>0</v>
      </c>
      <c r="AC35" s="7">
        <f>Input!AC15</f>
        <v>0</v>
      </c>
      <c r="AD35" s="7">
        <f>Input!AD15</f>
        <v>0</v>
      </c>
      <c r="AE35" s="7">
        <f>Input!AE15</f>
        <v>0</v>
      </c>
      <c r="AF35" s="7">
        <f>Input!AF15</f>
        <v>0</v>
      </c>
      <c r="AG35" s="7">
        <f>Input!AG15</f>
        <v>0</v>
      </c>
      <c r="AH35" s="7">
        <f>Input!AH15</f>
        <v>0</v>
      </c>
      <c r="AI35" s="7">
        <f>Input!AI15</f>
        <v>0</v>
      </c>
      <c r="AJ35" s="7">
        <f>Input!AJ15</f>
        <v>0</v>
      </c>
      <c r="AK35" s="7">
        <f>Input!AK15</f>
        <v>0</v>
      </c>
      <c r="AL35" s="7">
        <f>Input!AL15</f>
        <v>0</v>
      </c>
      <c r="AM35" s="7">
        <f>Input!AM15</f>
        <v>0</v>
      </c>
      <c r="AN35" s="7">
        <f>Input!AN15</f>
        <v>0</v>
      </c>
      <c r="AO35" s="7">
        <f>Input!AO15</f>
        <v>0</v>
      </c>
      <c r="AP35" s="7">
        <f>Input!AP15</f>
        <v>0</v>
      </c>
      <c r="AQ35" s="7">
        <f>Input!AQ15</f>
        <v>0</v>
      </c>
      <c r="AR35" s="7">
        <f>Input!AR15</f>
        <v>0</v>
      </c>
      <c r="AS35" s="7">
        <f>Input!AS15</f>
        <v>0</v>
      </c>
      <c r="AT35" s="7">
        <f>Input!AT15</f>
        <v>0</v>
      </c>
      <c r="AU35" s="7">
        <f>Input!AU15</f>
        <v>0</v>
      </c>
      <c r="AV35" s="7">
        <f>Input!AV15</f>
        <v>0</v>
      </c>
      <c r="AW35" s="7">
        <f>Input!AW15</f>
        <v>0</v>
      </c>
      <c r="AX35" s="7">
        <f>Input!AX15</f>
        <v>0</v>
      </c>
      <c r="AY35" s="7">
        <f>Input!AY15</f>
        <v>0</v>
      </c>
      <c r="AZ35" s="7">
        <f>Input!AZ15</f>
        <v>0</v>
      </c>
      <c r="BA35" s="7">
        <f>Input!BA15</f>
        <v>0</v>
      </c>
      <c r="BB35" s="7">
        <f>Input!BB15</f>
        <v>0</v>
      </c>
      <c r="BC35" s="7">
        <f>Input!BC15</f>
        <v>0</v>
      </c>
      <c r="BD35" s="7">
        <f>Input!BD15</f>
        <v>0</v>
      </c>
      <c r="BE35" s="7">
        <f>Input!BE15</f>
        <v>0</v>
      </c>
      <c r="BF35" s="7">
        <f>Input!BF15</f>
        <v>0</v>
      </c>
      <c r="BG35" s="7">
        <f>Input!BG15</f>
        <v>0</v>
      </c>
      <c r="BH35" s="7">
        <f>Input!BH15</f>
        <v>0</v>
      </c>
      <c r="BI35" s="7">
        <f>Input!BI15</f>
        <v>0</v>
      </c>
      <c r="BJ35" s="7">
        <f>Input!BJ15</f>
        <v>0</v>
      </c>
      <c r="BK35" s="7">
        <f>Input!BK15</f>
        <v>0</v>
      </c>
      <c r="BL35" s="7">
        <f>Input!BL15</f>
        <v>0</v>
      </c>
      <c r="BM35" s="7"/>
      <c r="BN35" s="18">
        <f t="shared" si="0"/>
        <v>0</v>
      </c>
      <c r="BO35" s="17">
        <f t="shared" si="1"/>
        <v>0</v>
      </c>
      <c r="BP35" s="2"/>
      <c r="BQ35" s="2"/>
      <c r="BR35" s="2"/>
      <c r="BS35" s="2"/>
      <c r="BT35" s="2"/>
    </row>
    <row r="36" spans="1:79" s="1" customFormat="1">
      <c r="A36" s="6" t="s">
        <v>87</v>
      </c>
      <c r="B36" s="54">
        <f>Input!B16</f>
        <v>0</v>
      </c>
      <c r="C36" s="7">
        <f>Input!C16</f>
        <v>0</v>
      </c>
      <c r="D36" s="7">
        <f>Input!D16</f>
        <v>0</v>
      </c>
      <c r="E36" s="7">
        <f>Input!E16</f>
        <v>0</v>
      </c>
      <c r="F36" s="7">
        <f>Input!F16</f>
        <v>0</v>
      </c>
      <c r="G36" s="7">
        <f>Input!G16</f>
        <v>0</v>
      </c>
      <c r="H36" s="7">
        <f>Input!H16</f>
        <v>0</v>
      </c>
      <c r="I36" s="7">
        <f>Input!I16</f>
        <v>0</v>
      </c>
      <c r="J36" s="7">
        <f>Input!J16</f>
        <v>0</v>
      </c>
      <c r="K36" s="54">
        <f>Input!K16</f>
        <v>0</v>
      </c>
      <c r="L36" s="7">
        <f>Input!L16</f>
        <v>0</v>
      </c>
      <c r="M36" s="7">
        <f>Input!M16</f>
        <v>0</v>
      </c>
      <c r="N36" s="7">
        <f>Input!N16</f>
        <v>0</v>
      </c>
      <c r="O36" s="7">
        <f>Input!O16</f>
        <v>0</v>
      </c>
      <c r="P36" s="7">
        <f>Input!P16</f>
        <v>0</v>
      </c>
      <c r="Q36" s="7">
        <f>Input!Q16</f>
        <v>0</v>
      </c>
      <c r="R36" s="7">
        <f>Input!R16</f>
        <v>0</v>
      </c>
      <c r="S36" s="7">
        <f>Input!S16</f>
        <v>0</v>
      </c>
      <c r="T36" s="7">
        <f>Input!T16</f>
        <v>0</v>
      </c>
      <c r="U36" s="7">
        <f>Input!U16</f>
        <v>0</v>
      </c>
      <c r="V36" s="7">
        <f>Input!V16</f>
        <v>0</v>
      </c>
      <c r="W36" s="7">
        <f>Input!W16</f>
        <v>0</v>
      </c>
      <c r="X36" s="7">
        <f>Input!X16</f>
        <v>0</v>
      </c>
      <c r="Y36" s="7">
        <f>Input!Y16</f>
        <v>0</v>
      </c>
      <c r="Z36" s="7">
        <f>Input!Z16</f>
        <v>0</v>
      </c>
      <c r="AA36" s="7">
        <f>Input!AA16</f>
        <v>0</v>
      </c>
      <c r="AB36" s="7">
        <f>Input!AB16</f>
        <v>0</v>
      </c>
      <c r="AC36" s="7">
        <f>Input!AC16</f>
        <v>0</v>
      </c>
      <c r="AD36" s="7">
        <f>Input!AD16</f>
        <v>0</v>
      </c>
      <c r="AE36" s="7">
        <f>Input!AE16</f>
        <v>0</v>
      </c>
      <c r="AF36" s="7">
        <f>Input!AF16</f>
        <v>0</v>
      </c>
      <c r="AG36" s="7">
        <f>Input!AG16</f>
        <v>0</v>
      </c>
      <c r="AH36" s="7">
        <f>Input!AH16</f>
        <v>0</v>
      </c>
      <c r="AI36" s="7">
        <f>Input!AI16</f>
        <v>0</v>
      </c>
      <c r="AJ36" s="7">
        <f>Input!AJ16</f>
        <v>0</v>
      </c>
      <c r="AK36" s="7">
        <f>Input!AK16</f>
        <v>0</v>
      </c>
      <c r="AL36" s="7">
        <f>Input!AL16</f>
        <v>0</v>
      </c>
      <c r="AM36" s="7">
        <f>Input!AM16</f>
        <v>0</v>
      </c>
      <c r="AN36" s="7">
        <f>Input!AN16</f>
        <v>0</v>
      </c>
      <c r="AO36" s="7">
        <f>Input!AO16</f>
        <v>0</v>
      </c>
      <c r="AP36" s="7">
        <f>Input!AP16</f>
        <v>0</v>
      </c>
      <c r="AQ36" s="7">
        <f>Input!AQ16</f>
        <v>0</v>
      </c>
      <c r="AR36" s="7">
        <f>Input!AR16</f>
        <v>0</v>
      </c>
      <c r="AS36" s="7">
        <f>Input!AS16</f>
        <v>0</v>
      </c>
      <c r="AT36" s="7">
        <f>Input!AT16</f>
        <v>0</v>
      </c>
      <c r="AU36" s="7">
        <f>Input!AU16</f>
        <v>0</v>
      </c>
      <c r="AV36" s="7">
        <f>Input!AV16</f>
        <v>0</v>
      </c>
      <c r="AW36" s="7">
        <f>Input!AW16</f>
        <v>0</v>
      </c>
      <c r="AX36" s="7">
        <f>Input!AX16</f>
        <v>0</v>
      </c>
      <c r="AY36" s="7">
        <f>Input!AY16</f>
        <v>0</v>
      </c>
      <c r="AZ36" s="7">
        <f>Input!AZ16</f>
        <v>0</v>
      </c>
      <c r="BA36" s="7">
        <f>Input!BA16</f>
        <v>0</v>
      </c>
      <c r="BB36" s="7">
        <f>Input!BB16</f>
        <v>0</v>
      </c>
      <c r="BC36" s="7">
        <f>Input!BC16</f>
        <v>0</v>
      </c>
      <c r="BD36" s="7">
        <f>Input!BD16</f>
        <v>0</v>
      </c>
      <c r="BE36" s="7">
        <f>Input!BE16</f>
        <v>0</v>
      </c>
      <c r="BF36" s="7">
        <f>Input!BF16</f>
        <v>0</v>
      </c>
      <c r="BG36" s="7">
        <f>Input!BG16</f>
        <v>0</v>
      </c>
      <c r="BH36" s="7">
        <f>Input!BH16</f>
        <v>0</v>
      </c>
      <c r="BI36" s="7">
        <f>Input!BI16</f>
        <v>0</v>
      </c>
      <c r="BJ36" s="7">
        <f>Input!BJ16</f>
        <v>0</v>
      </c>
      <c r="BK36" s="7">
        <f>Input!BK16</f>
        <v>0</v>
      </c>
      <c r="BL36" s="7">
        <f>Input!BL16</f>
        <v>0</v>
      </c>
      <c r="BM36" s="7"/>
      <c r="BN36" s="18">
        <f t="shared" si="0"/>
        <v>0</v>
      </c>
      <c r="BO36" s="17">
        <f t="shared" si="1"/>
        <v>0</v>
      </c>
      <c r="BP36" s="2"/>
      <c r="BQ36" s="2"/>
      <c r="BR36" s="2"/>
      <c r="BS36" s="2"/>
      <c r="BT36" s="2"/>
    </row>
    <row r="37" spans="1:79" s="1" customFormat="1" ht="14" thickBot="1">
      <c r="A37" s="14"/>
      <c r="B37" s="56"/>
      <c r="C37" s="15"/>
      <c r="D37" s="15"/>
      <c r="E37" s="15"/>
      <c r="F37" s="15"/>
      <c r="G37" s="15"/>
      <c r="H37" s="15"/>
      <c r="I37" s="15"/>
      <c r="J37" s="15"/>
      <c r="K37" s="5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7"/>
      <c r="BN37" s="19"/>
      <c r="BO37" s="20"/>
      <c r="BP37" s="2"/>
      <c r="BQ37" s="2"/>
      <c r="BR37" s="2"/>
      <c r="BS37" s="2"/>
      <c r="BT37" s="2"/>
    </row>
    <row r="38" spans="1:79" s="1" customFormat="1">
      <c r="A38" s="1" t="s">
        <v>115</v>
      </c>
      <c r="B38" s="54">
        <f t="shared" ref="B38:V38" si="2">SUM(B23:B33)</f>
        <v>95.519999999999982</v>
      </c>
      <c r="C38" s="2">
        <f t="shared" si="2"/>
        <v>96.37</v>
      </c>
      <c r="D38" s="2">
        <f t="shared" si="2"/>
        <v>97.26</v>
      </c>
      <c r="E38" s="2">
        <f t="shared" si="2"/>
        <v>95.570000000000007</v>
      </c>
      <c r="F38" s="2">
        <f t="shared" si="2"/>
        <v>96.67</v>
      </c>
      <c r="G38" s="2">
        <f t="shared" si="2"/>
        <v>96.820000000000007</v>
      </c>
      <c r="H38" s="2">
        <f t="shared" si="2"/>
        <v>96.45</v>
      </c>
      <c r="I38" s="2">
        <f t="shared" si="2"/>
        <v>97.259999999999991</v>
      </c>
      <c r="J38" s="2">
        <f t="shared" si="2"/>
        <v>96.73</v>
      </c>
      <c r="K38" s="54">
        <f t="shared" si="2"/>
        <v>92.399999999999991</v>
      </c>
      <c r="L38" s="2">
        <f t="shared" si="2"/>
        <v>97.260000000000019</v>
      </c>
      <c r="M38" s="2">
        <f t="shared" si="2"/>
        <v>96.46</v>
      </c>
      <c r="N38" s="2">
        <f t="shared" si="2"/>
        <v>96.66</v>
      </c>
      <c r="O38" s="2">
        <f t="shared" si="2"/>
        <v>97.220000000000013</v>
      </c>
      <c r="P38" s="2">
        <f t="shared" si="2"/>
        <v>95.9</v>
      </c>
      <c r="Q38" s="2">
        <f t="shared" si="2"/>
        <v>96.330000000000013</v>
      </c>
      <c r="R38" s="2">
        <f t="shared" si="2"/>
        <v>96.740000000000009</v>
      </c>
      <c r="S38" s="2">
        <f t="shared" si="2"/>
        <v>96.77</v>
      </c>
      <c r="T38" s="2">
        <f t="shared" si="2"/>
        <v>96.829999999999984</v>
      </c>
      <c r="U38" s="2">
        <f t="shared" si="2"/>
        <v>96.19</v>
      </c>
      <c r="V38" s="2">
        <f t="shared" si="2"/>
        <v>96.610000000000014</v>
      </c>
      <c r="W38" s="2">
        <f t="shared" ref="W38:AF38" si="3">SUM(W23:W33)</f>
        <v>95.649999999999991</v>
      </c>
      <c r="X38" s="2">
        <f t="shared" si="3"/>
        <v>96.14</v>
      </c>
      <c r="Y38" s="2">
        <f t="shared" si="3"/>
        <v>96.52</v>
      </c>
      <c r="Z38" s="2">
        <f t="shared" si="3"/>
        <v>96.58</v>
      </c>
      <c r="AA38" s="2">
        <f t="shared" si="3"/>
        <v>96.480000000000018</v>
      </c>
      <c r="AB38" s="2">
        <f t="shared" si="3"/>
        <v>97.76</v>
      </c>
      <c r="AC38" s="2">
        <f t="shared" si="3"/>
        <v>97.44</v>
      </c>
      <c r="AD38" s="2">
        <f t="shared" si="3"/>
        <v>97.25</v>
      </c>
      <c r="AE38" s="2">
        <f t="shared" si="3"/>
        <v>97.34</v>
      </c>
      <c r="AF38" s="2">
        <f t="shared" si="3"/>
        <v>97.250000000000014</v>
      </c>
      <c r="AG38" s="2">
        <f t="shared" ref="AG38:AS38" si="4">SUM(AG23:AG33)</f>
        <v>97.47</v>
      </c>
      <c r="AH38" s="2">
        <f t="shared" si="4"/>
        <v>98.26</v>
      </c>
      <c r="AI38" s="2">
        <f t="shared" si="4"/>
        <v>96.639999999999986</v>
      </c>
      <c r="AJ38" s="2">
        <f t="shared" si="4"/>
        <v>97.100000000000009</v>
      </c>
      <c r="AK38" s="2">
        <f t="shared" si="4"/>
        <v>96.94</v>
      </c>
      <c r="AL38" s="2">
        <f t="shared" si="4"/>
        <v>96.52</v>
      </c>
      <c r="AM38" s="2">
        <f t="shared" si="4"/>
        <v>97.260000000000019</v>
      </c>
      <c r="AN38" s="2">
        <f t="shared" si="4"/>
        <v>96.600000000000009</v>
      </c>
      <c r="AO38" s="2">
        <f t="shared" si="4"/>
        <v>96.72</v>
      </c>
      <c r="AP38" s="2">
        <f t="shared" si="4"/>
        <v>97.009999999999991</v>
      </c>
      <c r="AQ38" s="2">
        <f t="shared" si="4"/>
        <v>96.960000000000008</v>
      </c>
      <c r="AR38" s="2">
        <f t="shared" si="4"/>
        <v>96.95</v>
      </c>
      <c r="AS38" s="2">
        <f t="shared" si="4"/>
        <v>97.29</v>
      </c>
      <c r="AT38" s="2">
        <f t="shared" ref="AT38:BI38" si="5">SUM(AT23:AT33)</f>
        <v>96.330000000000013</v>
      </c>
      <c r="AU38" s="2">
        <f t="shared" si="5"/>
        <v>96.569999999999979</v>
      </c>
      <c r="AV38" s="2">
        <f t="shared" si="5"/>
        <v>96.95</v>
      </c>
      <c r="AW38" s="2">
        <f t="shared" si="5"/>
        <v>96.12</v>
      </c>
      <c r="AX38" s="2">
        <f t="shared" si="5"/>
        <v>95.179999999999993</v>
      </c>
      <c r="AY38" s="2">
        <f t="shared" si="5"/>
        <v>96.490000000000009</v>
      </c>
      <c r="AZ38" s="2">
        <f t="shared" si="5"/>
        <v>97.07</v>
      </c>
      <c r="BA38" s="2">
        <f t="shared" si="5"/>
        <v>96.660000000000011</v>
      </c>
      <c r="BB38" s="2">
        <f t="shared" si="5"/>
        <v>96.55</v>
      </c>
      <c r="BC38" s="2">
        <f t="shared" si="5"/>
        <v>95.26</v>
      </c>
      <c r="BD38" s="2">
        <f t="shared" si="5"/>
        <v>96.43</v>
      </c>
      <c r="BE38" s="2">
        <f t="shared" si="5"/>
        <v>97.070000000000007</v>
      </c>
      <c r="BF38" s="2">
        <f t="shared" si="5"/>
        <v>96.47</v>
      </c>
      <c r="BG38" s="2">
        <f t="shared" si="5"/>
        <v>96.24</v>
      </c>
      <c r="BH38" s="2">
        <f t="shared" si="5"/>
        <v>96.58</v>
      </c>
      <c r="BI38" s="2">
        <f t="shared" si="5"/>
        <v>95.99</v>
      </c>
      <c r="BJ38" s="2">
        <f>SUM(BJ23:BJ33)</f>
        <v>96.140000000000015</v>
      </c>
      <c r="BK38" s="2">
        <f>SUM(BK23:BK33)</f>
        <v>0</v>
      </c>
      <c r="BL38" s="2">
        <f>SUM(BL23:BL33)</f>
        <v>0</v>
      </c>
      <c r="BM38" s="2"/>
      <c r="BN38" s="2">
        <f>SUM(BN23:BN33)</f>
        <v>96.490000000000009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s="1" customFormat="1">
      <c r="B39" s="54"/>
      <c r="C39" s="2"/>
      <c r="D39" s="2"/>
      <c r="E39" s="2"/>
      <c r="F39" s="2"/>
      <c r="G39" s="2"/>
      <c r="H39" s="2"/>
      <c r="I39" s="2"/>
      <c r="J39" s="2"/>
      <c r="K39" s="5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s="1" customFormat="1">
      <c r="B40" s="54"/>
      <c r="C40" s="2"/>
      <c r="D40" s="2"/>
      <c r="E40" s="2"/>
      <c r="F40" s="2"/>
      <c r="G40" s="2"/>
      <c r="H40" s="2"/>
      <c r="I40" s="2"/>
      <c r="J40" s="2"/>
      <c r="K40" s="5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s="1" customFormat="1">
      <c r="A41" s="1" t="s">
        <v>110</v>
      </c>
      <c r="B41" s="54"/>
      <c r="C41" s="2"/>
      <c r="D41" s="2"/>
      <c r="E41" s="2"/>
      <c r="F41" s="2"/>
      <c r="G41" s="2"/>
      <c r="H41" s="2"/>
      <c r="I41" s="2"/>
      <c r="J41" s="2"/>
      <c r="K41" s="5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s="1" customFormat="1">
      <c r="A42" s="1" t="s">
        <v>116</v>
      </c>
      <c r="B42" s="54">
        <f t="shared" ref="B42:B52" si="6">B23*$C4/$B4</f>
        <v>0.77296937416777634</v>
      </c>
      <c r="C42" s="2">
        <f t="shared" ref="C42:T42" si="7">C23*$C4/$B4</f>
        <v>0.75266311584553924</v>
      </c>
      <c r="D42" s="2">
        <f t="shared" si="7"/>
        <v>0.74866844207723038</v>
      </c>
      <c r="E42" s="2">
        <f t="shared" si="7"/>
        <v>0.73285619174434091</v>
      </c>
      <c r="F42" s="2">
        <f t="shared" si="7"/>
        <v>0.74816910785619184</v>
      </c>
      <c r="G42" s="2">
        <f t="shared" si="7"/>
        <v>0.73618508655126491</v>
      </c>
      <c r="H42" s="2">
        <f t="shared" si="7"/>
        <v>0.74833555259653795</v>
      </c>
      <c r="I42" s="2">
        <f t="shared" si="7"/>
        <v>0.75449400798934751</v>
      </c>
      <c r="J42" s="2">
        <f t="shared" si="7"/>
        <v>0.76481358189081228</v>
      </c>
      <c r="K42" s="54">
        <f t="shared" si="7"/>
        <v>0.73551930758988016</v>
      </c>
      <c r="L42" s="2">
        <f t="shared" si="7"/>
        <v>0.75948735019973379</v>
      </c>
      <c r="M42" s="2">
        <f t="shared" si="7"/>
        <v>0.74450732356857519</v>
      </c>
      <c r="N42" s="2">
        <f t="shared" si="7"/>
        <v>0.76098535286284952</v>
      </c>
      <c r="O42" s="2">
        <f t="shared" si="7"/>
        <v>0.73751664447403464</v>
      </c>
      <c r="P42" s="2">
        <f t="shared" si="7"/>
        <v>0.74400798934753665</v>
      </c>
      <c r="Q42" s="2">
        <f t="shared" si="7"/>
        <v>0.85036617842876172</v>
      </c>
      <c r="R42" s="2">
        <f t="shared" si="7"/>
        <v>0.71421438082556588</v>
      </c>
      <c r="S42" s="2">
        <f t="shared" si="7"/>
        <v>0.71388149134487355</v>
      </c>
      <c r="T42" s="2">
        <f t="shared" si="7"/>
        <v>0.70922103861517982</v>
      </c>
      <c r="U42" s="2">
        <f t="shared" ref="U42:AI42" si="8">U23*$C4/$B4</f>
        <v>0.70023302263648468</v>
      </c>
      <c r="V42" s="2">
        <f t="shared" si="8"/>
        <v>0.70289613848202392</v>
      </c>
      <c r="W42" s="2">
        <f t="shared" si="8"/>
        <v>0.75815579227696406</v>
      </c>
      <c r="X42" s="2">
        <f t="shared" si="8"/>
        <v>0.73685086551264989</v>
      </c>
      <c r="Y42" s="2">
        <f t="shared" si="8"/>
        <v>0.68292276964047938</v>
      </c>
      <c r="Z42" s="2">
        <f t="shared" si="8"/>
        <v>0.73934753661784292</v>
      </c>
      <c r="AA42" s="2">
        <f t="shared" si="8"/>
        <v>0.78212383488681758</v>
      </c>
      <c r="AB42" s="2">
        <f t="shared" si="8"/>
        <v>0.73685086551264989</v>
      </c>
      <c r="AC42" s="2">
        <f t="shared" si="8"/>
        <v>0.72470039946737685</v>
      </c>
      <c r="AD42" s="2">
        <f t="shared" si="8"/>
        <v>0.71254993342210393</v>
      </c>
      <c r="AE42" s="2">
        <f t="shared" si="8"/>
        <v>0.70739014647137155</v>
      </c>
      <c r="AF42" s="2">
        <f t="shared" si="8"/>
        <v>0.71671105193075901</v>
      </c>
      <c r="AG42" s="2">
        <f t="shared" si="8"/>
        <v>0.70522636484687085</v>
      </c>
      <c r="AH42" s="2">
        <f t="shared" si="8"/>
        <v>0.72203728362183761</v>
      </c>
      <c r="AI42" s="2">
        <f t="shared" si="8"/>
        <v>0.70339547270306257</v>
      </c>
      <c r="AJ42" s="2">
        <f t="shared" ref="AJ42:BJ42" si="9">AJ23*$C4/$B4</f>
        <v>0.72020639147802934</v>
      </c>
      <c r="AK42" s="2">
        <f t="shared" si="9"/>
        <v>0.73102529960053264</v>
      </c>
      <c r="AL42" s="2">
        <f t="shared" si="9"/>
        <v>0.7242010652463382</v>
      </c>
      <c r="AM42" s="2">
        <f t="shared" si="9"/>
        <v>0.73685086551264989</v>
      </c>
      <c r="AN42" s="2">
        <f t="shared" si="9"/>
        <v>0.73551930758988016</v>
      </c>
      <c r="AO42" s="2">
        <f t="shared" si="9"/>
        <v>0.73685086551264989</v>
      </c>
      <c r="AP42" s="2">
        <f t="shared" si="9"/>
        <v>0.73718375499334221</v>
      </c>
      <c r="AQ42" s="2">
        <f t="shared" si="9"/>
        <v>0.74167776298268984</v>
      </c>
      <c r="AR42" s="2">
        <f t="shared" si="9"/>
        <v>0.73535286284953394</v>
      </c>
      <c r="AS42" s="2">
        <f t="shared" si="9"/>
        <v>0.73252330226364848</v>
      </c>
      <c r="AT42" s="2">
        <f t="shared" si="9"/>
        <v>0.73085885486018642</v>
      </c>
      <c r="AU42" s="2">
        <f t="shared" si="9"/>
        <v>0.76165113182423438</v>
      </c>
      <c r="AV42" s="2">
        <f t="shared" si="9"/>
        <v>0.73152463382157129</v>
      </c>
      <c r="AW42" s="2">
        <f t="shared" si="9"/>
        <v>0.7143808255659122</v>
      </c>
      <c r="AX42" s="2">
        <f t="shared" si="9"/>
        <v>0.72020639147802934</v>
      </c>
      <c r="AY42" s="2">
        <f t="shared" si="9"/>
        <v>0.72919440745672448</v>
      </c>
      <c r="AZ42" s="2">
        <f t="shared" si="9"/>
        <v>0.73768308921438086</v>
      </c>
      <c r="BA42" s="2">
        <f t="shared" si="9"/>
        <v>0.71970705725699069</v>
      </c>
      <c r="BB42" s="2">
        <f t="shared" si="9"/>
        <v>0.71787616511318253</v>
      </c>
      <c r="BC42" s="2">
        <f t="shared" si="9"/>
        <v>0.70406125166444733</v>
      </c>
      <c r="BD42" s="2">
        <f t="shared" si="9"/>
        <v>0.7133821571238349</v>
      </c>
      <c r="BE42" s="2">
        <f t="shared" si="9"/>
        <v>0.71271637816245004</v>
      </c>
      <c r="BF42" s="2">
        <f t="shared" si="9"/>
        <v>0.69490679094540619</v>
      </c>
      <c r="BG42" s="2">
        <f t="shared" si="9"/>
        <v>0.68675099866844203</v>
      </c>
      <c r="BH42" s="2">
        <f t="shared" si="9"/>
        <v>0.70938748335552593</v>
      </c>
      <c r="BI42" s="2">
        <f t="shared" si="9"/>
        <v>0.690745672436751</v>
      </c>
      <c r="BJ42" s="2">
        <f t="shared" si="9"/>
        <v>0.6960719041278296</v>
      </c>
      <c r="BK42" s="2"/>
      <c r="BL42" s="2"/>
      <c r="BM42" s="2"/>
      <c r="BN42" s="2">
        <f t="shared" ref="BN42:BN52" si="10">BN23*$C4/$B4</f>
        <v>0.74929260985352863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s="1" customFormat="1">
      <c r="A43" s="1" t="s">
        <v>117</v>
      </c>
      <c r="B43" s="54">
        <f t="shared" si="6"/>
        <v>5.5068836045056319E-3</v>
      </c>
      <c r="C43" s="2">
        <f t="shared" ref="C43:T43" si="11">C24*$C5/$B5</f>
        <v>6.8836045056320403E-3</v>
      </c>
      <c r="D43" s="2">
        <f t="shared" si="11"/>
        <v>7.1339173967459313E-3</v>
      </c>
      <c r="E43" s="2">
        <f t="shared" si="11"/>
        <v>4.8811013767209007E-3</v>
      </c>
      <c r="F43" s="2">
        <f t="shared" si="11"/>
        <v>7.7596996245306625E-3</v>
      </c>
      <c r="G43" s="2">
        <f t="shared" si="11"/>
        <v>7.2590738423028772E-3</v>
      </c>
      <c r="H43" s="2">
        <f t="shared" si="11"/>
        <v>7.5093867334167699E-3</v>
      </c>
      <c r="I43" s="2">
        <f t="shared" si="11"/>
        <v>7.6345431789737166E-3</v>
      </c>
      <c r="J43" s="2">
        <f t="shared" si="11"/>
        <v>6.1326658322903623E-3</v>
      </c>
      <c r="K43" s="54">
        <f t="shared" si="11"/>
        <v>5.5068836045056319E-3</v>
      </c>
      <c r="L43" s="2">
        <f t="shared" si="11"/>
        <v>7.5093867334167699E-3</v>
      </c>
      <c r="M43" s="2">
        <f t="shared" si="11"/>
        <v>7.8848560700876084E-3</v>
      </c>
      <c r="N43" s="2">
        <f t="shared" si="11"/>
        <v>7.8848560700876084E-3</v>
      </c>
      <c r="O43" s="2">
        <f t="shared" si="11"/>
        <v>9.8873591989987481E-3</v>
      </c>
      <c r="P43" s="2">
        <f t="shared" si="11"/>
        <v>1.7146433041301628E-2</v>
      </c>
      <c r="Q43" s="2">
        <f t="shared" si="11"/>
        <v>1.0012515644555694E-3</v>
      </c>
      <c r="R43" s="2">
        <f t="shared" si="11"/>
        <v>2.0400500625782227E-2</v>
      </c>
      <c r="S43" s="2">
        <f t="shared" si="11"/>
        <v>1.9899874843554443E-2</v>
      </c>
      <c r="T43" s="2">
        <f t="shared" si="11"/>
        <v>1.9899874843554443E-2</v>
      </c>
      <c r="U43" s="2">
        <f t="shared" ref="U43:AI43" si="12">U24*$C5/$B5</f>
        <v>1.9399249061326656E-2</v>
      </c>
      <c r="V43" s="2">
        <f t="shared" si="12"/>
        <v>1.8648310387984979E-2</v>
      </c>
      <c r="W43" s="2">
        <f t="shared" si="12"/>
        <v>1.0638297872340425E-2</v>
      </c>
      <c r="X43" s="2">
        <f t="shared" si="12"/>
        <v>1.076345431789737E-2</v>
      </c>
      <c r="Y43" s="2">
        <f t="shared" si="12"/>
        <v>1.5519399249061325E-2</v>
      </c>
      <c r="Z43" s="2">
        <f t="shared" si="12"/>
        <v>7.8848560700876084E-3</v>
      </c>
      <c r="AA43" s="2">
        <f t="shared" si="12"/>
        <v>1.1514392991239049E-2</v>
      </c>
      <c r="AB43" s="2">
        <f t="shared" si="12"/>
        <v>2.8035043804755945E-2</v>
      </c>
      <c r="AC43" s="2">
        <f t="shared" si="12"/>
        <v>3.103879849812265E-2</v>
      </c>
      <c r="AD43" s="2">
        <f t="shared" si="12"/>
        <v>3.1539424280350434E-2</v>
      </c>
      <c r="AE43" s="2">
        <f t="shared" si="12"/>
        <v>3.1664580725907381E-2</v>
      </c>
      <c r="AF43" s="2">
        <f t="shared" si="12"/>
        <v>3.128911138923654E-2</v>
      </c>
      <c r="AG43" s="2">
        <f t="shared" si="12"/>
        <v>3.2916145181476841E-2</v>
      </c>
      <c r="AH43" s="2">
        <f t="shared" si="12"/>
        <v>2.9286608260325402E-2</v>
      </c>
      <c r="AI43" s="2">
        <f t="shared" si="12"/>
        <v>3.2916145181476841E-2</v>
      </c>
      <c r="AJ43" s="2">
        <f t="shared" ref="AJ43:BJ43" si="13">AJ24*$C5/$B5</f>
        <v>2.9536921151439296E-2</v>
      </c>
      <c r="AK43" s="2">
        <f t="shared" si="13"/>
        <v>9.6370463078848563E-3</v>
      </c>
      <c r="AL43" s="2">
        <f t="shared" si="13"/>
        <v>1.1264080100125156E-2</v>
      </c>
      <c r="AM43" s="2">
        <f t="shared" si="13"/>
        <v>9.7622027534418013E-3</v>
      </c>
      <c r="AN43" s="2">
        <f t="shared" si="13"/>
        <v>9.0112640801001242E-3</v>
      </c>
      <c r="AO43" s="2">
        <f t="shared" si="13"/>
        <v>9.7622027534418013E-3</v>
      </c>
      <c r="AP43" s="2">
        <f t="shared" si="13"/>
        <v>1.0888610763454317E-2</v>
      </c>
      <c r="AQ43" s="2">
        <f t="shared" si="13"/>
        <v>1.1889862327909886E-2</v>
      </c>
      <c r="AR43" s="2">
        <f t="shared" si="13"/>
        <v>1.1013767209011264E-2</v>
      </c>
      <c r="AS43" s="2">
        <f t="shared" si="13"/>
        <v>1.2140175219023778E-2</v>
      </c>
      <c r="AT43" s="2">
        <f t="shared" si="13"/>
        <v>1.1639549436795994E-2</v>
      </c>
      <c r="AU43" s="2">
        <f t="shared" si="13"/>
        <v>7.5093867334167699E-3</v>
      </c>
      <c r="AV43" s="2">
        <f t="shared" si="13"/>
        <v>1.3141426783479349E-2</v>
      </c>
      <c r="AW43" s="2">
        <f t="shared" si="13"/>
        <v>1.0012515644555695E-2</v>
      </c>
      <c r="AX43" s="2">
        <f t="shared" si="13"/>
        <v>9.5118898623279095E-3</v>
      </c>
      <c r="AY43" s="2">
        <f t="shared" si="13"/>
        <v>1.3016270337922402E-2</v>
      </c>
      <c r="AZ43" s="2">
        <f t="shared" si="13"/>
        <v>1.1514392991239049E-2</v>
      </c>
      <c r="BA43" s="2">
        <f t="shared" si="13"/>
        <v>1.8648310387984979E-2</v>
      </c>
      <c r="BB43" s="2">
        <f t="shared" si="13"/>
        <v>1.8898623279098872E-2</v>
      </c>
      <c r="BC43" s="2">
        <f t="shared" si="13"/>
        <v>1.8022528160200248E-2</v>
      </c>
      <c r="BD43" s="2">
        <f t="shared" si="13"/>
        <v>1.7271589486858571E-2</v>
      </c>
      <c r="BE43" s="2">
        <f t="shared" si="13"/>
        <v>1.9524405506883603E-2</v>
      </c>
      <c r="BF43" s="2">
        <f t="shared" si="13"/>
        <v>2.2778473091364205E-2</v>
      </c>
      <c r="BG43" s="2">
        <f t="shared" si="13"/>
        <v>2.3404255319148935E-2</v>
      </c>
      <c r="BH43" s="2">
        <f t="shared" si="13"/>
        <v>1.9649561952440549E-2</v>
      </c>
      <c r="BI43" s="2">
        <f t="shared" si="13"/>
        <v>2.4780976220275343E-2</v>
      </c>
      <c r="BJ43" s="2">
        <f t="shared" si="13"/>
        <v>2.4280350438047556E-2</v>
      </c>
      <c r="BK43" s="2"/>
      <c r="BL43" s="2"/>
      <c r="BM43" s="2"/>
      <c r="BN43" s="2">
        <f t="shared" si="10"/>
        <v>6.821026282853567E-3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s="1" customFormat="1">
      <c r="A44" s="1" t="s">
        <v>118</v>
      </c>
      <c r="B44" s="54">
        <f t="shared" si="6"/>
        <v>6.5793455919700402E-4</v>
      </c>
      <c r="C44" s="2">
        <f t="shared" ref="C44:T44" si="14">C25*$C6/$B6</f>
        <v>5.2634764735760321E-4</v>
      </c>
      <c r="D44" s="2">
        <f t="shared" si="14"/>
        <v>3.9476073551820241E-4</v>
      </c>
      <c r="E44" s="2">
        <f t="shared" si="14"/>
        <v>6.5793455919700402E-4</v>
      </c>
      <c r="F44" s="2">
        <f t="shared" si="14"/>
        <v>3.9476073551820241E-4</v>
      </c>
      <c r="G44" s="2">
        <f t="shared" si="14"/>
        <v>2.6317382367880161E-4</v>
      </c>
      <c r="H44" s="2">
        <f t="shared" si="14"/>
        <v>9.2110838287580573E-4</v>
      </c>
      <c r="I44" s="2">
        <f t="shared" si="14"/>
        <v>6.5793455919700402E-4</v>
      </c>
      <c r="J44" s="2">
        <f t="shared" si="14"/>
        <v>7.8952147103640482E-4</v>
      </c>
      <c r="K44" s="54">
        <f t="shared" si="14"/>
        <v>1.315869118394008E-4</v>
      </c>
      <c r="L44" s="2">
        <f t="shared" si="14"/>
        <v>6.5793455919700402E-4</v>
      </c>
      <c r="M44" s="2">
        <f t="shared" si="14"/>
        <v>5.2634764735760321E-4</v>
      </c>
      <c r="N44" s="2">
        <f t="shared" si="14"/>
        <v>7.8952147103640482E-4</v>
      </c>
      <c r="O44" s="2">
        <f t="shared" si="14"/>
        <v>5.2634764735760321E-4</v>
      </c>
      <c r="P44" s="2">
        <f t="shared" si="14"/>
        <v>1.1842822065546072E-3</v>
      </c>
      <c r="Q44" s="2">
        <f t="shared" si="14"/>
        <v>2.6317382367880161E-4</v>
      </c>
      <c r="R44" s="2">
        <f t="shared" si="14"/>
        <v>1.4474560302334088E-3</v>
      </c>
      <c r="S44" s="2">
        <f t="shared" si="14"/>
        <v>1.4474560302334088E-3</v>
      </c>
      <c r="T44" s="2">
        <f t="shared" si="14"/>
        <v>1.315869118394008E-3</v>
      </c>
      <c r="U44" s="2">
        <f t="shared" ref="U44:AI44" si="15">U25*$C6/$B6</f>
        <v>1.4474560302334088E-3</v>
      </c>
      <c r="V44" s="2">
        <f t="shared" si="15"/>
        <v>1.315869118394008E-3</v>
      </c>
      <c r="W44" s="2">
        <f t="shared" si="15"/>
        <v>9.2110838287580573E-4</v>
      </c>
      <c r="X44" s="2">
        <f t="shared" si="15"/>
        <v>9.2110838287580573E-4</v>
      </c>
      <c r="Y44" s="2">
        <f t="shared" si="15"/>
        <v>2.2369775012698137E-3</v>
      </c>
      <c r="Z44" s="2">
        <f t="shared" si="15"/>
        <v>1.1842822065546072E-3</v>
      </c>
      <c r="AA44" s="2">
        <f t="shared" si="15"/>
        <v>1.1842822065546072E-3</v>
      </c>
      <c r="AB44" s="2">
        <f t="shared" si="15"/>
        <v>1.4474560302334088E-3</v>
      </c>
      <c r="AC44" s="2">
        <f t="shared" si="15"/>
        <v>3.2896727959850201E-3</v>
      </c>
      <c r="AD44" s="2">
        <f t="shared" si="15"/>
        <v>3.0264989723062185E-3</v>
      </c>
      <c r="AE44" s="2">
        <f t="shared" si="15"/>
        <v>1.4474560302334088E-3</v>
      </c>
      <c r="AF44" s="2">
        <f t="shared" si="15"/>
        <v>1.973803677591012E-3</v>
      </c>
      <c r="AG44" s="2">
        <f t="shared" si="15"/>
        <v>7.8952147103640482E-4</v>
      </c>
      <c r="AH44" s="2">
        <f t="shared" si="15"/>
        <v>2.6317382367880161E-4</v>
      </c>
      <c r="AI44" s="2">
        <f t="shared" si="15"/>
        <v>6.5793455919700402E-4</v>
      </c>
      <c r="AJ44" s="2">
        <f t="shared" ref="AJ44:BJ44" si="16">AJ25*$C6/$B6</f>
        <v>5.2634764735760321E-4</v>
      </c>
      <c r="AK44" s="2">
        <f t="shared" si="16"/>
        <v>2.6317382367880161E-4</v>
      </c>
      <c r="AL44" s="2">
        <f t="shared" si="16"/>
        <v>2.6317382367880161E-4</v>
      </c>
      <c r="AM44" s="2">
        <f t="shared" si="16"/>
        <v>7.8952147103640482E-4</v>
      </c>
      <c r="AN44" s="2">
        <f t="shared" si="16"/>
        <v>9.2110838287580573E-4</v>
      </c>
      <c r="AO44" s="2">
        <f t="shared" si="16"/>
        <v>9.2110838287580573E-4</v>
      </c>
      <c r="AP44" s="2">
        <f t="shared" si="16"/>
        <v>6.5793455919700402E-4</v>
      </c>
      <c r="AQ44" s="2">
        <f t="shared" si="16"/>
        <v>6.5793455919700402E-4</v>
      </c>
      <c r="AR44" s="2">
        <f t="shared" si="16"/>
        <v>3.9476073551820241E-4</v>
      </c>
      <c r="AS44" s="2">
        <f t="shared" si="16"/>
        <v>3.9476073551820241E-4</v>
      </c>
      <c r="AT44" s="2">
        <f t="shared" si="16"/>
        <v>2.6317382367880161E-4</v>
      </c>
      <c r="AU44" s="2">
        <f t="shared" si="16"/>
        <v>3.9476073551820241E-4</v>
      </c>
      <c r="AV44" s="2">
        <f t="shared" si="16"/>
        <v>2.6317382367880161E-4</v>
      </c>
      <c r="AW44" s="2">
        <f t="shared" si="16"/>
        <v>0</v>
      </c>
      <c r="AX44" s="2">
        <f t="shared" si="16"/>
        <v>3.9476073551820241E-4</v>
      </c>
      <c r="AY44" s="2">
        <f t="shared" si="16"/>
        <v>6.5793455919700402E-4</v>
      </c>
      <c r="AZ44" s="2">
        <f t="shared" si="16"/>
        <v>2.6317382367880161E-4</v>
      </c>
      <c r="BA44" s="2">
        <f t="shared" si="16"/>
        <v>2.6317382367880161E-4</v>
      </c>
      <c r="BB44" s="2">
        <f t="shared" si="16"/>
        <v>2.6317382367880161E-4</v>
      </c>
      <c r="BC44" s="2">
        <f t="shared" si="16"/>
        <v>3.9476073551820241E-4</v>
      </c>
      <c r="BD44" s="2">
        <f t="shared" si="16"/>
        <v>2.6317382367880161E-4</v>
      </c>
      <c r="BE44" s="2">
        <f t="shared" si="16"/>
        <v>1.315869118394008E-4</v>
      </c>
      <c r="BF44" s="2">
        <f t="shared" si="16"/>
        <v>3.9476073551820241E-4</v>
      </c>
      <c r="BG44" s="2">
        <f t="shared" si="16"/>
        <v>0</v>
      </c>
      <c r="BH44" s="2">
        <f t="shared" si="16"/>
        <v>3.9476073551820241E-4</v>
      </c>
      <c r="BI44" s="2">
        <f t="shared" si="16"/>
        <v>2.6317382367880161E-4</v>
      </c>
      <c r="BJ44" s="2">
        <f t="shared" si="16"/>
        <v>1.315869118394008E-4</v>
      </c>
      <c r="BK44" s="2"/>
      <c r="BL44" s="2"/>
      <c r="BM44" s="2"/>
      <c r="BN44" s="2">
        <f t="shared" si="10"/>
        <v>5.5924437531745331E-4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s="1" customFormat="1">
      <c r="A45" s="1" t="s">
        <v>119</v>
      </c>
      <c r="B45" s="54">
        <f t="shared" si="6"/>
        <v>0.18756131057484796</v>
      </c>
      <c r="C45" s="2">
        <f t="shared" ref="C45:T45" si="17">C26*$C7/$B7</f>
        <v>0.21993329409456544</v>
      </c>
      <c r="D45" s="2">
        <f t="shared" si="17"/>
        <v>0.23111634294683145</v>
      </c>
      <c r="E45" s="2">
        <f t="shared" si="17"/>
        <v>0.23013537374926429</v>
      </c>
      <c r="F45" s="2">
        <f t="shared" si="17"/>
        <v>0.2252305277614283</v>
      </c>
      <c r="G45" s="2">
        <f t="shared" si="17"/>
        <v>0.2336668628605062</v>
      </c>
      <c r="H45" s="2">
        <f t="shared" si="17"/>
        <v>0.22640769079850892</v>
      </c>
      <c r="I45" s="2">
        <f t="shared" si="17"/>
        <v>0.22444575240337453</v>
      </c>
      <c r="J45" s="2">
        <f t="shared" si="17"/>
        <v>0.21326270355110849</v>
      </c>
      <c r="K45" s="54">
        <f t="shared" si="17"/>
        <v>0.18187168922895822</v>
      </c>
      <c r="L45" s="2">
        <f t="shared" si="17"/>
        <v>0.22307239552678046</v>
      </c>
      <c r="M45" s="2">
        <f t="shared" si="17"/>
        <v>0.23033156758877771</v>
      </c>
      <c r="N45" s="2">
        <f t="shared" si="17"/>
        <v>0.22758485383558957</v>
      </c>
      <c r="O45" s="2">
        <f t="shared" si="17"/>
        <v>0.23994506572493626</v>
      </c>
      <c r="P45" s="2">
        <f t="shared" si="17"/>
        <v>0.18618795369825389</v>
      </c>
      <c r="Q45" s="2">
        <f t="shared" si="17"/>
        <v>9.4369236805964291E-2</v>
      </c>
      <c r="R45" s="2">
        <f t="shared" si="17"/>
        <v>0.22189523248969983</v>
      </c>
      <c r="S45" s="2">
        <f t="shared" si="17"/>
        <v>0.22464194624288797</v>
      </c>
      <c r="T45" s="2">
        <f t="shared" si="17"/>
        <v>0.22150284481067292</v>
      </c>
      <c r="U45" s="2">
        <f t="shared" ref="U45:AI45" si="18">U26*$C7/$B7</f>
        <v>0.2317049244653718</v>
      </c>
      <c r="V45" s="2">
        <f t="shared" si="18"/>
        <v>0.23464783205807341</v>
      </c>
      <c r="W45" s="2">
        <f t="shared" si="18"/>
        <v>0.16382185599372179</v>
      </c>
      <c r="X45" s="2">
        <f t="shared" si="18"/>
        <v>0.19952913478516776</v>
      </c>
      <c r="Y45" s="2">
        <f t="shared" si="18"/>
        <v>0.29605650382577986</v>
      </c>
      <c r="Z45" s="2">
        <f t="shared" si="18"/>
        <v>0.22012948793407888</v>
      </c>
      <c r="AA45" s="2">
        <f t="shared" si="18"/>
        <v>0.18520698450068668</v>
      </c>
      <c r="AB45" s="2">
        <f t="shared" si="18"/>
        <v>0.21797135569943102</v>
      </c>
      <c r="AC45" s="2">
        <f t="shared" si="18"/>
        <v>0.24249558563861096</v>
      </c>
      <c r="AD45" s="2">
        <f t="shared" si="18"/>
        <v>0.24171081028055721</v>
      </c>
      <c r="AE45" s="2">
        <f t="shared" si="18"/>
        <v>0.24583088091033942</v>
      </c>
      <c r="AF45" s="2">
        <f t="shared" si="18"/>
        <v>0.2336668628605062</v>
      </c>
      <c r="AG45" s="2">
        <f t="shared" si="18"/>
        <v>0.2546596036884442</v>
      </c>
      <c r="AH45" s="2">
        <f t="shared" si="18"/>
        <v>0.25426721600941732</v>
      </c>
      <c r="AI45" s="2">
        <f t="shared" si="18"/>
        <v>0.24740043162644693</v>
      </c>
      <c r="AJ45" s="2">
        <f t="shared" ref="AJ45:BJ45" si="19">AJ26*$C7/$B7</f>
        <v>0.24053364724347656</v>
      </c>
      <c r="AK45" s="2">
        <f t="shared" si="19"/>
        <v>0.25367863449087696</v>
      </c>
      <c r="AL45" s="2">
        <f t="shared" si="19"/>
        <v>0.26015303119482047</v>
      </c>
      <c r="AM45" s="2">
        <f t="shared" si="19"/>
        <v>0.25387482833039043</v>
      </c>
      <c r="AN45" s="2">
        <f t="shared" si="19"/>
        <v>0.25014714537963506</v>
      </c>
      <c r="AO45" s="2">
        <f t="shared" si="19"/>
        <v>0.24896998234255444</v>
      </c>
      <c r="AP45" s="2">
        <f t="shared" si="19"/>
        <v>0.19737100255051993</v>
      </c>
      <c r="AQ45" s="2">
        <f t="shared" si="19"/>
        <v>0.20286443005689622</v>
      </c>
      <c r="AR45" s="2">
        <f t="shared" si="19"/>
        <v>0.20325681773592308</v>
      </c>
      <c r="AS45" s="2">
        <f t="shared" si="19"/>
        <v>0.20364920541494999</v>
      </c>
      <c r="AT45" s="2">
        <f t="shared" si="19"/>
        <v>0.19972532862468118</v>
      </c>
      <c r="AU45" s="2">
        <f t="shared" si="19"/>
        <v>0.1683343143025309</v>
      </c>
      <c r="AV45" s="2">
        <f t="shared" si="19"/>
        <v>0.20306062389640964</v>
      </c>
      <c r="AW45" s="2">
        <f t="shared" si="19"/>
        <v>0.21502844810672947</v>
      </c>
      <c r="AX45" s="2">
        <f t="shared" si="19"/>
        <v>0.23464783205807341</v>
      </c>
      <c r="AY45" s="2">
        <f t="shared" si="19"/>
        <v>0.20227584853835592</v>
      </c>
      <c r="AZ45" s="2">
        <f t="shared" si="19"/>
        <v>0.20109868550127527</v>
      </c>
      <c r="BA45" s="2">
        <f t="shared" si="19"/>
        <v>0.22581910927996862</v>
      </c>
      <c r="BB45" s="2">
        <f t="shared" si="19"/>
        <v>0.23033156758877771</v>
      </c>
      <c r="BC45" s="2">
        <f t="shared" si="19"/>
        <v>0.21875613105748482</v>
      </c>
      <c r="BD45" s="2">
        <f t="shared" si="19"/>
        <v>0.23484402589758682</v>
      </c>
      <c r="BE45" s="2">
        <f t="shared" si="19"/>
        <v>0.23131253678634489</v>
      </c>
      <c r="BF45" s="2">
        <f t="shared" si="19"/>
        <v>0.23798312732980187</v>
      </c>
      <c r="BG45" s="2">
        <f t="shared" si="19"/>
        <v>0.23974887188542282</v>
      </c>
      <c r="BH45" s="2">
        <f t="shared" si="19"/>
        <v>0.2287620168726702</v>
      </c>
      <c r="BI45" s="2">
        <f t="shared" si="19"/>
        <v>0.23700215813223466</v>
      </c>
      <c r="BJ45" s="2">
        <f t="shared" si="19"/>
        <v>0.23013537374926429</v>
      </c>
      <c r="BK45" s="2"/>
      <c r="BL45" s="2"/>
      <c r="BM45" s="2"/>
      <c r="BN45" s="2">
        <f t="shared" si="10"/>
        <v>0.2223121443986659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s="1" customFormat="1">
      <c r="A46" s="1" t="s">
        <v>120</v>
      </c>
      <c r="B46" s="54">
        <f t="shared" si="6"/>
        <v>0.19178844815588031</v>
      </c>
      <c r="C46" s="2">
        <f t="shared" ref="C46:T46" si="20">C27*$C8/$B8</f>
        <v>0.18705636743215032</v>
      </c>
      <c r="D46" s="2">
        <f t="shared" si="20"/>
        <v>0.20180932498260265</v>
      </c>
      <c r="E46" s="2">
        <f t="shared" si="20"/>
        <v>0.20334029227557412</v>
      </c>
      <c r="F46" s="2">
        <f t="shared" si="20"/>
        <v>0.19345859429366738</v>
      </c>
      <c r="G46" s="2">
        <f t="shared" si="20"/>
        <v>0.20389700765483648</v>
      </c>
      <c r="H46" s="2">
        <f t="shared" si="20"/>
        <v>0.18761308281141267</v>
      </c>
      <c r="I46" s="2">
        <f t="shared" si="20"/>
        <v>0.1963813500347947</v>
      </c>
      <c r="J46" s="2">
        <f t="shared" si="20"/>
        <v>0.1920668058455115</v>
      </c>
      <c r="K46" s="54">
        <f t="shared" si="20"/>
        <v>0.20306193458594296</v>
      </c>
      <c r="L46" s="2">
        <f t="shared" si="20"/>
        <v>0.19095337508698682</v>
      </c>
      <c r="M46" s="2">
        <f t="shared" si="20"/>
        <v>0.19331941544885181</v>
      </c>
      <c r="N46" s="2">
        <f t="shared" si="20"/>
        <v>0.19331941544885181</v>
      </c>
      <c r="O46" s="2">
        <f t="shared" si="20"/>
        <v>0.2011134307585247</v>
      </c>
      <c r="P46" s="2">
        <f t="shared" si="20"/>
        <v>0.18691718858733475</v>
      </c>
      <c r="Q46" s="2">
        <f t="shared" si="20"/>
        <v>0.13987473903966599</v>
      </c>
      <c r="R46" s="2">
        <f t="shared" si="20"/>
        <v>0.19944328462073765</v>
      </c>
      <c r="S46" s="2">
        <f t="shared" si="20"/>
        <v>0.19860821155184413</v>
      </c>
      <c r="T46" s="2">
        <f t="shared" si="20"/>
        <v>0.20431454418928324</v>
      </c>
      <c r="U46" s="2">
        <f t="shared" ref="U46:AI46" si="21">U27*$C8/$B8</f>
        <v>0.20570633263743912</v>
      </c>
      <c r="V46" s="2">
        <f t="shared" si="21"/>
        <v>0.20222686151704941</v>
      </c>
      <c r="W46" s="2">
        <f t="shared" si="21"/>
        <v>0.20069589422407796</v>
      </c>
      <c r="X46" s="2">
        <f t="shared" si="21"/>
        <v>0.19554627696590121</v>
      </c>
      <c r="Y46" s="2">
        <f t="shared" si="21"/>
        <v>0.19248434237995826</v>
      </c>
      <c r="Z46" s="2">
        <f t="shared" si="21"/>
        <v>0.19164926931106474</v>
      </c>
      <c r="AA46" s="2">
        <f t="shared" si="21"/>
        <v>0.16089074460681979</v>
      </c>
      <c r="AB46" s="2">
        <f t="shared" si="21"/>
        <v>0.18469032707028532</v>
      </c>
      <c r="AC46" s="2">
        <f t="shared" si="21"/>
        <v>0.16938065414057066</v>
      </c>
      <c r="AD46" s="2">
        <f t="shared" si="21"/>
        <v>0.17745302713987476</v>
      </c>
      <c r="AE46" s="2">
        <f t="shared" si="21"/>
        <v>0.18761308281141267</v>
      </c>
      <c r="AF46" s="2">
        <f t="shared" si="21"/>
        <v>0.18260264439805149</v>
      </c>
      <c r="AG46" s="2">
        <f t="shared" si="21"/>
        <v>0.18538622129436327</v>
      </c>
      <c r="AH46" s="2">
        <f t="shared" si="21"/>
        <v>0.18218510786360476</v>
      </c>
      <c r="AI46" s="2">
        <f t="shared" si="21"/>
        <v>0.18079331941544888</v>
      </c>
      <c r="AJ46" s="2">
        <f t="shared" ref="AJ46:BJ46" si="22">AJ27*$C8/$B8</f>
        <v>0.17828810020876829</v>
      </c>
      <c r="AK46" s="2">
        <f t="shared" si="22"/>
        <v>0.19234516353514267</v>
      </c>
      <c r="AL46" s="2">
        <f t="shared" si="22"/>
        <v>0.1906750173973556</v>
      </c>
      <c r="AM46" s="2">
        <f t="shared" si="22"/>
        <v>0.19011830201809327</v>
      </c>
      <c r="AN46" s="2">
        <f t="shared" si="22"/>
        <v>0.18942240779401531</v>
      </c>
      <c r="AO46" s="2">
        <f t="shared" si="22"/>
        <v>0.18524704244954768</v>
      </c>
      <c r="AP46" s="2">
        <f t="shared" si="22"/>
        <v>0.2535838552540014</v>
      </c>
      <c r="AQ46" s="2">
        <f t="shared" si="22"/>
        <v>0.2467640918580376</v>
      </c>
      <c r="AR46" s="2">
        <f t="shared" si="22"/>
        <v>0.24940848990953379</v>
      </c>
      <c r="AS46" s="2">
        <f t="shared" si="22"/>
        <v>0.25720250521920673</v>
      </c>
      <c r="AT46" s="2">
        <f t="shared" si="22"/>
        <v>0.25469728601252611</v>
      </c>
      <c r="AU46" s="2">
        <f t="shared" si="22"/>
        <v>0.24328462073764789</v>
      </c>
      <c r="AV46" s="2">
        <f t="shared" si="22"/>
        <v>0.25887265135699378</v>
      </c>
      <c r="AW46" s="2">
        <f t="shared" si="22"/>
        <v>0.2559498956158664</v>
      </c>
      <c r="AX46" s="2">
        <f t="shared" si="22"/>
        <v>0.22212943632567853</v>
      </c>
      <c r="AY46" s="2">
        <f t="shared" si="22"/>
        <v>0.25567153792623526</v>
      </c>
      <c r="AZ46" s="2">
        <f t="shared" si="22"/>
        <v>0.25038274182324288</v>
      </c>
      <c r="BA46" s="2">
        <f t="shared" si="22"/>
        <v>0.20640222686151707</v>
      </c>
      <c r="BB46" s="2">
        <f t="shared" si="22"/>
        <v>0.20709812108559503</v>
      </c>
      <c r="BC46" s="2">
        <f t="shared" si="22"/>
        <v>0.20807237299930412</v>
      </c>
      <c r="BD46" s="2">
        <f t="shared" si="22"/>
        <v>0.20848990953375091</v>
      </c>
      <c r="BE46" s="2">
        <f t="shared" si="22"/>
        <v>0.21127348643006263</v>
      </c>
      <c r="BF46" s="2">
        <f t="shared" si="22"/>
        <v>0.23660403618649967</v>
      </c>
      <c r="BG46" s="2">
        <f t="shared" si="22"/>
        <v>0.24064022268615171</v>
      </c>
      <c r="BH46" s="2">
        <f t="shared" si="22"/>
        <v>0.23173277661795408</v>
      </c>
      <c r="BI46" s="2">
        <f t="shared" si="22"/>
        <v>0.23938761308281142</v>
      </c>
      <c r="BJ46" s="2">
        <f t="shared" si="22"/>
        <v>0.2281141266527488</v>
      </c>
      <c r="BK46" s="2"/>
      <c r="BL46" s="2"/>
      <c r="BM46" s="2"/>
      <c r="BN46" s="2">
        <f t="shared" si="10"/>
        <v>0.19566805845511487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s="1" customFormat="1">
      <c r="A47" s="1" t="s">
        <v>121</v>
      </c>
      <c r="B47" s="54">
        <f t="shared" si="6"/>
        <v>9.585970650013393E-3</v>
      </c>
      <c r="C47" s="2">
        <f t="shared" ref="C47:T47" si="23">C28*$C9/$B9</f>
        <v>1.1841493155898896E-2</v>
      </c>
      <c r="D47" s="2">
        <f t="shared" si="23"/>
        <v>1.4237985818402245E-2</v>
      </c>
      <c r="E47" s="2">
        <f t="shared" si="23"/>
        <v>1.5647687384580687E-2</v>
      </c>
      <c r="F47" s="2">
        <f t="shared" si="23"/>
        <v>1.198246331251674E-2</v>
      </c>
      <c r="G47" s="2">
        <f t="shared" si="23"/>
        <v>1.1841493155898896E-2</v>
      </c>
      <c r="H47" s="2">
        <f t="shared" si="23"/>
        <v>1.1418582686045365E-2</v>
      </c>
      <c r="I47" s="2">
        <f t="shared" si="23"/>
        <v>1.198246331251674E-2</v>
      </c>
      <c r="J47" s="2">
        <f t="shared" si="23"/>
        <v>1.2546343938988116E-2</v>
      </c>
      <c r="K47" s="54">
        <f t="shared" si="23"/>
        <v>1.2546343938988116E-2</v>
      </c>
      <c r="L47" s="2">
        <f t="shared" si="23"/>
        <v>1.2687314095605961E-2</v>
      </c>
      <c r="M47" s="2">
        <f t="shared" si="23"/>
        <v>1.0854702059573989E-2</v>
      </c>
      <c r="N47" s="2">
        <f t="shared" si="23"/>
        <v>9.7269408066312357E-3</v>
      </c>
      <c r="O47" s="2">
        <f t="shared" si="23"/>
        <v>9.86791096324908E-3</v>
      </c>
      <c r="P47" s="2">
        <f t="shared" si="23"/>
        <v>3.1013434455925684E-3</v>
      </c>
      <c r="Q47" s="2">
        <f t="shared" si="23"/>
        <v>3.2423136022104123E-3</v>
      </c>
      <c r="R47" s="2">
        <f t="shared" si="23"/>
        <v>2.5374628191211922E-3</v>
      </c>
      <c r="S47" s="2">
        <f t="shared" si="23"/>
        <v>2.8194031323568805E-3</v>
      </c>
      <c r="T47" s="2">
        <f t="shared" si="23"/>
        <v>2.960373288974724E-3</v>
      </c>
      <c r="U47" s="2">
        <f t="shared" ref="U47:AI47" si="24">U28*$C9/$B9</f>
        <v>2.6784329757390361E-3</v>
      </c>
      <c r="V47" s="2">
        <f t="shared" si="24"/>
        <v>3.6652240720639441E-3</v>
      </c>
      <c r="W47" s="2">
        <f t="shared" si="24"/>
        <v>3.5242539154461002E-3</v>
      </c>
      <c r="X47" s="2">
        <f t="shared" si="24"/>
        <v>3.2423136022104123E-3</v>
      </c>
      <c r="Y47" s="2">
        <f t="shared" si="24"/>
        <v>2.1145523492676599E-3</v>
      </c>
      <c r="Z47" s="2">
        <f t="shared" si="24"/>
        <v>2.960373288974724E-3</v>
      </c>
      <c r="AA47" s="2">
        <f t="shared" si="24"/>
        <v>2.5374628191211922E-3</v>
      </c>
      <c r="AB47" s="2">
        <f t="shared" si="24"/>
        <v>3.6652240720639441E-3</v>
      </c>
      <c r="AC47" s="2">
        <f t="shared" si="24"/>
        <v>1.9735821926498164E-3</v>
      </c>
      <c r="AD47" s="2">
        <f t="shared" si="24"/>
        <v>2.960373288974724E-3</v>
      </c>
      <c r="AE47" s="2">
        <f t="shared" si="24"/>
        <v>3.3832837588282563E-3</v>
      </c>
      <c r="AF47" s="2">
        <f t="shared" si="24"/>
        <v>3.1013434455925684E-3</v>
      </c>
      <c r="AG47" s="2">
        <f t="shared" si="24"/>
        <v>3.3832837588282563E-3</v>
      </c>
      <c r="AH47" s="2">
        <f t="shared" si="24"/>
        <v>2.960373288974724E-3</v>
      </c>
      <c r="AI47" s="2">
        <f t="shared" si="24"/>
        <v>3.5242539154461002E-3</v>
      </c>
      <c r="AJ47" s="2">
        <f t="shared" ref="AJ47:BJ47" si="25">AJ28*$C9/$B9</f>
        <v>3.3832837588282563E-3</v>
      </c>
      <c r="AK47" s="2">
        <f t="shared" si="25"/>
        <v>3.5242539154461002E-3</v>
      </c>
      <c r="AL47" s="2">
        <f t="shared" si="25"/>
        <v>2.8194031323568805E-3</v>
      </c>
      <c r="AM47" s="2">
        <f t="shared" si="25"/>
        <v>2.5374628191211922E-3</v>
      </c>
      <c r="AN47" s="2">
        <f t="shared" si="25"/>
        <v>2.960373288974724E-3</v>
      </c>
      <c r="AO47" s="2">
        <f t="shared" si="25"/>
        <v>3.9471643852996329E-3</v>
      </c>
      <c r="AP47" s="2">
        <f t="shared" si="25"/>
        <v>4.3700748551531643E-3</v>
      </c>
      <c r="AQ47" s="2">
        <f t="shared" si="25"/>
        <v>3.8061942286817885E-3</v>
      </c>
      <c r="AR47" s="2">
        <f t="shared" si="25"/>
        <v>4.7929853250066965E-3</v>
      </c>
      <c r="AS47" s="2">
        <f t="shared" si="25"/>
        <v>4.7929853250066965E-3</v>
      </c>
      <c r="AT47" s="2">
        <f t="shared" si="25"/>
        <v>4.6520151683888521E-3</v>
      </c>
      <c r="AU47" s="2">
        <f t="shared" si="25"/>
        <v>3.8061942286817885E-3</v>
      </c>
      <c r="AV47" s="2">
        <f t="shared" si="25"/>
        <v>3.9471643852996329E-3</v>
      </c>
      <c r="AW47" s="2">
        <f t="shared" si="25"/>
        <v>3.6652240720639441E-3</v>
      </c>
      <c r="AX47" s="2">
        <f t="shared" si="25"/>
        <v>3.5242539154461002E-3</v>
      </c>
      <c r="AY47" s="2">
        <f t="shared" si="25"/>
        <v>4.2291046985353199E-3</v>
      </c>
      <c r="AZ47" s="2">
        <f t="shared" si="25"/>
        <v>4.2291046985353199E-3</v>
      </c>
      <c r="BA47" s="2">
        <f t="shared" si="25"/>
        <v>2.8194031323568805E-3</v>
      </c>
      <c r="BB47" s="2">
        <f t="shared" si="25"/>
        <v>3.3832837588282563E-3</v>
      </c>
      <c r="BC47" s="2">
        <f t="shared" si="25"/>
        <v>2.5374628191211922E-3</v>
      </c>
      <c r="BD47" s="2">
        <f t="shared" si="25"/>
        <v>2.8194031323568805E-3</v>
      </c>
      <c r="BE47" s="2">
        <f t="shared" si="25"/>
        <v>2.5374628191211922E-3</v>
      </c>
      <c r="BF47" s="2">
        <f t="shared" si="25"/>
        <v>2.2555225058855043E-3</v>
      </c>
      <c r="BG47" s="2">
        <f t="shared" si="25"/>
        <v>3.5242539154461002E-3</v>
      </c>
      <c r="BH47" s="2">
        <f t="shared" si="25"/>
        <v>2.8194031323568805E-3</v>
      </c>
      <c r="BI47" s="2">
        <f t="shared" si="25"/>
        <v>2.960373288974724E-3</v>
      </c>
      <c r="BJ47" s="2">
        <f t="shared" si="25"/>
        <v>3.3832837588282563E-3</v>
      </c>
      <c r="BK47" s="2"/>
      <c r="BL47" s="2"/>
      <c r="BM47" s="2"/>
      <c r="BN47" s="2">
        <f t="shared" si="10"/>
        <v>1.231726743448412E-2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s="1" customFormat="1">
      <c r="A48" s="1" t="s">
        <v>122</v>
      </c>
      <c r="B48" s="54">
        <f t="shared" si="6"/>
        <v>4.0155589524209801E-4</v>
      </c>
      <c r="C48" s="2">
        <f t="shared" ref="C48:T48" si="26">C29*$C10/$B10</f>
        <v>0</v>
      </c>
      <c r="D48" s="2">
        <f t="shared" si="26"/>
        <v>0</v>
      </c>
      <c r="E48" s="2">
        <f t="shared" si="26"/>
        <v>4.0155589524209801E-4</v>
      </c>
      <c r="F48" s="2">
        <f t="shared" si="26"/>
        <v>0</v>
      </c>
      <c r="G48" s="2">
        <f t="shared" si="26"/>
        <v>0</v>
      </c>
      <c r="H48" s="2">
        <f t="shared" si="26"/>
        <v>0</v>
      </c>
      <c r="I48" s="2">
        <f t="shared" si="26"/>
        <v>0</v>
      </c>
      <c r="J48" s="2">
        <f t="shared" si="26"/>
        <v>0</v>
      </c>
      <c r="K48" s="54">
        <f t="shared" si="26"/>
        <v>0</v>
      </c>
      <c r="L48" s="2">
        <f t="shared" si="26"/>
        <v>0</v>
      </c>
      <c r="M48" s="2">
        <f t="shared" si="26"/>
        <v>0</v>
      </c>
      <c r="N48" s="2">
        <f t="shared" si="26"/>
        <v>0</v>
      </c>
      <c r="O48" s="2">
        <f t="shared" si="26"/>
        <v>0</v>
      </c>
      <c r="P48" s="2">
        <f t="shared" si="26"/>
        <v>0</v>
      </c>
      <c r="Q48" s="2">
        <f t="shared" si="26"/>
        <v>0</v>
      </c>
      <c r="R48" s="2">
        <f t="shared" si="26"/>
        <v>0</v>
      </c>
      <c r="S48" s="2">
        <f t="shared" si="26"/>
        <v>0</v>
      </c>
      <c r="T48" s="2">
        <f t="shared" si="26"/>
        <v>0</v>
      </c>
      <c r="U48" s="2">
        <f t="shared" ref="U48:AI48" si="27">U29*$C10/$B10</f>
        <v>0</v>
      </c>
      <c r="V48" s="2">
        <f t="shared" si="27"/>
        <v>0</v>
      </c>
      <c r="W48" s="2">
        <f t="shared" si="27"/>
        <v>0</v>
      </c>
      <c r="X48" s="2">
        <f t="shared" si="27"/>
        <v>0</v>
      </c>
      <c r="Y48" s="2">
        <f t="shared" si="27"/>
        <v>0</v>
      </c>
      <c r="Z48" s="2">
        <f t="shared" si="27"/>
        <v>0</v>
      </c>
      <c r="AA48" s="2">
        <f t="shared" si="27"/>
        <v>0</v>
      </c>
      <c r="AB48" s="2">
        <f t="shared" si="27"/>
        <v>0</v>
      </c>
      <c r="AC48" s="2">
        <f t="shared" si="27"/>
        <v>0</v>
      </c>
      <c r="AD48" s="2">
        <f t="shared" si="27"/>
        <v>0</v>
      </c>
      <c r="AE48" s="2">
        <f t="shared" si="27"/>
        <v>0</v>
      </c>
      <c r="AF48" s="2">
        <f t="shared" si="27"/>
        <v>0</v>
      </c>
      <c r="AG48" s="2">
        <f t="shared" si="27"/>
        <v>0</v>
      </c>
      <c r="AH48" s="2">
        <f t="shared" si="27"/>
        <v>0</v>
      </c>
      <c r="AI48" s="2">
        <f t="shared" si="27"/>
        <v>0</v>
      </c>
      <c r="AJ48" s="2">
        <f t="shared" ref="AJ48:BJ48" si="28">AJ29*$C10/$B10</f>
        <v>0</v>
      </c>
      <c r="AK48" s="2">
        <f t="shared" si="28"/>
        <v>0</v>
      </c>
      <c r="AL48" s="2">
        <f t="shared" si="28"/>
        <v>0</v>
      </c>
      <c r="AM48" s="2">
        <f t="shared" si="28"/>
        <v>0</v>
      </c>
      <c r="AN48" s="2">
        <f t="shared" si="28"/>
        <v>0</v>
      </c>
      <c r="AO48" s="2">
        <f t="shared" si="28"/>
        <v>0</v>
      </c>
      <c r="AP48" s="2">
        <f t="shared" si="28"/>
        <v>0</v>
      </c>
      <c r="AQ48" s="2">
        <f t="shared" si="28"/>
        <v>0</v>
      </c>
      <c r="AR48" s="2">
        <f t="shared" si="28"/>
        <v>0</v>
      </c>
      <c r="AS48" s="2">
        <f t="shared" si="28"/>
        <v>0</v>
      </c>
      <c r="AT48" s="2">
        <f t="shared" si="28"/>
        <v>0</v>
      </c>
      <c r="AU48" s="2">
        <f t="shared" si="28"/>
        <v>0</v>
      </c>
      <c r="AV48" s="2">
        <f t="shared" si="28"/>
        <v>0</v>
      </c>
      <c r="AW48" s="2">
        <f t="shared" si="28"/>
        <v>0</v>
      </c>
      <c r="AX48" s="2">
        <f t="shared" si="28"/>
        <v>0</v>
      </c>
      <c r="AY48" s="2">
        <f t="shared" si="28"/>
        <v>0</v>
      </c>
      <c r="AZ48" s="2">
        <f t="shared" si="28"/>
        <v>0</v>
      </c>
      <c r="BA48" s="2">
        <f t="shared" si="28"/>
        <v>0</v>
      </c>
      <c r="BB48" s="2">
        <f t="shared" si="28"/>
        <v>0</v>
      </c>
      <c r="BC48" s="2">
        <f t="shared" si="28"/>
        <v>0</v>
      </c>
      <c r="BD48" s="2">
        <f t="shared" si="28"/>
        <v>0</v>
      </c>
      <c r="BE48" s="2">
        <f t="shared" si="28"/>
        <v>0</v>
      </c>
      <c r="BF48" s="2">
        <f t="shared" si="28"/>
        <v>0</v>
      </c>
      <c r="BG48" s="2">
        <f t="shared" si="28"/>
        <v>0</v>
      </c>
      <c r="BH48" s="2">
        <f t="shared" si="28"/>
        <v>0</v>
      </c>
      <c r="BI48" s="2">
        <f t="shared" si="28"/>
        <v>0</v>
      </c>
      <c r="BJ48" s="2">
        <f t="shared" si="28"/>
        <v>0</v>
      </c>
      <c r="BK48" s="2"/>
      <c r="BL48" s="2"/>
      <c r="BM48" s="2"/>
      <c r="BN48" s="2">
        <f t="shared" si="10"/>
        <v>1.003889738105245E-4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s="1" customFormat="1">
      <c r="A49" s="1" t="s">
        <v>123</v>
      </c>
      <c r="B49" s="54">
        <f t="shared" si="6"/>
        <v>0.30910444058546266</v>
      </c>
      <c r="C49" s="2">
        <f t="shared" ref="C49:T49" si="29">C30*$C11/$B11</f>
        <v>0.32250062019350034</v>
      </c>
      <c r="D49" s="2">
        <f t="shared" si="29"/>
        <v>0.29918134457950879</v>
      </c>
      <c r="E49" s="2">
        <f t="shared" si="29"/>
        <v>0.29719672537831804</v>
      </c>
      <c r="F49" s="2">
        <f t="shared" si="29"/>
        <v>0.30364673778218804</v>
      </c>
      <c r="G49" s="2">
        <f t="shared" si="29"/>
        <v>0.29570826097742492</v>
      </c>
      <c r="H49" s="2">
        <f t="shared" si="29"/>
        <v>0.30736789878442072</v>
      </c>
      <c r="I49" s="2">
        <f t="shared" si="29"/>
        <v>0.30811213098486728</v>
      </c>
      <c r="J49" s="2">
        <f t="shared" si="29"/>
        <v>0.31853138179111878</v>
      </c>
      <c r="K49" s="54">
        <f t="shared" si="29"/>
        <v>0.27536591416521955</v>
      </c>
      <c r="L49" s="2">
        <f t="shared" si="29"/>
        <v>0.31853138179111878</v>
      </c>
      <c r="M49" s="2">
        <f t="shared" si="29"/>
        <v>0.30215827338129492</v>
      </c>
      <c r="N49" s="2">
        <f t="shared" si="29"/>
        <v>0.29273133217563879</v>
      </c>
      <c r="O49" s="2">
        <f t="shared" si="29"/>
        <v>0.29992557677995535</v>
      </c>
      <c r="P49" s="2">
        <f t="shared" si="29"/>
        <v>0.30662366658397416</v>
      </c>
      <c r="Q49" s="2">
        <f t="shared" si="29"/>
        <v>0.40709501364425699</v>
      </c>
      <c r="R49" s="2">
        <f t="shared" si="29"/>
        <v>0.28925824857355492</v>
      </c>
      <c r="S49" s="2">
        <f t="shared" si="29"/>
        <v>0.28876209377325723</v>
      </c>
      <c r="T49" s="2">
        <f t="shared" si="29"/>
        <v>0.29124286777474573</v>
      </c>
      <c r="U49" s="2">
        <f t="shared" ref="U49:AI49" si="30">U30*$C11/$B11</f>
        <v>0.27685437856611261</v>
      </c>
      <c r="V49" s="2">
        <f t="shared" si="30"/>
        <v>0.27784668816670799</v>
      </c>
      <c r="W49" s="2">
        <f t="shared" si="30"/>
        <v>0.3019101959811461</v>
      </c>
      <c r="X49" s="2">
        <f t="shared" si="30"/>
        <v>0.30711982138427191</v>
      </c>
      <c r="Y49" s="2">
        <f t="shared" si="30"/>
        <v>0.17489456710493673</v>
      </c>
      <c r="Z49" s="2">
        <f t="shared" si="30"/>
        <v>0.27759861076655912</v>
      </c>
      <c r="AA49" s="2">
        <f t="shared" si="30"/>
        <v>0.31034482758620685</v>
      </c>
      <c r="AB49" s="2">
        <f t="shared" si="30"/>
        <v>0.32200446539320265</v>
      </c>
      <c r="AC49" s="2">
        <f t="shared" si="30"/>
        <v>0.31232944678739766</v>
      </c>
      <c r="AD49" s="2">
        <f t="shared" si="30"/>
        <v>0.30463904738278341</v>
      </c>
      <c r="AE49" s="2">
        <f t="shared" si="30"/>
        <v>0.30042173158025298</v>
      </c>
      <c r="AF49" s="2">
        <f t="shared" si="30"/>
        <v>0.30612751178367648</v>
      </c>
      <c r="AG49" s="2">
        <f t="shared" si="30"/>
        <v>0.2947159513768296</v>
      </c>
      <c r="AH49" s="2">
        <f t="shared" si="30"/>
        <v>0.30711982138427191</v>
      </c>
      <c r="AI49" s="2">
        <f t="shared" si="30"/>
        <v>0.2947159513768296</v>
      </c>
      <c r="AJ49" s="2">
        <f t="shared" ref="AJ49:BJ49" si="31">AJ30*$C11/$B11</f>
        <v>0.3083602083850161</v>
      </c>
      <c r="AK49" s="2">
        <f t="shared" si="31"/>
        <v>0.28007938476804761</v>
      </c>
      <c r="AL49" s="2">
        <f t="shared" si="31"/>
        <v>0.27536591416521955</v>
      </c>
      <c r="AM49" s="2">
        <f t="shared" si="31"/>
        <v>0.28901017117340611</v>
      </c>
      <c r="AN49" s="2">
        <f t="shared" si="31"/>
        <v>0.28479285537087573</v>
      </c>
      <c r="AO49" s="2">
        <f t="shared" si="31"/>
        <v>0.28727362937236417</v>
      </c>
      <c r="AP49" s="2">
        <f t="shared" si="31"/>
        <v>0.24510047134706028</v>
      </c>
      <c r="AQ49" s="2">
        <f t="shared" si="31"/>
        <v>0.24534854874720913</v>
      </c>
      <c r="AR49" s="2">
        <f t="shared" si="31"/>
        <v>0.2431158521458695</v>
      </c>
      <c r="AS49" s="2">
        <f t="shared" si="31"/>
        <v>0.23939469114363682</v>
      </c>
      <c r="AT49" s="2">
        <f t="shared" si="31"/>
        <v>0.23865045894319023</v>
      </c>
      <c r="AU49" s="2">
        <f t="shared" si="31"/>
        <v>0.26767551476060525</v>
      </c>
      <c r="AV49" s="2">
        <f t="shared" si="31"/>
        <v>0.23765814934259488</v>
      </c>
      <c r="AW49" s="2">
        <f t="shared" si="31"/>
        <v>0.23368891094021332</v>
      </c>
      <c r="AX49" s="2">
        <f t="shared" si="31"/>
        <v>0.18680228231208137</v>
      </c>
      <c r="AY49" s="2">
        <f t="shared" si="31"/>
        <v>0.23468122054080873</v>
      </c>
      <c r="AZ49" s="2">
        <f t="shared" si="31"/>
        <v>0.24609278094765566</v>
      </c>
      <c r="BA49" s="2">
        <f t="shared" si="31"/>
        <v>0.28131977176879186</v>
      </c>
      <c r="BB49" s="2">
        <f t="shared" si="31"/>
        <v>0.27759861076655912</v>
      </c>
      <c r="BC49" s="2">
        <f t="shared" si="31"/>
        <v>0.28131977176879186</v>
      </c>
      <c r="BD49" s="2">
        <f t="shared" si="31"/>
        <v>0.2741255271644753</v>
      </c>
      <c r="BE49" s="2">
        <f t="shared" si="31"/>
        <v>0.28479285537087573</v>
      </c>
      <c r="BF49" s="2">
        <f t="shared" si="31"/>
        <v>0.23616968494170179</v>
      </c>
      <c r="BG49" s="2">
        <f t="shared" si="31"/>
        <v>0.23443314314065986</v>
      </c>
      <c r="BH49" s="2">
        <f t="shared" si="31"/>
        <v>0.24386008434631604</v>
      </c>
      <c r="BI49" s="2">
        <f t="shared" si="31"/>
        <v>0.23145621433887373</v>
      </c>
      <c r="BJ49" s="2">
        <f t="shared" si="31"/>
        <v>0.2413793103448276</v>
      </c>
      <c r="BK49" s="2"/>
      <c r="BL49" s="2"/>
      <c r="BM49" s="2"/>
      <c r="BN49" s="2">
        <f t="shared" si="10"/>
        <v>0.30535226990821135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s="1" customFormat="1">
      <c r="A50" s="1" t="s">
        <v>124</v>
      </c>
      <c r="B50" s="54">
        <f t="shared" si="6"/>
        <v>0.18705420827389443</v>
      </c>
      <c r="C50" s="2">
        <f t="shared" ref="C50:T50" si="32">C31*$C12/$B12</f>
        <v>0.18776747503566332</v>
      </c>
      <c r="D50" s="2">
        <f t="shared" si="32"/>
        <v>0.18812410841654781</v>
      </c>
      <c r="E50" s="2">
        <f t="shared" si="32"/>
        <v>0.1783166904422254</v>
      </c>
      <c r="F50" s="2">
        <f t="shared" si="32"/>
        <v>0.193830242510699</v>
      </c>
      <c r="G50" s="2">
        <f t="shared" si="32"/>
        <v>0.19507845934379459</v>
      </c>
      <c r="H50" s="2">
        <f t="shared" si="32"/>
        <v>0.19650499286733239</v>
      </c>
      <c r="I50" s="2">
        <f t="shared" si="32"/>
        <v>0.19276034236804565</v>
      </c>
      <c r="J50" s="2">
        <f t="shared" si="32"/>
        <v>0.18295292439372327</v>
      </c>
      <c r="K50" s="54">
        <f t="shared" si="32"/>
        <v>0.18455777460770328</v>
      </c>
      <c r="L50" s="2">
        <f t="shared" si="32"/>
        <v>0.18687589158345222</v>
      </c>
      <c r="M50" s="2">
        <f t="shared" si="32"/>
        <v>0.19276034236804565</v>
      </c>
      <c r="N50" s="2">
        <f t="shared" si="32"/>
        <v>0.1852710413694722</v>
      </c>
      <c r="O50" s="2">
        <f t="shared" si="32"/>
        <v>0.19347360912981454</v>
      </c>
      <c r="P50" s="2">
        <f t="shared" si="32"/>
        <v>0.21629814550641943</v>
      </c>
      <c r="Q50" s="2">
        <f t="shared" si="32"/>
        <v>0.2253922967189729</v>
      </c>
      <c r="R50" s="2">
        <f t="shared" si="32"/>
        <v>0.21308844507845934</v>
      </c>
      <c r="S50" s="2">
        <f t="shared" si="32"/>
        <v>0.21451497860199714</v>
      </c>
      <c r="T50" s="2">
        <f t="shared" si="32"/>
        <v>0.21522824536376606</v>
      </c>
      <c r="U50" s="2">
        <f t="shared" ref="U50:AI50" si="33">U31*$C12/$B12</f>
        <v>0.21166191155492153</v>
      </c>
      <c r="V50" s="2">
        <f t="shared" si="33"/>
        <v>0.21558487874465052</v>
      </c>
      <c r="W50" s="2">
        <f t="shared" si="33"/>
        <v>0.21487161198288163</v>
      </c>
      <c r="X50" s="2">
        <f t="shared" si="33"/>
        <v>0.21094864479315265</v>
      </c>
      <c r="Y50" s="2">
        <f t="shared" si="33"/>
        <v>0.28958630527817403</v>
      </c>
      <c r="Z50" s="2">
        <f t="shared" si="33"/>
        <v>0.23359486447931527</v>
      </c>
      <c r="AA50" s="2">
        <f t="shared" si="33"/>
        <v>0.24215406562054209</v>
      </c>
      <c r="AB50" s="2">
        <f t="shared" si="33"/>
        <v>0.20221112696148361</v>
      </c>
      <c r="AC50" s="2">
        <f t="shared" si="33"/>
        <v>0.20131954350927245</v>
      </c>
      <c r="AD50" s="2">
        <f t="shared" si="33"/>
        <v>0.20470756062767476</v>
      </c>
      <c r="AE50" s="2">
        <f t="shared" si="33"/>
        <v>0.19828815977175462</v>
      </c>
      <c r="AF50" s="2">
        <f t="shared" si="33"/>
        <v>0.19971469329529243</v>
      </c>
      <c r="AG50" s="2">
        <f t="shared" si="33"/>
        <v>0.1998930099857347</v>
      </c>
      <c r="AH50" s="2">
        <f t="shared" si="33"/>
        <v>0.19917974322396576</v>
      </c>
      <c r="AI50" s="2">
        <f t="shared" si="33"/>
        <v>0.20042796005706134</v>
      </c>
      <c r="AJ50" s="2">
        <f t="shared" ref="AJ50:BJ50" si="34">AJ31*$C12/$B12</f>
        <v>0.19632667617689015</v>
      </c>
      <c r="AK50" s="2">
        <f t="shared" si="34"/>
        <v>0.19703994293865909</v>
      </c>
      <c r="AL50" s="2">
        <f t="shared" si="34"/>
        <v>0.19472182596291013</v>
      </c>
      <c r="AM50" s="2">
        <f t="shared" si="34"/>
        <v>0.193830242510699</v>
      </c>
      <c r="AN50" s="2">
        <f t="shared" si="34"/>
        <v>0.19097717546362342</v>
      </c>
      <c r="AO50" s="2">
        <f t="shared" si="34"/>
        <v>0.19400855920114124</v>
      </c>
      <c r="AP50" s="2">
        <f t="shared" si="34"/>
        <v>0.21023537803138373</v>
      </c>
      <c r="AQ50" s="2">
        <f t="shared" si="34"/>
        <v>0.20845221112696147</v>
      </c>
      <c r="AR50" s="2">
        <f t="shared" si="34"/>
        <v>0.2113052781740371</v>
      </c>
      <c r="AS50" s="2">
        <f t="shared" si="34"/>
        <v>0.21005706134094151</v>
      </c>
      <c r="AT50" s="2">
        <f t="shared" si="34"/>
        <v>0.20363766048502141</v>
      </c>
      <c r="AU50" s="2">
        <f t="shared" si="34"/>
        <v>0.20934379457917263</v>
      </c>
      <c r="AV50" s="2">
        <f t="shared" si="34"/>
        <v>0.20399429386590584</v>
      </c>
      <c r="AW50" s="2">
        <f t="shared" si="34"/>
        <v>0.20809557774607704</v>
      </c>
      <c r="AX50" s="2">
        <f t="shared" si="34"/>
        <v>0.25588445078459343</v>
      </c>
      <c r="AY50" s="2">
        <f t="shared" si="34"/>
        <v>0.20470756062767476</v>
      </c>
      <c r="AZ50" s="2">
        <f t="shared" si="34"/>
        <v>0.20934379457917263</v>
      </c>
      <c r="BA50" s="2">
        <f t="shared" si="34"/>
        <v>0.21433666191155493</v>
      </c>
      <c r="BB50" s="2">
        <f t="shared" si="34"/>
        <v>0.21077032810271043</v>
      </c>
      <c r="BC50" s="2">
        <f t="shared" si="34"/>
        <v>0.21255349500713266</v>
      </c>
      <c r="BD50" s="2">
        <f t="shared" si="34"/>
        <v>0.21308844507845934</v>
      </c>
      <c r="BE50" s="2">
        <f t="shared" si="34"/>
        <v>0.21398002853067047</v>
      </c>
      <c r="BF50" s="2">
        <f t="shared" si="34"/>
        <v>0.20666904422253923</v>
      </c>
      <c r="BG50" s="2">
        <f t="shared" si="34"/>
        <v>0.20221112696148361</v>
      </c>
      <c r="BH50" s="2">
        <f t="shared" si="34"/>
        <v>0.20845221112696147</v>
      </c>
      <c r="BI50" s="2">
        <f t="shared" si="34"/>
        <v>0.20328102710413695</v>
      </c>
      <c r="BJ50" s="2">
        <f t="shared" si="34"/>
        <v>0.21362339514978604</v>
      </c>
      <c r="BK50" s="2"/>
      <c r="BL50" s="2"/>
      <c r="BM50" s="2"/>
      <c r="BN50" s="2">
        <f t="shared" si="10"/>
        <v>0.18992956490727531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s="1" customFormat="1">
      <c r="A51" s="1" t="s">
        <v>125</v>
      </c>
      <c r="B51" s="54">
        <f t="shared" si="6"/>
        <v>4.3561033848536677E-2</v>
      </c>
      <c r="C51" s="2">
        <f t="shared" ref="C51:T51" si="35">C32*$C13/$B13</f>
        <v>4.5174405472556543E-2</v>
      </c>
      <c r="D51" s="2">
        <f t="shared" si="35"/>
        <v>4.872382304540028E-2</v>
      </c>
      <c r="E51" s="2">
        <f t="shared" si="35"/>
        <v>4.4851731147752573E-2</v>
      </c>
      <c r="F51" s="2">
        <f t="shared" si="35"/>
        <v>4.4851731147752573E-2</v>
      </c>
      <c r="G51" s="2">
        <f t="shared" si="35"/>
        <v>4.7433125746184378E-2</v>
      </c>
      <c r="H51" s="2">
        <f t="shared" si="35"/>
        <v>4.4206382498144625E-2</v>
      </c>
      <c r="I51" s="2">
        <f t="shared" si="35"/>
        <v>4.5497079797360521E-2</v>
      </c>
      <c r="J51" s="2">
        <f t="shared" si="35"/>
        <v>4.5497079797360521E-2</v>
      </c>
      <c r="K51" s="54">
        <f t="shared" si="35"/>
        <v>4.162498789971282E-2</v>
      </c>
      <c r="L51" s="2">
        <f t="shared" si="35"/>
        <v>4.9369171695008228E-2</v>
      </c>
      <c r="M51" s="2">
        <f t="shared" si="35"/>
        <v>4.6787777096576423E-2</v>
      </c>
      <c r="N51" s="2">
        <f t="shared" si="35"/>
        <v>5.2595914943047981E-2</v>
      </c>
      <c r="O51" s="2">
        <f t="shared" si="35"/>
        <v>4.872382304540028E-2</v>
      </c>
      <c r="P51" s="2">
        <f t="shared" si="35"/>
        <v>4.4529056822948596E-2</v>
      </c>
      <c r="Q51" s="2">
        <f t="shared" si="35"/>
        <v>2.3877900035494174E-2</v>
      </c>
      <c r="R51" s="2">
        <f t="shared" si="35"/>
        <v>5.3886612242263883E-2</v>
      </c>
      <c r="S51" s="2">
        <f t="shared" si="35"/>
        <v>5.065986899422413E-2</v>
      </c>
      <c r="T51" s="2">
        <f t="shared" si="35"/>
        <v>5.1627891968636062E-2</v>
      </c>
      <c r="U51" s="2">
        <f t="shared" ref="U51:AI51" si="36">U32*$C13/$B13</f>
        <v>5.2918589267851958E-2</v>
      </c>
      <c r="V51" s="2">
        <f t="shared" si="36"/>
        <v>5.420928656706786E-2</v>
      </c>
      <c r="W51" s="2">
        <f t="shared" si="36"/>
        <v>4.0011616275692941E-2</v>
      </c>
      <c r="X51" s="2">
        <f t="shared" si="36"/>
        <v>4.9046497370204251E-2</v>
      </c>
      <c r="Y51" s="2">
        <f t="shared" si="36"/>
        <v>3.3880804104417413E-2</v>
      </c>
      <c r="Z51" s="2">
        <f t="shared" si="36"/>
        <v>4.0656964925300895E-2</v>
      </c>
      <c r="AA51" s="2">
        <f t="shared" si="36"/>
        <v>3.7752896002065113E-2</v>
      </c>
      <c r="AB51" s="2">
        <f t="shared" si="36"/>
        <v>6.7116259559226871E-2</v>
      </c>
      <c r="AC51" s="2">
        <f t="shared" si="36"/>
        <v>7.9700558226581925E-2</v>
      </c>
      <c r="AD51" s="2">
        <f t="shared" si="36"/>
        <v>8.0991255525797806E-2</v>
      </c>
      <c r="AE51" s="2">
        <f t="shared" si="36"/>
        <v>8.3249975799425641E-2</v>
      </c>
      <c r="AF51" s="2">
        <f t="shared" si="36"/>
        <v>8.486334742344552E-2</v>
      </c>
      <c r="AG51" s="2">
        <f t="shared" si="36"/>
        <v>8.5186021748249491E-2</v>
      </c>
      <c r="AH51" s="2">
        <f t="shared" si="36"/>
        <v>8.3572650124229611E-2</v>
      </c>
      <c r="AI51" s="2">
        <f t="shared" si="36"/>
        <v>8.2281952825013716E-2</v>
      </c>
      <c r="AJ51" s="2">
        <f t="shared" ref="AJ51:BJ51" si="37">AJ32*$C13/$B13</f>
        <v>8.2604627149817686E-2</v>
      </c>
      <c r="AK51" s="2">
        <f t="shared" si="37"/>
        <v>7.8732535252169986E-2</v>
      </c>
      <c r="AL51" s="2">
        <f t="shared" si="37"/>
        <v>8.3572650124229611E-2</v>
      </c>
      <c r="AM51" s="2">
        <f t="shared" si="37"/>
        <v>7.9700558226581925E-2</v>
      </c>
      <c r="AN51" s="2">
        <f t="shared" si="37"/>
        <v>8.0345906876189865E-2</v>
      </c>
      <c r="AO51" s="2">
        <f t="shared" si="37"/>
        <v>8.3249975799425641E-2</v>
      </c>
      <c r="AP51" s="2">
        <f t="shared" si="37"/>
        <v>4.5497079797360521E-2</v>
      </c>
      <c r="AQ51" s="2">
        <f t="shared" si="37"/>
        <v>4.1947662224516798E-2</v>
      </c>
      <c r="AR51" s="2">
        <f t="shared" si="37"/>
        <v>4.6465102771772446E-2</v>
      </c>
      <c r="AS51" s="2">
        <f t="shared" si="37"/>
        <v>4.8078474395792326E-2</v>
      </c>
      <c r="AT51" s="2">
        <f t="shared" si="37"/>
        <v>5.0982543319028108E-2</v>
      </c>
      <c r="AU51" s="2">
        <f t="shared" si="37"/>
        <v>3.7430221677261136E-2</v>
      </c>
      <c r="AV51" s="2">
        <f t="shared" si="37"/>
        <v>4.9691846019812205E-2</v>
      </c>
      <c r="AW51" s="2">
        <f t="shared" si="37"/>
        <v>4.9369171695008228E-2</v>
      </c>
      <c r="AX51" s="2">
        <f t="shared" si="37"/>
        <v>3.2267432480397533E-2</v>
      </c>
      <c r="AY51" s="2">
        <f t="shared" si="37"/>
        <v>5.1305217643832085E-2</v>
      </c>
      <c r="AZ51" s="2">
        <f t="shared" si="37"/>
        <v>4.6465102771772446E-2</v>
      </c>
      <c r="BA51" s="2">
        <f t="shared" si="37"/>
        <v>6.3566841986383141E-2</v>
      </c>
      <c r="BB51" s="2">
        <f t="shared" si="37"/>
        <v>6.4212190635991095E-2</v>
      </c>
      <c r="BC51" s="2">
        <f t="shared" si="37"/>
        <v>6.1630796037559291E-2</v>
      </c>
      <c r="BD51" s="2">
        <f t="shared" si="37"/>
        <v>6.2921493336775186E-2</v>
      </c>
      <c r="BE51" s="2">
        <f t="shared" si="37"/>
        <v>6.324416766157917E-2</v>
      </c>
      <c r="BF51" s="2">
        <f t="shared" si="37"/>
        <v>7.6796489303346135E-2</v>
      </c>
      <c r="BG51" s="2">
        <f t="shared" si="37"/>
        <v>7.8087186602562031E-2</v>
      </c>
      <c r="BH51" s="2">
        <f t="shared" si="37"/>
        <v>7.2601723080894451E-2</v>
      </c>
      <c r="BI51" s="2">
        <f t="shared" si="37"/>
        <v>7.163370010648254E-2</v>
      </c>
      <c r="BJ51" s="2">
        <f t="shared" si="37"/>
        <v>7.034300280726663E-2</v>
      </c>
      <c r="BK51" s="2"/>
      <c r="BL51" s="2"/>
      <c r="BM51" s="2"/>
      <c r="BN51" s="2">
        <f t="shared" si="10"/>
        <v>4.5537414087961019E-2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s="1" customFormat="1">
      <c r="A52" s="1" t="s">
        <v>126</v>
      </c>
      <c r="B52" s="54">
        <f t="shared" si="6"/>
        <v>5.0955414012738851E-3</v>
      </c>
      <c r="C52" s="2">
        <f t="shared" ref="C52:T52" si="38">C33*$C14/$B14</f>
        <v>2.9723991507431E-3</v>
      </c>
      <c r="D52" s="2">
        <f t="shared" si="38"/>
        <v>5.7324840764331215E-3</v>
      </c>
      <c r="E52" s="2">
        <f t="shared" si="38"/>
        <v>5.3078556263269636E-3</v>
      </c>
      <c r="F52" s="2">
        <f t="shared" si="38"/>
        <v>7.218683651804671E-3</v>
      </c>
      <c r="G52" s="2">
        <f t="shared" si="38"/>
        <v>5.5201698513800421E-3</v>
      </c>
      <c r="H52" s="2">
        <f t="shared" si="38"/>
        <v>4.4585987261146496E-3</v>
      </c>
      <c r="I52" s="2">
        <f t="shared" si="38"/>
        <v>4.8832271762208066E-3</v>
      </c>
      <c r="J52" s="2">
        <f t="shared" si="38"/>
        <v>3.397027600849257E-3</v>
      </c>
      <c r="K52" s="54">
        <f t="shared" si="38"/>
        <v>5.7324840764331215E-3</v>
      </c>
      <c r="L52" s="2">
        <f t="shared" si="38"/>
        <v>2.9723991507431E-3</v>
      </c>
      <c r="M52" s="2">
        <f t="shared" si="38"/>
        <v>4.6709129511677281E-3</v>
      </c>
      <c r="N52" s="2">
        <f t="shared" si="38"/>
        <v>5.3078556263269636E-3</v>
      </c>
      <c r="O52" s="2">
        <f t="shared" si="38"/>
        <v>5.3078556263269636E-3</v>
      </c>
      <c r="P52" s="2">
        <f t="shared" si="38"/>
        <v>1.5498938428874733E-2</v>
      </c>
      <c r="Q52" s="2">
        <f t="shared" si="38"/>
        <v>5.5201698513800421E-3</v>
      </c>
      <c r="R52" s="2">
        <f t="shared" si="38"/>
        <v>2.1019108280254776E-2</v>
      </c>
      <c r="S52" s="2">
        <f t="shared" si="38"/>
        <v>2.1656050955414011E-2</v>
      </c>
      <c r="T52" s="2">
        <f t="shared" si="38"/>
        <v>1.9957537154989383E-2</v>
      </c>
      <c r="U52" s="2">
        <f t="shared" ref="U52:AI52" si="39">U33*$C14/$B14</f>
        <v>2.1443736730360933E-2</v>
      </c>
      <c r="V52" s="2">
        <f t="shared" si="39"/>
        <v>2.2717622080679407E-2</v>
      </c>
      <c r="W52" s="2">
        <f t="shared" si="39"/>
        <v>1.4861995753715497E-2</v>
      </c>
      <c r="X52" s="2">
        <f t="shared" si="39"/>
        <v>1.613588110403397E-2</v>
      </c>
      <c r="Y52" s="2">
        <f t="shared" si="39"/>
        <v>1.4225053078556264E-2</v>
      </c>
      <c r="Z52" s="2">
        <f t="shared" si="39"/>
        <v>1.4649681528662419E-2</v>
      </c>
      <c r="AA52" s="2">
        <f t="shared" si="39"/>
        <v>8.4925690021231425E-4</v>
      </c>
      <c r="AB52" s="2">
        <f t="shared" si="39"/>
        <v>2.1231422505307855E-3</v>
      </c>
      <c r="AC52" s="2">
        <f t="shared" si="39"/>
        <v>3.1847133757961781E-3</v>
      </c>
      <c r="AD52" s="2">
        <f t="shared" si="39"/>
        <v>2.9723991507431E-3</v>
      </c>
      <c r="AE52" s="2">
        <f t="shared" si="39"/>
        <v>2.9723991507431E-3</v>
      </c>
      <c r="AF52" s="2">
        <f t="shared" si="39"/>
        <v>2.5477707006369425E-3</v>
      </c>
      <c r="AG52" s="2">
        <f t="shared" si="39"/>
        <v>2.9723991507431E-3</v>
      </c>
      <c r="AH52" s="2">
        <f t="shared" si="39"/>
        <v>2.5477707006369425E-3</v>
      </c>
      <c r="AI52" s="2">
        <f t="shared" si="39"/>
        <v>3.8216560509554136E-3</v>
      </c>
      <c r="AJ52" s="2">
        <f t="shared" ref="AJ52:BJ52" si="40">AJ33*$C14/$B14</f>
        <v>2.5477707006369425E-3</v>
      </c>
      <c r="AK52" s="2">
        <f t="shared" si="40"/>
        <v>9.5541401273885346E-3</v>
      </c>
      <c r="AL52" s="2">
        <f t="shared" si="40"/>
        <v>6.794055201698514E-3</v>
      </c>
      <c r="AM52" s="2">
        <f t="shared" si="40"/>
        <v>8.0679405520169851E-3</v>
      </c>
      <c r="AN52" s="2">
        <f t="shared" si="40"/>
        <v>7.8556263269639066E-3</v>
      </c>
      <c r="AO52" s="2">
        <f t="shared" si="40"/>
        <v>5.9447983014862E-3</v>
      </c>
      <c r="AP52" s="2">
        <f t="shared" si="40"/>
        <v>2.7600849256900211E-3</v>
      </c>
      <c r="AQ52" s="2">
        <f t="shared" si="40"/>
        <v>3.8216560509554136E-3</v>
      </c>
      <c r="AR52" s="2">
        <f t="shared" si="40"/>
        <v>3.1847133757961781E-3</v>
      </c>
      <c r="AS52" s="2">
        <f t="shared" si="40"/>
        <v>3.397027600849257E-3</v>
      </c>
      <c r="AT52" s="2">
        <f t="shared" si="40"/>
        <v>8.4925690021231425E-4</v>
      </c>
      <c r="AU52" s="2">
        <f t="shared" si="40"/>
        <v>3.397027600849257E-3</v>
      </c>
      <c r="AV52" s="2">
        <f t="shared" si="40"/>
        <v>2.9723991507431E-3</v>
      </c>
      <c r="AW52" s="2">
        <f t="shared" si="40"/>
        <v>3.6093418259023355E-3</v>
      </c>
      <c r="AX52" s="2">
        <f t="shared" si="40"/>
        <v>1.48619957537155E-3</v>
      </c>
      <c r="AY52" s="2">
        <f t="shared" si="40"/>
        <v>1.6985138004246285E-3</v>
      </c>
      <c r="AZ52" s="2">
        <f t="shared" si="40"/>
        <v>3.6093418259023355E-3</v>
      </c>
      <c r="BA52" s="2">
        <f t="shared" si="40"/>
        <v>8.4925690021231425E-4</v>
      </c>
      <c r="BB52" s="2">
        <f t="shared" si="40"/>
        <v>6.3694267515923564E-4</v>
      </c>
      <c r="BC52" s="2">
        <f t="shared" si="40"/>
        <v>8.4925690021231425E-4</v>
      </c>
      <c r="BD52" s="2">
        <f t="shared" si="40"/>
        <v>1.48619957537155E-3</v>
      </c>
      <c r="BE52" s="2">
        <f t="shared" si="40"/>
        <v>1.9108280254777068E-3</v>
      </c>
      <c r="BF52" s="2">
        <f t="shared" si="40"/>
        <v>1.9108280254777068E-3</v>
      </c>
      <c r="BG52" s="2">
        <f t="shared" si="40"/>
        <v>2.9723991507431E-3</v>
      </c>
      <c r="BH52" s="2">
        <f t="shared" si="40"/>
        <v>1.6985138004246285E-3</v>
      </c>
      <c r="BI52" s="2">
        <f t="shared" si="40"/>
        <v>1.0615711252653928E-3</v>
      </c>
      <c r="BJ52" s="2">
        <f t="shared" si="40"/>
        <v>2.5477707006369425E-3</v>
      </c>
      <c r="BK52" s="2"/>
      <c r="BL52" s="2"/>
      <c r="BM52" s="2"/>
      <c r="BN52" s="2">
        <f t="shared" si="10"/>
        <v>5.1486199575371547E-3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s="1" customFormat="1">
      <c r="A53" s="1" t="s">
        <v>89</v>
      </c>
      <c r="B53" s="54">
        <f t="shared" ref="B53:T53" si="41">B34*$C16/$B16</f>
        <v>0</v>
      </c>
      <c r="C53" s="2">
        <f t="shared" si="41"/>
        <v>0</v>
      </c>
      <c r="D53" s="2">
        <f t="shared" si="41"/>
        <v>0</v>
      </c>
      <c r="E53" s="2">
        <f t="shared" si="41"/>
        <v>0</v>
      </c>
      <c r="F53" s="2">
        <f t="shared" si="41"/>
        <v>0</v>
      </c>
      <c r="G53" s="2">
        <f t="shared" si="41"/>
        <v>0</v>
      </c>
      <c r="H53" s="2">
        <f t="shared" si="41"/>
        <v>0</v>
      </c>
      <c r="I53" s="2">
        <f t="shared" si="41"/>
        <v>0</v>
      </c>
      <c r="J53" s="2">
        <f t="shared" si="41"/>
        <v>0</v>
      </c>
      <c r="K53" s="54">
        <f t="shared" si="41"/>
        <v>0</v>
      </c>
      <c r="L53" s="2">
        <f t="shared" si="41"/>
        <v>0</v>
      </c>
      <c r="M53" s="2">
        <f t="shared" si="41"/>
        <v>0</v>
      </c>
      <c r="N53" s="2">
        <f t="shared" si="41"/>
        <v>0</v>
      </c>
      <c r="O53" s="2">
        <f t="shared" si="41"/>
        <v>0</v>
      </c>
      <c r="P53" s="2">
        <f t="shared" si="41"/>
        <v>0</v>
      </c>
      <c r="Q53" s="2">
        <f t="shared" si="41"/>
        <v>0</v>
      </c>
      <c r="R53" s="2">
        <f t="shared" si="41"/>
        <v>0</v>
      </c>
      <c r="S53" s="2">
        <f t="shared" si="41"/>
        <v>0</v>
      </c>
      <c r="T53" s="2">
        <f t="shared" si="41"/>
        <v>0</v>
      </c>
      <c r="U53" s="2">
        <f t="shared" ref="U53:AI53" si="42">U34*$C16/$B16</f>
        <v>0</v>
      </c>
      <c r="V53" s="2">
        <f t="shared" si="42"/>
        <v>0</v>
      </c>
      <c r="W53" s="2">
        <f t="shared" si="42"/>
        <v>0</v>
      </c>
      <c r="X53" s="2">
        <f t="shared" si="42"/>
        <v>0</v>
      </c>
      <c r="Y53" s="2">
        <f t="shared" si="42"/>
        <v>0</v>
      </c>
      <c r="Z53" s="2">
        <f t="shared" si="42"/>
        <v>0</v>
      </c>
      <c r="AA53" s="2">
        <f t="shared" si="42"/>
        <v>0</v>
      </c>
      <c r="AB53" s="2">
        <f t="shared" si="42"/>
        <v>0</v>
      </c>
      <c r="AC53" s="2">
        <f t="shared" si="42"/>
        <v>0</v>
      </c>
      <c r="AD53" s="2">
        <f t="shared" si="42"/>
        <v>0</v>
      </c>
      <c r="AE53" s="2">
        <f t="shared" si="42"/>
        <v>0</v>
      </c>
      <c r="AF53" s="2">
        <f t="shared" si="42"/>
        <v>0</v>
      </c>
      <c r="AG53" s="2">
        <f t="shared" si="42"/>
        <v>0</v>
      </c>
      <c r="AH53" s="2">
        <f t="shared" si="42"/>
        <v>0</v>
      </c>
      <c r="AI53" s="2">
        <f t="shared" si="42"/>
        <v>0</v>
      </c>
      <c r="AJ53" s="2">
        <f t="shared" ref="AJ53:BJ53" si="43">AJ34*$C16/$B16</f>
        <v>0</v>
      </c>
      <c r="AK53" s="2">
        <f t="shared" si="43"/>
        <v>0</v>
      </c>
      <c r="AL53" s="2">
        <f t="shared" si="43"/>
        <v>0</v>
      </c>
      <c r="AM53" s="2">
        <f t="shared" si="43"/>
        <v>0</v>
      </c>
      <c r="AN53" s="2">
        <f t="shared" si="43"/>
        <v>0</v>
      </c>
      <c r="AO53" s="2">
        <f t="shared" si="43"/>
        <v>0</v>
      </c>
      <c r="AP53" s="2">
        <f t="shared" si="43"/>
        <v>0</v>
      </c>
      <c r="AQ53" s="2">
        <f t="shared" si="43"/>
        <v>0</v>
      </c>
      <c r="AR53" s="2">
        <f t="shared" si="43"/>
        <v>0</v>
      </c>
      <c r="AS53" s="2">
        <f t="shared" si="43"/>
        <v>0</v>
      </c>
      <c r="AT53" s="2">
        <f t="shared" si="43"/>
        <v>0</v>
      </c>
      <c r="AU53" s="2">
        <f t="shared" si="43"/>
        <v>0</v>
      </c>
      <c r="AV53" s="2">
        <f t="shared" si="43"/>
        <v>0</v>
      </c>
      <c r="AW53" s="2">
        <f t="shared" si="43"/>
        <v>0</v>
      </c>
      <c r="AX53" s="2">
        <f t="shared" si="43"/>
        <v>0</v>
      </c>
      <c r="AY53" s="2">
        <f t="shared" si="43"/>
        <v>0</v>
      </c>
      <c r="AZ53" s="2">
        <f t="shared" si="43"/>
        <v>0</v>
      </c>
      <c r="BA53" s="2">
        <f t="shared" si="43"/>
        <v>0</v>
      </c>
      <c r="BB53" s="2">
        <f t="shared" si="43"/>
        <v>0</v>
      </c>
      <c r="BC53" s="2">
        <f t="shared" si="43"/>
        <v>0</v>
      </c>
      <c r="BD53" s="2">
        <f t="shared" si="43"/>
        <v>0</v>
      </c>
      <c r="BE53" s="2">
        <f t="shared" si="43"/>
        <v>0</v>
      </c>
      <c r="BF53" s="2">
        <f t="shared" si="43"/>
        <v>0</v>
      </c>
      <c r="BG53" s="2">
        <f t="shared" si="43"/>
        <v>0</v>
      </c>
      <c r="BH53" s="2">
        <f t="shared" si="43"/>
        <v>0</v>
      </c>
      <c r="BI53" s="2">
        <f t="shared" si="43"/>
        <v>0</v>
      </c>
      <c r="BJ53" s="2">
        <f t="shared" si="43"/>
        <v>0</v>
      </c>
      <c r="BK53" s="2"/>
      <c r="BL53" s="2"/>
      <c r="BM53" s="2"/>
      <c r="BN53" s="2">
        <f>BN34*$C16/$B16</f>
        <v>0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s="1" customFormat="1">
      <c r="A54" s="1" t="s">
        <v>86</v>
      </c>
      <c r="B54" s="54">
        <f t="shared" ref="B54:T54" si="44">B35*$C17/$B17</f>
        <v>0</v>
      </c>
      <c r="C54" s="2">
        <f t="shared" si="44"/>
        <v>0</v>
      </c>
      <c r="D54" s="2">
        <f t="shared" si="44"/>
        <v>0</v>
      </c>
      <c r="E54" s="2">
        <f t="shared" si="44"/>
        <v>0</v>
      </c>
      <c r="F54" s="2">
        <f t="shared" si="44"/>
        <v>0</v>
      </c>
      <c r="G54" s="2">
        <f t="shared" si="44"/>
        <v>0</v>
      </c>
      <c r="H54" s="2">
        <f t="shared" si="44"/>
        <v>0</v>
      </c>
      <c r="I54" s="2">
        <f t="shared" si="44"/>
        <v>0</v>
      </c>
      <c r="J54" s="2">
        <f t="shared" si="44"/>
        <v>0</v>
      </c>
      <c r="K54" s="54">
        <f t="shared" si="44"/>
        <v>0</v>
      </c>
      <c r="L54" s="2">
        <f t="shared" si="44"/>
        <v>0</v>
      </c>
      <c r="M54" s="2">
        <f t="shared" si="44"/>
        <v>0</v>
      </c>
      <c r="N54" s="2">
        <f t="shared" si="44"/>
        <v>0</v>
      </c>
      <c r="O54" s="2">
        <f t="shared" si="44"/>
        <v>0</v>
      </c>
      <c r="P54" s="2">
        <f t="shared" si="44"/>
        <v>0</v>
      </c>
      <c r="Q54" s="2">
        <f t="shared" si="44"/>
        <v>0</v>
      </c>
      <c r="R54" s="2">
        <f t="shared" si="44"/>
        <v>0</v>
      </c>
      <c r="S54" s="2">
        <f t="shared" si="44"/>
        <v>0</v>
      </c>
      <c r="T54" s="2">
        <f t="shared" si="44"/>
        <v>0</v>
      </c>
      <c r="U54" s="2">
        <f t="shared" ref="U54:AI54" si="45">U35*$C17/$B17</f>
        <v>0</v>
      </c>
      <c r="V54" s="2">
        <f t="shared" si="45"/>
        <v>0</v>
      </c>
      <c r="W54" s="2">
        <f t="shared" si="45"/>
        <v>0</v>
      </c>
      <c r="X54" s="2">
        <f t="shared" si="45"/>
        <v>0</v>
      </c>
      <c r="Y54" s="2">
        <f t="shared" si="45"/>
        <v>0</v>
      </c>
      <c r="Z54" s="2">
        <f t="shared" si="45"/>
        <v>0</v>
      </c>
      <c r="AA54" s="2">
        <f t="shared" si="45"/>
        <v>0</v>
      </c>
      <c r="AB54" s="2">
        <f t="shared" si="45"/>
        <v>0</v>
      </c>
      <c r="AC54" s="2">
        <f t="shared" si="45"/>
        <v>0</v>
      </c>
      <c r="AD54" s="2">
        <f t="shared" si="45"/>
        <v>0</v>
      </c>
      <c r="AE54" s="2">
        <f t="shared" si="45"/>
        <v>0</v>
      </c>
      <c r="AF54" s="2">
        <f t="shared" si="45"/>
        <v>0</v>
      </c>
      <c r="AG54" s="2">
        <f t="shared" si="45"/>
        <v>0</v>
      </c>
      <c r="AH54" s="2">
        <f t="shared" si="45"/>
        <v>0</v>
      </c>
      <c r="AI54" s="2">
        <f t="shared" si="45"/>
        <v>0</v>
      </c>
      <c r="AJ54" s="2">
        <f t="shared" ref="AJ54:BJ54" si="46">AJ35*$C17/$B17</f>
        <v>0</v>
      </c>
      <c r="AK54" s="2">
        <f t="shared" si="46"/>
        <v>0</v>
      </c>
      <c r="AL54" s="2">
        <f t="shared" si="46"/>
        <v>0</v>
      </c>
      <c r="AM54" s="2">
        <f t="shared" si="46"/>
        <v>0</v>
      </c>
      <c r="AN54" s="2">
        <f t="shared" si="46"/>
        <v>0</v>
      </c>
      <c r="AO54" s="2">
        <f t="shared" si="46"/>
        <v>0</v>
      </c>
      <c r="AP54" s="2">
        <f t="shared" si="46"/>
        <v>0</v>
      </c>
      <c r="AQ54" s="2">
        <f t="shared" si="46"/>
        <v>0</v>
      </c>
      <c r="AR54" s="2">
        <f t="shared" si="46"/>
        <v>0</v>
      </c>
      <c r="AS54" s="2">
        <f t="shared" si="46"/>
        <v>0</v>
      </c>
      <c r="AT54" s="2">
        <f t="shared" si="46"/>
        <v>0</v>
      </c>
      <c r="AU54" s="2">
        <f t="shared" si="46"/>
        <v>0</v>
      </c>
      <c r="AV54" s="2">
        <f t="shared" si="46"/>
        <v>0</v>
      </c>
      <c r="AW54" s="2">
        <f t="shared" si="46"/>
        <v>0</v>
      </c>
      <c r="AX54" s="2">
        <f t="shared" si="46"/>
        <v>0</v>
      </c>
      <c r="AY54" s="2">
        <f t="shared" si="46"/>
        <v>0</v>
      </c>
      <c r="AZ54" s="2">
        <f t="shared" si="46"/>
        <v>0</v>
      </c>
      <c r="BA54" s="2">
        <f t="shared" si="46"/>
        <v>0</v>
      </c>
      <c r="BB54" s="2">
        <f t="shared" si="46"/>
        <v>0</v>
      </c>
      <c r="BC54" s="2">
        <f t="shared" si="46"/>
        <v>0</v>
      </c>
      <c r="BD54" s="2">
        <f t="shared" si="46"/>
        <v>0</v>
      </c>
      <c r="BE54" s="2">
        <f t="shared" si="46"/>
        <v>0</v>
      </c>
      <c r="BF54" s="2">
        <f t="shared" si="46"/>
        <v>0</v>
      </c>
      <c r="BG54" s="2">
        <f t="shared" si="46"/>
        <v>0</v>
      </c>
      <c r="BH54" s="2">
        <f t="shared" si="46"/>
        <v>0</v>
      </c>
      <c r="BI54" s="2">
        <f t="shared" si="46"/>
        <v>0</v>
      </c>
      <c r="BJ54" s="2">
        <f t="shared" si="46"/>
        <v>0</v>
      </c>
      <c r="BK54" s="2"/>
      <c r="BL54" s="2"/>
      <c r="BM54" s="2"/>
      <c r="BN54" s="2">
        <f>BN35*$C17/$B17</f>
        <v>0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s="1" customFormat="1">
      <c r="A55" s="1" t="s">
        <v>87</v>
      </c>
      <c r="B55" s="54">
        <f t="shared" ref="B55:T55" si="47">B36*$C18/$B18</f>
        <v>0</v>
      </c>
      <c r="C55" s="2">
        <f t="shared" si="47"/>
        <v>0</v>
      </c>
      <c r="D55" s="2">
        <f t="shared" si="47"/>
        <v>0</v>
      </c>
      <c r="E55" s="2">
        <f t="shared" si="47"/>
        <v>0</v>
      </c>
      <c r="F55" s="2">
        <f t="shared" si="47"/>
        <v>0</v>
      </c>
      <c r="G55" s="2">
        <f t="shared" si="47"/>
        <v>0</v>
      </c>
      <c r="H55" s="2">
        <f t="shared" si="47"/>
        <v>0</v>
      </c>
      <c r="I55" s="2">
        <f t="shared" si="47"/>
        <v>0</v>
      </c>
      <c r="J55" s="2">
        <f t="shared" si="47"/>
        <v>0</v>
      </c>
      <c r="K55" s="54">
        <f t="shared" si="47"/>
        <v>0</v>
      </c>
      <c r="L55" s="2">
        <f t="shared" si="47"/>
        <v>0</v>
      </c>
      <c r="M55" s="2">
        <f t="shared" si="47"/>
        <v>0</v>
      </c>
      <c r="N55" s="2">
        <f t="shared" si="47"/>
        <v>0</v>
      </c>
      <c r="O55" s="2">
        <f t="shared" si="47"/>
        <v>0</v>
      </c>
      <c r="P55" s="2">
        <f t="shared" si="47"/>
        <v>0</v>
      </c>
      <c r="Q55" s="2">
        <f t="shared" si="47"/>
        <v>0</v>
      </c>
      <c r="R55" s="2">
        <f t="shared" si="47"/>
        <v>0</v>
      </c>
      <c r="S55" s="2">
        <f t="shared" si="47"/>
        <v>0</v>
      </c>
      <c r="T55" s="2">
        <f t="shared" si="47"/>
        <v>0</v>
      </c>
      <c r="U55" s="2">
        <f t="shared" ref="U55:AI55" si="48">U36*$C18/$B18</f>
        <v>0</v>
      </c>
      <c r="V55" s="2">
        <f t="shared" si="48"/>
        <v>0</v>
      </c>
      <c r="W55" s="2">
        <f t="shared" si="48"/>
        <v>0</v>
      </c>
      <c r="X55" s="2">
        <f t="shared" si="48"/>
        <v>0</v>
      </c>
      <c r="Y55" s="2">
        <f t="shared" si="48"/>
        <v>0</v>
      </c>
      <c r="Z55" s="2">
        <f t="shared" si="48"/>
        <v>0</v>
      </c>
      <c r="AA55" s="2">
        <f t="shared" si="48"/>
        <v>0</v>
      </c>
      <c r="AB55" s="2">
        <f t="shared" si="48"/>
        <v>0</v>
      </c>
      <c r="AC55" s="2">
        <f t="shared" si="48"/>
        <v>0</v>
      </c>
      <c r="AD55" s="2">
        <f t="shared" si="48"/>
        <v>0</v>
      </c>
      <c r="AE55" s="2">
        <f t="shared" si="48"/>
        <v>0</v>
      </c>
      <c r="AF55" s="2">
        <f t="shared" si="48"/>
        <v>0</v>
      </c>
      <c r="AG55" s="2">
        <f t="shared" si="48"/>
        <v>0</v>
      </c>
      <c r="AH55" s="2">
        <f t="shared" si="48"/>
        <v>0</v>
      </c>
      <c r="AI55" s="2">
        <f t="shared" si="48"/>
        <v>0</v>
      </c>
      <c r="AJ55" s="2">
        <f t="shared" ref="AJ55:BJ55" si="49">AJ36*$C18/$B18</f>
        <v>0</v>
      </c>
      <c r="AK55" s="2">
        <f t="shared" si="49"/>
        <v>0</v>
      </c>
      <c r="AL55" s="2">
        <f t="shared" si="49"/>
        <v>0</v>
      </c>
      <c r="AM55" s="2">
        <f t="shared" si="49"/>
        <v>0</v>
      </c>
      <c r="AN55" s="2">
        <f t="shared" si="49"/>
        <v>0</v>
      </c>
      <c r="AO55" s="2">
        <f t="shared" si="49"/>
        <v>0</v>
      </c>
      <c r="AP55" s="2">
        <f t="shared" si="49"/>
        <v>0</v>
      </c>
      <c r="AQ55" s="2">
        <f t="shared" si="49"/>
        <v>0</v>
      </c>
      <c r="AR55" s="2">
        <f t="shared" si="49"/>
        <v>0</v>
      </c>
      <c r="AS55" s="2">
        <f t="shared" si="49"/>
        <v>0</v>
      </c>
      <c r="AT55" s="2">
        <f t="shared" si="49"/>
        <v>0</v>
      </c>
      <c r="AU55" s="2">
        <f t="shared" si="49"/>
        <v>0</v>
      </c>
      <c r="AV55" s="2">
        <f t="shared" si="49"/>
        <v>0</v>
      </c>
      <c r="AW55" s="2">
        <f t="shared" si="49"/>
        <v>0</v>
      </c>
      <c r="AX55" s="2">
        <f t="shared" si="49"/>
        <v>0</v>
      </c>
      <c r="AY55" s="2">
        <f t="shared" si="49"/>
        <v>0</v>
      </c>
      <c r="AZ55" s="2">
        <f t="shared" si="49"/>
        <v>0</v>
      </c>
      <c r="BA55" s="2">
        <f t="shared" si="49"/>
        <v>0</v>
      </c>
      <c r="BB55" s="2">
        <f t="shared" si="49"/>
        <v>0</v>
      </c>
      <c r="BC55" s="2">
        <f t="shared" si="49"/>
        <v>0</v>
      </c>
      <c r="BD55" s="2">
        <f t="shared" si="49"/>
        <v>0</v>
      </c>
      <c r="BE55" s="2">
        <f t="shared" si="49"/>
        <v>0</v>
      </c>
      <c r="BF55" s="2">
        <f t="shared" si="49"/>
        <v>0</v>
      </c>
      <c r="BG55" s="2">
        <f t="shared" si="49"/>
        <v>0</v>
      </c>
      <c r="BH55" s="2">
        <f t="shared" si="49"/>
        <v>0</v>
      </c>
      <c r="BI55" s="2">
        <f t="shared" si="49"/>
        <v>0</v>
      </c>
      <c r="BJ55" s="2">
        <f t="shared" si="49"/>
        <v>0</v>
      </c>
      <c r="BK55" s="2"/>
      <c r="BL55" s="2"/>
      <c r="BM55" s="2"/>
      <c r="BN55" s="2">
        <f>BN36*$C18/$B18</f>
        <v>0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s="1" customFormat="1">
      <c r="A56" s="1" t="s">
        <v>115</v>
      </c>
      <c r="B56" s="54">
        <f t="shared" ref="B56:T56" si="50">SUM(B42:B50)</f>
        <v>1.66463012646682</v>
      </c>
      <c r="C56" s="2">
        <f t="shared" si="50"/>
        <v>1.6891723179103073</v>
      </c>
      <c r="D56" s="2">
        <f t="shared" si="50"/>
        <v>1.6906662269533879</v>
      </c>
      <c r="E56" s="2">
        <f t="shared" si="50"/>
        <v>1.6634335528054636</v>
      </c>
      <c r="F56" s="2">
        <f t="shared" si="50"/>
        <v>1.6844721338767403</v>
      </c>
      <c r="G56" s="2">
        <f t="shared" si="50"/>
        <v>1.6838994182097078</v>
      </c>
      <c r="H56" s="2">
        <f t="shared" si="50"/>
        <v>1.6860782956605505</v>
      </c>
      <c r="I56" s="2">
        <f t="shared" si="50"/>
        <v>1.6964685248311173</v>
      </c>
      <c r="J56" s="2">
        <f t="shared" si="50"/>
        <v>1.6910959287145892</v>
      </c>
      <c r="K56" s="54">
        <f t="shared" si="50"/>
        <v>1.5985614346330377</v>
      </c>
      <c r="L56" s="2">
        <f t="shared" si="50"/>
        <v>1.6997750295762919</v>
      </c>
      <c r="M56" s="2">
        <f t="shared" si="50"/>
        <v>1.6823428281325645</v>
      </c>
      <c r="N56" s="2">
        <f t="shared" si="50"/>
        <v>1.6782933140401572</v>
      </c>
      <c r="O56" s="2">
        <f t="shared" si="50"/>
        <v>1.692255944676871</v>
      </c>
      <c r="P56" s="2">
        <f t="shared" si="50"/>
        <v>1.6614670024169678</v>
      </c>
      <c r="Q56" s="2">
        <f t="shared" si="50"/>
        <v>1.7216042036279668</v>
      </c>
      <c r="R56" s="2">
        <f t="shared" si="50"/>
        <v>1.6622850110631546</v>
      </c>
      <c r="S56" s="2">
        <f t="shared" si="50"/>
        <v>1.6645754555210051</v>
      </c>
      <c r="T56" s="2">
        <f t="shared" si="50"/>
        <v>1.6656856580045707</v>
      </c>
      <c r="U56" s="2">
        <f t="shared" ref="U56:AI56" si="51">SUM(U42:U50)</f>
        <v>1.6496857079276288</v>
      </c>
      <c r="V56" s="2">
        <f t="shared" si="51"/>
        <v>1.6568318025469484</v>
      </c>
      <c r="W56" s="2">
        <f t="shared" si="51"/>
        <v>1.654539010629454</v>
      </c>
      <c r="X56" s="2">
        <f t="shared" si="51"/>
        <v>1.6649216197441268</v>
      </c>
      <c r="Y56" s="2">
        <f t="shared" si="51"/>
        <v>1.6558154173289268</v>
      </c>
      <c r="Z56" s="2">
        <f t="shared" si="51"/>
        <v>1.674349280674478</v>
      </c>
      <c r="AA56" s="2">
        <f t="shared" si="51"/>
        <v>1.6959565952179878</v>
      </c>
      <c r="AB56" s="2">
        <f t="shared" si="51"/>
        <v>1.696875864544106</v>
      </c>
      <c r="AC56" s="2">
        <f t="shared" si="51"/>
        <v>1.686527683029986</v>
      </c>
      <c r="AD56" s="2">
        <f t="shared" si="51"/>
        <v>1.6785866753946252</v>
      </c>
      <c r="AE56" s="2">
        <f t="shared" si="51"/>
        <v>1.6760393220601006</v>
      </c>
      <c r="AF56" s="2">
        <f t="shared" si="51"/>
        <v>1.675187022780706</v>
      </c>
      <c r="AG56" s="2">
        <f t="shared" si="51"/>
        <v>1.6769701016035843</v>
      </c>
      <c r="AH56" s="2">
        <f t="shared" si="51"/>
        <v>1.6972993274760761</v>
      </c>
      <c r="AI56" s="2">
        <f t="shared" si="51"/>
        <v>1.6638314688349694</v>
      </c>
      <c r="AJ56" s="2">
        <f t="shared" ref="AJ56:BJ56" si="52">SUM(AJ42:AJ50)</f>
        <v>1.6771615760498055</v>
      </c>
      <c r="AK56" s="2">
        <f t="shared" si="52"/>
        <v>1.6675928993802689</v>
      </c>
      <c r="AL56" s="2">
        <f t="shared" si="52"/>
        <v>1.6594635110228051</v>
      </c>
      <c r="AM56" s="2">
        <f t="shared" si="52"/>
        <v>1.676773596588838</v>
      </c>
      <c r="AN56" s="2">
        <f t="shared" si="52"/>
        <v>1.6637516373499803</v>
      </c>
      <c r="AO56" s="2">
        <f t="shared" si="52"/>
        <v>1.6669805543998746</v>
      </c>
      <c r="AP56" s="2">
        <f t="shared" si="52"/>
        <v>1.6593910823541123</v>
      </c>
      <c r="AQ56" s="2">
        <f t="shared" si="52"/>
        <v>1.6614610358875832</v>
      </c>
      <c r="AR56" s="2">
        <f t="shared" si="52"/>
        <v>1.6586408140844333</v>
      </c>
      <c r="AS56" s="2">
        <f t="shared" si="52"/>
        <v>1.6601546866619323</v>
      </c>
      <c r="AT56" s="2">
        <f t="shared" si="52"/>
        <v>1.644124327354469</v>
      </c>
      <c r="AU56" s="2">
        <f t="shared" si="52"/>
        <v>1.661999717901808</v>
      </c>
      <c r="AV56" s="2">
        <f t="shared" si="52"/>
        <v>1.6524621172759333</v>
      </c>
      <c r="AW56" s="2">
        <f t="shared" si="52"/>
        <v>1.6408213976914183</v>
      </c>
      <c r="AX56" s="2">
        <f t="shared" si="52"/>
        <v>1.6331012974717483</v>
      </c>
      <c r="AY56" s="2">
        <f t="shared" si="52"/>
        <v>1.6444338846854536</v>
      </c>
      <c r="AZ56" s="2">
        <f t="shared" si="52"/>
        <v>1.6606077635791805</v>
      </c>
      <c r="BA56" s="2">
        <f t="shared" si="52"/>
        <v>1.6693157144228439</v>
      </c>
      <c r="BB56" s="2">
        <f t="shared" si="52"/>
        <v>1.6662198735184308</v>
      </c>
      <c r="BC56" s="2">
        <f t="shared" si="52"/>
        <v>1.6457177742120004</v>
      </c>
      <c r="BD56" s="2">
        <f t="shared" si="52"/>
        <v>1.6642842312410018</v>
      </c>
      <c r="BE56" s="2">
        <f t="shared" si="52"/>
        <v>1.6762687405182484</v>
      </c>
      <c r="BF56" s="2">
        <f t="shared" si="52"/>
        <v>1.6377614399587168</v>
      </c>
      <c r="BG56" s="2">
        <f t="shared" si="52"/>
        <v>1.6307128725767552</v>
      </c>
      <c r="BH56" s="2">
        <f t="shared" si="52"/>
        <v>1.6450582981397435</v>
      </c>
      <c r="BI56" s="2">
        <f t="shared" si="52"/>
        <v>1.6298772084277364</v>
      </c>
      <c r="BJ56" s="2">
        <f t="shared" si="52"/>
        <v>1.6371193311331718</v>
      </c>
      <c r="BK56" s="2"/>
      <c r="BL56" s="2"/>
      <c r="BM56" s="2"/>
      <c r="BN56" s="2">
        <f>SUM(BN42:BN50)</f>
        <v>1.6823525745892614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>
      <c r="BU57" s="2"/>
      <c r="BV57" s="2"/>
      <c r="BW57" s="2"/>
      <c r="BX57" s="2"/>
      <c r="BY57" s="2"/>
      <c r="BZ57" s="2"/>
      <c r="CA57" s="2"/>
    </row>
    <row r="58" spans="1:79">
      <c r="A58" s="1" t="s">
        <v>14</v>
      </c>
      <c r="BU58" s="2"/>
      <c r="BV58" s="2"/>
      <c r="BW58" s="2"/>
      <c r="BX58" s="2"/>
      <c r="BY58" s="2"/>
      <c r="BZ58" s="2"/>
      <c r="CA58" s="2"/>
    </row>
    <row r="59" spans="1:79">
      <c r="A59" s="1" t="s">
        <v>116</v>
      </c>
      <c r="B59" s="54">
        <f t="shared" ref="B59:T59" si="53">B42*15/(B$56)</f>
        <v>6.9652353565930447</v>
      </c>
      <c r="C59" s="2">
        <f t="shared" si="53"/>
        <v>6.6837152242999096</v>
      </c>
      <c r="D59" s="2">
        <f t="shared" si="53"/>
        <v>6.6423676371622884</v>
      </c>
      <c r="E59" s="2">
        <f t="shared" si="53"/>
        <v>6.6085253947325615</v>
      </c>
      <c r="F59" s="2">
        <f t="shared" si="53"/>
        <v>6.6623462580023158</v>
      </c>
      <c r="G59" s="2">
        <f t="shared" si="53"/>
        <v>6.5578597978313091</v>
      </c>
      <c r="H59" s="2">
        <f t="shared" si="53"/>
        <v>6.6574804490621045</v>
      </c>
      <c r="I59" s="2">
        <f t="shared" si="53"/>
        <v>6.6711583234159066</v>
      </c>
      <c r="J59" s="2">
        <f t="shared" si="53"/>
        <v>6.7838870247190917</v>
      </c>
      <c r="K59" s="54">
        <f t="shared" si="53"/>
        <v>6.9016988492412024</v>
      </c>
      <c r="L59" s="2">
        <f t="shared" si="53"/>
        <v>6.7022459177058282</v>
      </c>
      <c r="M59" s="2">
        <f t="shared" si="53"/>
        <v>6.6381296765326407</v>
      </c>
      <c r="N59" s="2">
        <f t="shared" si="53"/>
        <v>6.8014215378502163</v>
      </c>
      <c r="O59" s="2">
        <f t="shared" si="53"/>
        <v>6.5372792466230063</v>
      </c>
      <c r="P59" s="2">
        <f t="shared" si="53"/>
        <v>6.7170276773346744</v>
      </c>
      <c r="Q59" s="2">
        <f t="shared" si="53"/>
        <v>7.4090738449357598</v>
      </c>
      <c r="R59" s="2">
        <f t="shared" si="53"/>
        <v>6.444872955650121</v>
      </c>
      <c r="S59" s="2">
        <f t="shared" si="53"/>
        <v>6.4330050852645044</v>
      </c>
      <c r="T59" s="2">
        <f t="shared" si="53"/>
        <v>6.3867486209684978</v>
      </c>
      <c r="U59" s="2">
        <f t="shared" ref="U59:AI59" si="54">U42*15/(U$56)</f>
        <v>6.3669675314954324</v>
      </c>
      <c r="V59" s="2">
        <f t="shared" si="54"/>
        <v>6.3636164280662388</v>
      </c>
      <c r="W59" s="2">
        <f t="shared" si="54"/>
        <v>6.8734171942116742</v>
      </c>
      <c r="X59" s="2">
        <f t="shared" si="54"/>
        <v>6.6386085997179798</v>
      </c>
      <c r="Y59" s="2">
        <f t="shared" si="54"/>
        <v>6.1865842275656613</v>
      </c>
      <c r="Z59" s="2">
        <f t="shared" si="54"/>
        <v>6.6235959111232603</v>
      </c>
      <c r="AA59" s="2">
        <f t="shared" si="54"/>
        <v>6.9175458595945507</v>
      </c>
      <c r="AB59" s="2">
        <f t="shared" si="54"/>
        <v>6.5135954925372559</v>
      </c>
      <c r="AC59" s="2">
        <f t="shared" si="54"/>
        <v>6.4454951444857951</v>
      </c>
      <c r="AD59" s="2">
        <f t="shared" si="54"/>
        <v>6.3674096536116132</v>
      </c>
      <c r="AE59" s="2">
        <f t="shared" si="54"/>
        <v>6.330908861987953</v>
      </c>
      <c r="AF59" s="2">
        <f t="shared" si="54"/>
        <v>6.417591369061558</v>
      </c>
      <c r="AG59" s="2">
        <f t="shared" si="54"/>
        <v>6.3080405921295721</v>
      </c>
      <c r="AH59" s="2">
        <f t="shared" si="54"/>
        <v>6.3810543485178064</v>
      </c>
      <c r="AI59" s="2">
        <f t="shared" si="54"/>
        <v>6.3413466376698606</v>
      </c>
      <c r="AJ59" s="2">
        <f t="shared" ref="AJ59:BJ59" si="55">AJ42*15/(AJ$56)</f>
        <v>6.4412970261427143</v>
      </c>
      <c r="AK59" s="2">
        <f t="shared" si="55"/>
        <v>6.5755733896942576</v>
      </c>
      <c r="AL59" s="2">
        <f t="shared" si="55"/>
        <v>6.5461011384334009</v>
      </c>
      <c r="AM59" s="2">
        <f t="shared" si="55"/>
        <v>6.5916847719781924</v>
      </c>
      <c r="AN59" s="2">
        <f t="shared" si="55"/>
        <v>6.6312719796454731</v>
      </c>
      <c r="AO59" s="2">
        <f t="shared" si="55"/>
        <v>6.6304090671704472</v>
      </c>
      <c r="AP59" s="2">
        <f t="shared" si="55"/>
        <v>6.6637433709797529</v>
      </c>
      <c r="AQ59" s="2">
        <f t="shared" si="55"/>
        <v>6.6960140529549514</v>
      </c>
      <c r="AR59" s="2">
        <f t="shared" si="55"/>
        <v>6.6501998799732354</v>
      </c>
      <c r="AS59" s="2">
        <f t="shared" si="55"/>
        <v>6.6185697165653643</v>
      </c>
      <c r="AT59" s="2">
        <f t="shared" si="55"/>
        <v>6.6679159480250352</v>
      </c>
      <c r="AU59" s="2">
        <f t="shared" si="55"/>
        <v>6.8741088547155211</v>
      </c>
      <c r="AV59" s="2">
        <f t="shared" si="55"/>
        <v>6.6403153165243092</v>
      </c>
      <c r="AW59" s="2">
        <f t="shared" si="55"/>
        <v>6.5307000497222534</v>
      </c>
      <c r="AX59" s="2">
        <f t="shared" si="55"/>
        <v>6.6150800865170014</v>
      </c>
      <c r="AY59" s="2">
        <f t="shared" si="55"/>
        <v>6.6514781857241196</v>
      </c>
      <c r="AZ59" s="2">
        <f t="shared" si="55"/>
        <v>6.6633714359893776</v>
      </c>
      <c r="BA59" s="2">
        <f t="shared" si="55"/>
        <v>6.4670845458298336</v>
      </c>
      <c r="BB59" s="2">
        <f t="shared" si="55"/>
        <v>6.4626179580726424</v>
      </c>
      <c r="BC59" s="2">
        <f t="shared" si="55"/>
        <v>6.4172113472028762</v>
      </c>
      <c r="BD59" s="2">
        <f t="shared" si="55"/>
        <v>6.4296303215457016</v>
      </c>
      <c r="BE59" s="2">
        <f t="shared" si="55"/>
        <v>6.3777038931904899</v>
      </c>
      <c r="BF59" s="2">
        <f t="shared" si="55"/>
        <v>6.3645422403178822</v>
      </c>
      <c r="BG59" s="2">
        <f t="shared" si="55"/>
        <v>6.3170317431475143</v>
      </c>
      <c r="BH59" s="2">
        <f t="shared" si="55"/>
        <v>6.4683496398672791</v>
      </c>
      <c r="BI59" s="2">
        <f t="shared" si="55"/>
        <v>6.3570341575278535</v>
      </c>
      <c r="BJ59" s="2">
        <f t="shared" si="55"/>
        <v>6.377713807026149</v>
      </c>
      <c r="BN59" s="2">
        <f t="shared" ref="BN59:BN72" si="56">BN42*15/(BN$56)</f>
        <v>6.6807572429025317</v>
      </c>
      <c r="BU59" s="2"/>
      <c r="BV59" s="2"/>
      <c r="BW59" s="2"/>
      <c r="BX59" s="2"/>
      <c r="BY59" s="2"/>
      <c r="BZ59" s="2"/>
      <c r="CA59" s="2"/>
    </row>
    <row r="60" spans="1:79">
      <c r="A60" s="1" t="s">
        <v>117</v>
      </c>
      <c r="B60" s="54">
        <f t="shared" ref="B60:B72" si="57">B43*15/(B$56)</f>
        <v>4.9622587477081183E-2</v>
      </c>
      <c r="C60" s="2">
        <f t="shared" ref="C60:T60" si="58">C43*15/(C$56)</f>
        <v>6.1127018534270848E-2</v>
      </c>
      <c r="D60" s="2">
        <f t="shared" si="58"/>
        <v>6.3293841945385496E-2</v>
      </c>
      <c r="E60" s="2">
        <f t="shared" si="58"/>
        <v>4.4015296269171798E-2</v>
      </c>
      <c r="F60" s="2">
        <f t="shared" si="58"/>
        <v>6.9099091654357445E-2</v>
      </c>
      <c r="G60" s="2">
        <f t="shared" si="58"/>
        <v>6.466307099880643E-2</v>
      </c>
      <c r="H60" s="2">
        <f t="shared" si="58"/>
        <v>6.680638810852052E-2</v>
      </c>
      <c r="I60" s="2">
        <f t="shared" si="58"/>
        <v>6.7503844609204278E-2</v>
      </c>
      <c r="J60" s="2">
        <f t="shared" si="58"/>
        <v>5.4396670184332772E-2</v>
      </c>
      <c r="K60" s="54">
        <f t="shared" si="58"/>
        <v>5.167349360367042E-2</v>
      </c>
      <c r="L60" s="2">
        <f t="shared" si="58"/>
        <v>6.6268064326918522E-2</v>
      </c>
      <c r="M60" s="2">
        <f t="shared" si="58"/>
        <v>7.0302460992804558E-2</v>
      </c>
      <c r="N60" s="2">
        <f t="shared" si="58"/>
        <v>7.0472092131854944E-2</v>
      </c>
      <c r="O60" s="2">
        <f t="shared" si="58"/>
        <v>8.764063642471083E-2</v>
      </c>
      <c r="P60" s="2">
        <f t="shared" si="58"/>
        <v>0.15480084482290393</v>
      </c>
      <c r="Q60" s="2">
        <f t="shared" si="58"/>
        <v>8.7237086405715179E-3</v>
      </c>
      <c r="R60" s="2">
        <f t="shared" si="58"/>
        <v>0.18408847300561224</v>
      </c>
      <c r="S60" s="2">
        <f t="shared" si="58"/>
        <v>0.17932387604495106</v>
      </c>
      <c r="T60" s="2">
        <f t="shared" si="58"/>
        <v>0.17920435420624697</v>
      </c>
      <c r="U60" s="2">
        <f t="shared" ref="U60:AI60" si="59">U43*15/(U$56)</f>
        <v>0.17639040850117216</v>
      </c>
      <c r="V60" s="2">
        <f t="shared" si="59"/>
        <v>0.16883105176383667</v>
      </c>
      <c r="W60" s="2">
        <f t="shared" si="59"/>
        <v>9.6446482712062354E-2</v>
      </c>
      <c r="X60" s="2">
        <f t="shared" si="59"/>
        <v>9.6972621926354252E-2</v>
      </c>
      <c r="Y60" s="2">
        <f t="shared" si="59"/>
        <v>0.14058993913189063</v>
      </c>
      <c r="Z60" s="2">
        <f t="shared" si="59"/>
        <v>7.063809350679226E-2</v>
      </c>
      <c r="AA60" s="2">
        <f t="shared" si="59"/>
        <v>0.10183980849249617</v>
      </c>
      <c r="AB60" s="2">
        <f t="shared" si="59"/>
        <v>0.24782346538019762</v>
      </c>
      <c r="AC60" s="2">
        <f t="shared" si="59"/>
        <v>0.27605949321589751</v>
      </c>
      <c r="AD60" s="2">
        <f t="shared" si="59"/>
        <v>0.28183910377701271</v>
      </c>
      <c r="AE60" s="2">
        <f t="shared" si="59"/>
        <v>0.28338757011070825</v>
      </c>
      <c r="AF60" s="2">
        <f t="shared" si="59"/>
        <v>0.28016971505633953</v>
      </c>
      <c r="AG60" s="2">
        <f t="shared" si="59"/>
        <v>0.29442515239241124</v>
      </c>
      <c r="AH60" s="2">
        <f t="shared" si="59"/>
        <v>0.25882242265312688</v>
      </c>
      <c r="AI60" s="2">
        <f t="shared" si="59"/>
        <v>0.29675011380081395</v>
      </c>
      <c r="AJ60" s="2">
        <f t="shared" ref="AJ60:BJ60" si="60">AJ43*15/(AJ$56)</f>
        <v>0.26416883358078574</v>
      </c>
      <c r="AK60" s="2">
        <f t="shared" si="60"/>
        <v>8.6685242346614913E-2</v>
      </c>
      <c r="AL60" s="2">
        <f t="shared" si="60"/>
        <v>0.10181676209182727</v>
      </c>
      <c r="AM60" s="2">
        <f t="shared" si="60"/>
        <v>8.7330240409035906E-2</v>
      </c>
      <c r="AN60" s="2">
        <f t="shared" si="60"/>
        <v>8.1243472984224185E-2</v>
      </c>
      <c r="AO60" s="2">
        <f t="shared" si="60"/>
        <v>8.7843281023961314E-2</v>
      </c>
      <c r="AP60" s="2">
        <f t="shared" si="60"/>
        <v>9.8427165957832047E-2</v>
      </c>
      <c r="AQ60" s="2">
        <f t="shared" si="60"/>
        <v>0.10734403700497949</v>
      </c>
      <c r="AR60" s="2">
        <f t="shared" si="60"/>
        <v>9.9603546911609456E-2</v>
      </c>
      <c r="AS60" s="2">
        <f t="shared" si="60"/>
        <v>0.10969015703681796</v>
      </c>
      <c r="AT60" s="2">
        <f t="shared" si="60"/>
        <v>0.10619223780532143</v>
      </c>
      <c r="AU60" s="2">
        <f t="shared" si="60"/>
        <v>6.7774260000149078E-2</v>
      </c>
      <c r="AV60" s="2">
        <f t="shared" si="60"/>
        <v>0.11928951332157788</v>
      </c>
      <c r="AW60" s="2">
        <f t="shared" si="60"/>
        <v>9.1532042963143115E-2</v>
      </c>
      <c r="AX60" s="2">
        <f t="shared" si="60"/>
        <v>8.7366502099902293E-2</v>
      </c>
      <c r="AY60" s="2">
        <f t="shared" si="60"/>
        <v>0.11873025537063911</v>
      </c>
      <c r="AZ60" s="2">
        <f t="shared" si="60"/>
        <v>0.10400764024872654</v>
      </c>
      <c r="BA60" s="2">
        <f t="shared" si="60"/>
        <v>0.16756845538741474</v>
      </c>
      <c r="BB60" s="2">
        <f t="shared" si="60"/>
        <v>0.17013321812557736</v>
      </c>
      <c r="BC60" s="2">
        <f t="shared" si="60"/>
        <v>0.16426748658800047</v>
      </c>
      <c r="BD60" s="2">
        <f t="shared" si="60"/>
        <v>0.15566682507692556</v>
      </c>
      <c r="BE60" s="2">
        <f t="shared" si="60"/>
        <v>0.17471308479612241</v>
      </c>
      <c r="BF60" s="2">
        <f t="shared" si="60"/>
        <v>0.20862446021386102</v>
      </c>
      <c r="BG60" s="2">
        <f t="shared" si="60"/>
        <v>0.21528242996727187</v>
      </c>
      <c r="BH60" s="2">
        <f t="shared" si="60"/>
        <v>0.17916898727534977</v>
      </c>
      <c r="BI60" s="2">
        <f t="shared" si="60"/>
        <v>0.22806297393575142</v>
      </c>
      <c r="BJ60" s="2">
        <f t="shared" si="60"/>
        <v>0.222467140693171</v>
      </c>
      <c r="BN60" s="2">
        <f t="shared" si="56"/>
        <v>6.0816855983819765E-2</v>
      </c>
      <c r="BU60" s="2"/>
      <c r="BV60" s="2"/>
      <c r="BW60" s="2"/>
      <c r="BX60" s="2"/>
      <c r="BY60" s="2"/>
      <c r="BZ60" s="2"/>
      <c r="CA60" s="2"/>
    </row>
    <row r="61" spans="1:79">
      <c r="A61" s="1" t="s">
        <v>118</v>
      </c>
      <c r="B61" s="54">
        <f t="shared" si="57"/>
        <v>5.9286553998046804E-3</v>
      </c>
      <c r="C61" s="2">
        <f t="shared" ref="C61:T61" si="61">C44*15/(C$56)</f>
        <v>4.6740137916369013E-3</v>
      </c>
      <c r="D61" s="2">
        <f t="shared" si="61"/>
        <v>3.5024127993870968E-3</v>
      </c>
      <c r="E61" s="2">
        <f t="shared" si="61"/>
        <v>5.9329201165327404E-3</v>
      </c>
      <c r="F61" s="2">
        <f t="shared" si="61"/>
        <v>3.5152917722332173E-3</v>
      </c>
      <c r="G61" s="2">
        <f t="shared" si="61"/>
        <v>2.344324911863828E-3</v>
      </c>
      <c r="H61" s="2">
        <f t="shared" si="61"/>
        <v>8.1945338948356383E-3</v>
      </c>
      <c r="I61" s="2">
        <f t="shared" si="61"/>
        <v>5.8173896205575152E-3</v>
      </c>
      <c r="J61" s="2">
        <f t="shared" si="61"/>
        <v>7.0030456962591478E-3</v>
      </c>
      <c r="K61" s="54">
        <f t="shared" si="61"/>
        <v>1.2347374550819902E-3</v>
      </c>
      <c r="L61" s="2">
        <f t="shared" si="61"/>
        <v>5.8060732839540193E-3</v>
      </c>
      <c r="M61" s="2">
        <f t="shared" si="61"/>
        <v>4.6929880035972817E-3</v>
      </c>
      <c r="N61" s="2">
        <f t="shared" si="61"/>
        <v>7.0564674043995523E-3</v>
      </c>
      <c r="O61" s="2">
        <f t="shared" si="61"/>
        <v>4.6654968092734962E-3</v>
      </c>
      <c r="P61" s="2">
        <f t="shared" si="61"/>
        <v>1.0691896421943462E-2</v>
      </c>
      <c r="Q61" s="2">
        <f t="shared" si="61"/>
        <v>2.292981944899508E-3</v>
      </c>
      <c r="R61" s="2">
        <f t="shared" si="61"/>
        <v>1.3061442718306652E-2</v>
      </c>
      <c r="S61" s="2">
        <f t="shared" si="61"/>
        <v>1.30434702623351E-2</v>
      </c>
      <c r="T61" s="2">
        <f t="shared" si="61"/>
        <v>1.1849796917598219E-2</v>
      </c>
      <c r="U61" s="2">
        <f t="shared" ref="U61:AI61" si="62">U44*15/(U$56)</f>
        <v>1.3161198129537062E-2</v>
      </c>
      <c r="V61" s="2">
        <f t="shared" si="62"/>
        <v>1.1913120417877071E-2</v>
      </c>
      <c r="W61" s="2">
        <f t="shared" si="62"/>
        <v>8.3507403901469084E-3</v>
      </c>
      <c r="X61" s="2">
        <f t="shared" si="62"/>
        <v>8.2986643811259371E-3</v>
      </c>
      <c r="Y61" s="2">
        <f t="shared" si="62"/>
        <v>2.02647361341615E-2</v>
      </c>
      <c r="Z61" s="2">
        <f t="shared" si="62"/>
        <v>1.0609634025203596E-2</v>
      </c>
      <c r="AA61" s="2">
        <f t="shared" si="62"/>
        <v>1.047446211088663E-2</v>
      </c>
      <c r="AB61" s="2">
        <f t="shared" si="62"/>
        <v>1.2795184908434289E-2</v>
      </c>
      <c r="AC61" s="2">
        <f t="shared" si="62"/>
        <v>2.925839429514894E-2</v>
      </c>
      <c r="AD61" s="2">
        <f t="shared" si="62"/>
        <v>2.7045064309187735E-2</v>
      </c>
      <c r="AE61" s="2">
        <f t="shared" si="62"/>
        <v>1.295425481235969E-2</v>
      </c>
      <c r="AF61" s="2">
        <f t="shared" si="62"/>
        <v>1.7673880445133412E-2</v>
      </c>
      <c r="AG61" s="2">
        <f t="shared" si="62"/>
        <v>7.0620353065457171E-3</v>
      </c>
      <c r="AH61" s="2">
        <f t="shared" si="62"/>
        <v>2.3258168381249575E-3</v>
      </c>
      <c r="AI61" s="2">
        <f t="shared" si="62"/>
        <v>5.9315012204123304E-3</v>
      </c>
      <c r="AJ61" s="2">
        <f t="shared" ref="AJ61:BJ61" si="63">AJ44*15/(AJ$56)</f>
        <v>4.7074860425550249E-3</v>
      </c>
      <c r="AK61" s="2">
        <f t="shared" si="63"/>
        <v>2.3672488391195969E-3</v>
      </c>
      <c r="AL61" s="2">
        <f t="shared" si="63"/>
        <v>2.378845529871837E-3</v>
      </c>
      <c r="AM61" s="2">
        <f t="shared" si="63"/>
        <v>7.0628629229602859E-3</v>
      </c>
      <c r="AN61" s="2">
        <f t="shared" si="63"/>
        <v>8.3045001627431447E-3</v>
      </c>
      <c r="AO61" s="2">
        <f t="shared" si="63"/>
        <v>8.288414466904908E-3</v>
      </c>
      <c r="AP61" s="2">
        <f t="shared" si="63"/>
        <v>5.947373402751012E-3</v>
      </c>
      <c r="AQ61" s="2">
        <f t="shared" si="63"/>
        <v>5.9399637877651755E-3</v>
      </c>
      <c r="AR61" s="2">
        <f t="shared" si="63"/>
        <v>3.5700381797499924E-3</v>
      </c>
      <c r="AS61" s="2">
        <f t="shared" si="63"/>
        <v>3.5667827102781593E-3</v>
      </c>
      <c r="AT61" s="2">
        <f t="shared" si="63"/>
        <v>2.4010394405720209E-3</v>
      </c>
      <c r="AU61" s="2">
        <f t="shared" si="63"/>
        <v>3.5628231274602877E-3</v>
      </c>
      <c r="AV61" s="2">
        <f t="shared" si="63"/>
        <v>2.3889245713478828E-3</v>
      </c>
      <c r="AW61" s="2">
        <f t="shared" si="63"/>
        <v>0</v>
      </c>
      <c r="AX61" s="2">
        <f t="shared" si="63"/>
        <v>3.6258687945078145E-3</v>
      </c>
      <c r="AY61" s="2">
        <f t="shared" si="63"/>
        <v>6.0014686390646842E-3</v>
      </c>
      <c r="AZ61" s="2">
        <f t="shared" si="63"/>
        <v>2.3772063709214353E-3</v>
      </c>
      <c r="BA61" s="2">
        <f t="shared" si="63"/>
        <v>2.3648057231324192E-3</v>
      </c>
      <c r="BB61" s="2">
        <f t="shared" si="63"/>
        <v>2.3691995383815457E-3</v>
      </c>
      <c r="BC61" s="2">
        <f t="shared" si="63"/>
        <v>3.5980719936067503E-3</v>
      </c>
      <c r="BD61" s="2">
        <f t="shared" si="63"/>
        <v>2.3719550309254712E-3</v>
      </c>
      <c r="BE61" s="2">
        <f t="shared" si="63"/>
        <v>1.1774983508794511E-3</v>
      </c>
      <c r="BF61" s="2">
        <f t="shared" si="63"/>
        <v>3.6155516232707842E-3</v>
      </c>
      <c r="BG61" s="2">
        <f t="shared" si="63"/>
        <v>0</v>
      </c>
      <c r="BH61" s="2">
        <f t="shared" si="63"/>
        <v>3.5995143998659839E-3</v>
      </c>
      <c r="BI61" s="2">
        <f t="shared" si="63"/>
        <v>2.422027459964355E-3</v>
      </c>
      <c r="BJ61" s="2">
        <f t="shared" si="63"/>
        <v>1.2056565700832547E-3</v>
      </c>
      <c r="BN61" s="2">
        <f t="shared" si="56"/>
        <v>4.9862708664441839E-3</v>
      </c>
      <c r="BU61" s="2"/>
      <c r="BV61" s="2"/>
      <c r="BW61" s="2"/>
      <c r="BX61" s="2"/>
      <c r="BY61" s="2"/>
      <c r="BZ61" s="2"/>
      <c r="CA61" s="2"/>
    </row>
    <row r="62" spans="1:79">
      <c r="A62" s="1" t="s">
        <v>119</v>
      </c>
      <c r="B62" s="54">
        <f t="shared" si="57"/>
        <v>1.6901169898890434</v>
      </c>
      <c r="C62" s="2">
        <f t="shared" ref="C62:T62" si="64">C45*15/(C$56)</f>
        <v>1.9530271579987224</v>
      </c>
      <c r="D62" s="2">
        <f t="shared" si="64"/>
        <v>2.0505201375256732</v>
      </c>
      <c r="E62" s="2">
        <f t="shared" si="64"/>
        <v>2.0752440639525052</v>
      </c>
      <c r="F62" s="2">
        <f t="shared" si="64"/>
        <v>2.0056478516186842</v>
      </c>
      <c r="G62" s="2">
        <f t="shared" si="64"/>
        <v>2.081479989246656</v>
      </c>
      <c r="H62" s="2">
        <f t="shared" si="64"/>
        <v>2.0142097616215069</v>
      </c>
      <c r="I62" s="2">
        <f t="shared" si="64"/>
        <v>1.9845262300906938</v>
      </c>
      <c r="J62" s="2">
        <f t="shared" si="64"/>
        <v>1.8916375463680282</v>
      </c>
      <c r="K62" s="54">
        <f t="shared" si="64"/>
        <v>1.7065814796543146</v>
      </c>
      <c r="L62" s="2">
        <f t="shared" si="64"/>
        <v>1.9685463515344122</v>
      </c>
      <c r="M62" s="2">
        <f t="shared" si="64"/>
        <v>2.0536679302557839</v>
      </c>
      <c r="N62" s="2">
        <f t="shared" si="64"/>
        <v>2.0340740077882242</v>
      </c>
      <c r="O62" s="2">
        <f t="shared" si="64"/>
        <v>2.1268508449892258</v>
      </c>
      <c r="P62" s="2">
        <f t="shared" si="64"/>
        <v>1.6809357642439124</v>
      </c>
      <c r="Q62" s="2">
        <f t="shared" si="64"/>
        <v>0.82222066437017005</v>
      </c>
      <c r="R62" s="2">
        <f t="shared" si="64"/>
        <v>2.0023211815022748</v>
      </c>
      <c r="S62" s="2">
        <f t="shared" si="64"/>
        <v>2.0243174813536102</v>
      </c>
      <c r="T62" s="2">
        <f t="shared" si="64"/>
        <v>1.9946996939028556</v>
      </c>
      <c r="U62" s="2">
        <f t="shared" ref="U62:AI62" si="65">U45*15/(U$56)</f>
        <v>2.1068097094365137</v>
      </c>
      <c r="V62" s="2">
        <f t="shared" si="65"/>
        <v>2.1243662002747956</v>
      </c>
      <c r="W62" s="2">
        <f t="shared" si="65"/>
        <v>1.485203929383907</v>
      </c>
      <c r="X62" s="2">
        <f t="shared" si="65"/>
        <v>1.7976443973605707</v>
      </c>
      <c r="Y62" s="2">
        <f t="shared" si="65"/>
        <v>2.6819701706549135</v>
      </c>
      <c r="Z62" s="2">
        <f t="shared" si="65"/>
        <v>1.9720749769015113</v>
      </c>
      <c r="AA62" s="2">
        <f t="shared" si="65"/>
        <v>1.6380753937592487</v>
      </c>
      <c r="AB62" s="2">
        <f t="shared" si="65"/>
        <v>1.9268176322196024</v>
      </c>
      <c r="AC62" s="2">
        <f t="shared" si="65"/>
        <v>2.156759015093197</v>
      </c>
      <c r="AD62" s="2">
        <f t="shared" si="65"/>
        <v>2.1599493236510936</v>
      </c>
      <c r="AE62" s="2">
        <f t="shared" si="65"/>
        <v>2.20010543017729</v>
      </c>
      <c r="AF62" s="2">
        <f t="shared" si="65"/>
        <v>2.092305453208148</v>
      </c>
      <c r="AG62" s="2">
        <f t="shared" si="65"/>
        <v>2.2778545972131115</v>
      </c>
      <c r="AH62" s="2">
        <f t="shared" si="65"/>
        <v>2.2471040778722156</v>
      </c>
      <c r="AI62" s="2">
        <f t="shared" si="65"/>
        <v>2.2303980564781516</v>
      </c>
      <c r="AJ62" s="2">
        <f t="shared" ref="AJ62:BJ62" si="66">AJ45*15/(AJ$56)</f>
        <v>2.1512564801001641</v>
      </c>
      <c r="AK62" s="2">
        <f t="shared" si="66"/>
        <v>2.2818396017261056</v>
      </c>
      <c r="AL62" s="2">
        <f t="shared" si="66"/>
        <v>2.3515403876022196</v>
      </c>
      <c r="AM62" s="2">
        <f t="shared" si="66"/>
        <v>2.2711011389390614</v>
      </c>
      <c r="AN62" s="2">
        <f t="shared" si="66"/>
        <v>2.2552688132412797</v>
      </c>
      <c r="AO62" s="2">
        <f t="shared" si="66"/>
        <v>2.2403079179785528</v>
      </c>
      <c r="AP62" s="2">
        <f t="shared" si="66"/>
        <v>1.7841273643930657</v>
      </c>
      <c r="AQ62" s="2">
        <f t="shared" si="66"/>
        <v>1.8315003392347593</v>
      </c>
      <c r="AR62" s="2">
        <f t="shared" si="66"/>
        <v>1.8381630550444443</v>
      </c>
      <c r="AS62" s="2">
        <f t="shared" si="66"/>
        <v>1.8400322004730787</v>
      </c>
      <c r="AT62" s="2">
        <f t="shared" si="66"/>
        <v>1.8221735908444554</v>
      </c>
      <c r="AU62" s="2">
        <f t="shared" si="66"/>
        <v>1.5192630223341248</v>
      </c>
      <c r="AV62" s="2">
        <f t="shared" si="66"/>
        <v>1.8432551806193869</v>
      </c>
      <c r="AW62" s="2">
        <f t="shared" si="66"/>
        <v>1.9657390658965146</v>
      </c>
      <c r="AX62" s="2">
        <f t="shared" si="66"/>
        <v>2.1552352486156727</v>
      </c>
      <c r="AY62" s="2">
        <f t="shared" si="66"/>
        <v>1.8450956017947218</v>
      </c>
      <c r="AZ62" s="2">
        <f t="shared" si="66"/>
        <v>1.8164917379511567</v>
      </c>
      <c r="BA62" s="2">
        <f t="shared" si="66"/>
        <v>2.0291467994540886</v>
      </c>
      <c r="BB62" s="2">
        <f t="shared" si="66"/>
        <v>2.0735399743708847</v>
      </c>
      <c r="BC62" s="2">
        <f t="shared" si="66"/>
        <v>1.9938667597082</v>
      </c>
      <c r="BD62" s="2">
        <f t="shared" si="66"/>
        <v>2.1166218620223725</v>
      </c>
      <c r="BE62" s="2">
        <f t="shared" si="66"/>
        <v>2.0698877023277649</v>
      </c>
      <c r="BF62" s="2">
        <f t="shared" si="66"/>
        <v>2.1796501143884615</v>
      </c>
      <c r="BG62" s="2">
        <f t="shared" si="66"/>
        <v>2.205313479005528</v>
      </c>
      <c r="BH62" s="2">
        <f t="shared" si="66"/>
        <v>2.0859019142180952</v>
      </c>
      <c r="BI62" s="2">
        <f t="shared" si="66"/>
        <v>2.1811657673358642</v>
      </c>
      <c r="BJ62" s="2">
        <f t="shared" si="66"/>
        <v>2.1086004792635111</v>
      </c>
      <c r="BN62" s="2">
        <f t="shared" si="56"/>
        <v>1.9821541669374125</v>
      </c>
      <c r="BU62" s="2"/>
      <c r="BV62" s="2"/>
      <c r="BW62" s="2"/>
      <c r="BX62" s="2"/>
      <c r="BY62" s="2"/>
      <c r="BZ62" s="2"/>
      <c r="CA62" s="2"/>
    </row>
    <row r="63" spans="1:79">
      <c r="A63" s="1" t="s">
        <v>120</v>
      </c>
      <c r="B63" s="54">
        <f t="shared" si="57"/>
        <v>1.7282077721639424</v>
      </c>
      <c r="C63" s="2">
        <f t="shared" ref="C63:T63" si="67">C46*15/(C$56)</f>
        <v>1.6610771332988665</v>
      </c>
      <c r="D63" s="2">
        <f t="shared" si="67"/>
        <v>1.7905011802323647</v>
      </c>
      <c r="E63" s="2">
        <f t="shared" si="67"/>
        <v>1.8336196110685989</v>
      </c>
      <c r="F63" s="2">
        <f t="shared" si="67"/>
        <v>1.7227230157417095</v>
      </c>
      <c r="G63" s="2">
        <f t="shared" si="67"/>
        <v>1.8162932309070117</v>
      </c>
      <c r="H63" s="2">
        <f t="shared" si="67"/>
        <v>1.669078031200609</v>
      </c>
      <c r="I63" s="2">
        <f t="shared" si="67"/>
        <v>1.7363836743243826</v>
      </c>
      <c r="J63" s="2">
        <f t="shared" si="67"/>
        <v>1.7036301955221056</v>
      </c>
      <c r="K63" s="54">
        <f t="shared" si="67"/>
        <v>1.9054188051823993</v>
      </c>
      <c r="L63" s="2">
        <f t="shared" si="67"/>
        <v>1.6851057207369349</v>
      </c>
      <c r="M63" s="2">
        <f t="shared" si="67"/>
        <v>1.7236624921161909</v>
      </c>
      <c r="N63" s="2">
        <f t="shared" si="67"/>
        <v>1.7278214764212498</v>
      </c>
      <c r="O63" s="2">
        <f t="shared" si="67"/>
        <v>1.7826508282432989</v>
      </c>
      <c r="P63" s="2">
        <f t="shared" si="67"/>
        <v>1.6875194179188278</v>
      </c>
      <c r="Q63" s="2">
        <f t="shared" si="67"/>
        <v>1.2187011864710728</v>
      </c>
      <c r="R63" s="2">
        <f t="shared" si="67"/>
        <v>1.7997210161918522</v>
      </c>
      <c r="S63" s="2">
        <f t="shared" si="67"/>
        <v>1.7897195128022654</v>
      </c>
      <c r="T63" s="2">
        <f t="shared" si="67"/>
        <v>1.8399138805761628</v>
      </c>
      <c r="U63" s="2">
        <f t="shared" ref="U63:AI63" si="68">U46*15/(U$56)</f>
        <v>1.8704138459426787</v>
      </c>
      <c r="V63" s="2">
        <f t="shared" si="68"/>
        <v>1.8308454232304525</v>
      </c>
      <c r="W63" s="2">
        <f t="shared" si="68"/>
        <v>1.8195028307104564</v>
      </c>
      <c r="X63" s="2">
        <f t="shared" si="68"/>
        <v>1.7617611061710556</v>
      </c>
      <c r="Y63" s="2">
        <f t="shared" si="68"/>
        <v>1.7437119533268726</v>
      </c>
      <c r="Z63" s="2">
        <f t="shared" si="68"/>
        <v>1.7169291215677174</v>
      </c>
      <c r="AA63" s="2">
        <f t="shared" si="68"/>
        <v>1.4230088057130366</v>
      </c>
      <c r="AB63" s="2">
        <f t="shared" si="68"/>
        <v>1.6326208439522958</v>
      </c>
      <c r="AC63" s="2">
        <f t="shared" si="68"/>
        <v>1.5064738264740283</v>
      </c>
      <c r="AD63" s="2">
        <f t="shared" si="68"/>
        <v>1.5857360517128793</v>
      </c>
      <c r="AE63" s="2">
        <f t="shared" si="68"/>
        <v>1.6790753087535715</v>
      </c>
      <c r="AF63" s="2">
        <f t="shared" si="68"/>
        <v>1.6350649979511764</v>
      </c>
      <c r="AG63" s="2">
        <f t="shared" si="68"/>
        <v>1.6582247451855856</v>
      </c>
      <c r="AH63" s="2">
        <f t="shared" si="68"/>
        <v>1.6100734700801267</v>
      </c>
      <c r="AI63" s="2">
        <f t="shared" si="68"/>
        <v>1.629912549454682</v>
      </c>
      <c r="AJ63" s="2">
        <f t="shared" ref="AJ63:BJ63" si="69">AJ46*15/(AJ$56)</f>
        <v>1.5945520940387361</v>
      </c>
      <c r="AK63" s="2">
        <f t="shared" si="69"/>
        <v>1.7301449616986044</v>
      </c>
      <c r="AL63" s="2">
        <f t="shared" si="69"/>
        <v>1.7235240437420072</v>
      </c>
      <c r="AM63" s="2">
        <f t="shared" si="69"/>
        <v>1.7007510948842091</v>
      </c>
      <c r="AN63" s="2">
        <f t="shared" si="69"/>
        <v>1.7077886224868895</v>
      </c>
      <c r="AO63" s="2">
        <f t="shared" si="69"/>
        <v>1.6669094485889608</v>
      </c>
      <c r="AP63" s="2">
        <f t="shared" si="69"/>
        <v>2.2922612211545581</v>
      </c>
      <c r="AQ63" s="2">
        <f t="shared" si="69"/>
        <v>2.2278351992125867</v>
      </c>
      <c r="AR63" s="2">
        <f t="shared" si="69"/>
        <v>2.2555379783706231</v>
      </c>
      <c r="AS63" s="2">
        <f t="shared" si="69"/>
        <v>2.323902470826646</v>
      </c>
      <c r="AT63" s="2">
        <f t="shared" si="69"/>
        <v>2.3237046168736666</v>
      </c>
      <c r="AU63" s="2">
        <f t="shared" si="69"/>
        <v>2.1957099461314828</v>
      </c>
      <c r="AV63" s="2">
        <f t="shared" si="69"/>
        <v>2.3498812649067804</v>
      </c>
      <c r="AW63" s="2">
        <f t="shared" si="69"/>
        <v>2.3398332320871069</v>
      </c>
      <c r="AX63" s="2">
        <f t="shared" si="69"/>
        <v>2.040254055301685</v>
      </c>
      <c r="AY63" s="2">
        <f t="shared" si="69"/>
        <v>2.3321540042499791</v>
      </c>
      <c r="AZ63" s="2">
        <f t="shared" si="69"/>
        <v>2.2616666076844845</v>
      </c>
      <c r="BA63" s="2">
        <f t="shared" si="69"/>
        <v>1.8546721726591975</v>
      </c>
      <c r="BB63" s="2">
        <f t="shared" si="69"/>
        <v>1.8643828858698122</v>
      </c>
      <c r="BC63" s="2">
        <f t="shared" si="69"/>
        <v>1.8964889629900208</v>
      </c>
      <c r="BD63" s="2">
        <f t="shared" si="69"/>
        <v>1.8790952797012943</v>
      </c>
      <c r="BE63" s="2">
        <f t="shared" si="69"/>
        <v>1.8905693459815727</v>
      </c>
      <c r="BF63" s="2">
        <f t="shared" si="69"/>
        <v>2.1670192350400899</v>
      </c>
      <c r="BG63" s="2">
        <f t="shared" si="69"/>
        <v>2.2135125079307159</v>
      </c>
      <c r="BH63" s="2">
        <f t="shared" si="69"/>
        <v>2.1129899488668666</v>
      </c>
      <c r="BI63" s="2">
        <f t="shared" si="69"/>
        <v>2.2031194605795217</v>
      </c>
      <c r="BJ63" s="2">
        <f t="shared" si="69"/>
        <v>2.0900809334545034</v>
      </c>
      <c r="BN63" s="2">
        <f t="shared" si="56"/>
        <v>1.7445932090324734</v>
      </c>
      <c r="BU63" s="2"/>
      <c r="BV63" s="2"/>
      <c r="BW63" s="2"/>
      <c r="BX63" s="2"/>
      <c r="BY63" s="2"/>
      <c r="BZ63" s="2"/>
      <c r="CA63" s="2"/>
    </row>
    <row r="64" spans="1:79">
      <c r="A64" s="1" t="s">
        <v>121</v>
      </c>
      <c r="B64" s="54">
        <f t="shared" si="57"/>
        <v>8.6379284781655644E-2</v>
      </c>
      <c r="C64" s="2">
        <f t="shared" ref="C64:T64" si="70">C47*15/(C$56)</f>
        <v>0.10515350947629901</v>
      </c>
      <c r="D64" s="2">
        <f t="shared" si="70"/>
        <v>0.12632285655867773</v>
      </c>
      <c r="E64" s="2">
        <f t="shared" si="70"/>
        <v>0.14110290752092336</v>
      </c>
      <c r="F64" s="2">
        <f t="shared" si="70"/>
        <v>0.10670223987267408</v>
      </c>
      <c r="G64" s="2">
        <f t="shared" si="70"/>
        <v>0.10548278324564567</v>
      </c>
      <c r="H64" s="2">
        <f t="shared" si="70"/>
        <v>0.10158409649866174</v>
      </c>
      <c r="I64" s="2">
        <f t="shared" si="70"/>
        <v>0.10594770669596941</v>
      </c>
      <c r="J64" s="2">
        <f t="shared" si="70"/>
        <v>0.11128591577171489</v>
      </c>
      <c r="K64" s="54">
        <f t="shared" si="70"/>
        <v>0.11772782390939102</v>
      </c>
      <c r="L64" s="2">
        <f t="shared" si="70"/>
        <v>0.11196170559202089</v>
      </c>
      <c r="M64" s="2">
        <f t="shared" si="70"/>
        <v>9.6782016228133483E-2</v>
      </c>
      <c r="N64" s="2">
        <f t="shared" si="70"/>
        <v>8.6936002711131236E-2</v>
      </c>
      <c r="O64" s="2">
        <f t="shared" si="70"/>
        <v>8.7468249063825707E-2</v>
      </c>
      <c r="P64" s="2">
        <f t="shared" si="70"/>
        <v>2.7999443633978147E-2</v>
      </c>
      <c r="Q64" s="2">
        <f t="shared" si="70"/>
        <v>2.8249642938061734E-2</v>
      </c>
      <c r="R64" s="2">
        <f t="shared" si="70"/>
        <v>2.2897362385812796E-2</v>
      </c>
      <c r="S64" s="2">
        <f t="shared" si="70"/>
        <v>2.5406506412841638E-2</v>
      </c>
      <c r="T64" s="2">
        <f t="shared" si="70"/>
        <v>2.6659051256896282E-2</v>
      </c>
      <c r="U64" s="2">
        <f t="shared" ref="U64:AI64" si="71">U47*15/(U$56)</f>
        <v>2.4354029645171704E-2</v>
      </c>
      <c r="V64" s="2">
        <f t="shared" si="71"/>
        <v>3.318282579827609E-2</v>
      </c>
      <c r="W64" s="2">
        <f t="shared" si="71"/>
        <v>3.1950778066925097E-2</v>
      </c>
      <c r="X64" s="2">
        <f t="shared" si="71"/>
        <v>2.921140758604036E-2</v>
      </c>
      <c r="Y64" s="2">
        <f t="shared" si="71"/>
        <v>1.9155689038202788E-2</v>
      </c>
      <c r="Z64" s="2">
        <f t="shared" si="71"/>
        <v>2.6521108735886312E-2</v>
      </c>
      <c r="AA64" s="2">
        <f t="shared" si="71"/>
        <v>2.2442757317103174E-2</v>
      </c>
      <c r="AB64" s="2">
        <f t="shared" si="71"/>
        <v>3.2399754295362092E-2</v>
      </c>
      <c r="AC64" s="2">
        <f t="shared" si="71"/>
        <v>1.7553066687029825E-2</v>
      </c>
      <c r="AD64" s="2">
        <f t="shared" si="71"/>
        <v>2.645415931481845E-2</v>
      </c>
      <c r="AE64" s="2">
        <f t="shared" si="71"/>
        <v>3.0279275500556566E-2</v>
      </c>
      <c r="AF64" s="2">
        <f t="shared" si="71"/>
        <v>2.7770124201814777E-2</v>
      </c>
      <c r="AG64" s="2">
        <f t="shared" si="71"/>
        <v>3.026246939876592E-2</v>
      </c>
      <c r="AH64" s="2">
        <f t="shared" si="71"/>
        <v>2.6162503346214734E-2</v>
      </c>
      <c r="AI64" s="2">
        <f t="shared" si="71"/>
        <v>3.1772333750068597E-2</v>
      </c>
      <c r="AJ64" s="2">
        <f t="shared" ref="AJ64:BJ64" si="72">AJ47*15/(AJ$56)</f>
        <v>3.0259014460582167E-2</v>
      </c>
      <c r="AK64" s="2">
        <f t="shared" si="72"/>
        <v>3.1700667921611678E-2</v>
      </c>
      <c r="AL64" s="2">
        <f t="shared" si="72"/>
        <v>2.5484770652948709E-2</v>
      </c>
      <c r="AM64" s="2">
        <f t="shared" si="72"/>
        <v>2.2699511946186173E-2</v>
      </c>
      <c r="AN64" s="2">
        <f t="shared" si="72"/>
        <v>2.6690040951875483E-2</v>
      </c>
      <c r="AO64" s="2">
        <f t="shared" si="72"/>
        <v>3.5517790308483607E-2</v>
      </c>
      <c r="AP64" s="2">
        <f t="shared" si="72"/>
        <v>3.9503118658624277E-2</v>
      </c>
      <c r="AQ64" s="2">
        <f t="shared" si="72"/>
        <v>3.4363076952765692E-2</v>
      </c>
      <c r="AR64" s="2">
        <f t="shared" si="72"/>
        <v>4.3345599158420706E-2</v>
      </c>
      <c r="AS64" s="2">
        <f t="shared" si="72"/>
        <v>4.3306072893519967E-2</v>
      </c>
      <c r="AT64" s="2">
        <f t="shared" si="72"/>
        <v>4.2442184185739099E-2</v>
      </c>
      <c r="AU64" s="2">
        <f t="shared" si="72"/>
        <v>3.4351939302555236E-2</v>
      </c>
      <c r="AV64" s="2">
        <f t="shared" si="72"/>
        <v>3.5829847571390856E-2</v>
      </c>
      <c r="AW64" s="2">
        <f t="shared" si="72"/>
        <v>3.3506609042466114E-2</v>
      </c>
      <c r="AX64" s="2">
        <f t="shared" si="72"/>
        <v>3.237019578242422E-2</v>
      </c>
      <c r="AY64" s="2">
        <f t="shared" si="72"/>
        <v>3.8576540576554651E-2</v>
      </c>
      <c r="AZ64" s="2">
        <f t="shared" si="72"/>
        <v>3.8200815309511853E-2</v>
      </c>
      <c r="BA64" s="2">
        <f t="shared" si="72"/>
        <v>2.5334361031864538E-2</v>
      </c>
      <c r="BB64" s="2">
        <f t="shared" si="72"/>
        <v>3.0457718809499292E-2</v>
      </c>
      <c r="BC64" s="2">
        <f t="shared" si="72"/>
        <v>2.3127867294890605E-2</v>
      </c>
      <c r="BD64" s="2">
        <f t="shared" si="72"/>
        <v>2.541095216279143E-2</v>
      </c>
      <c r="BE64" s="2">
        <f t="shared" si="72"/>
        <v>2.2706348550680697E-2</v>
      </c>
      <c r="BF64" s="2">
        <f t="shared" si="72"/>
        <v>2.0657976652042432E-2</v>
      </c>
      <c r="BG64" s="2">
        <f t="shared" si="72"/>
        <v>3.2417606815207917E-2</v>
      </c>
      <c r="BH64" s="2">
        <f t="shared" si="72"/>
        <v>2.5707932073396157E-2</v>
      </c>
      <c r="BI64" s="2">
        <f t="shared" si="72"/>
        <v>2.7244751386797286E-2</v>
      </c>
      <c r="BJ64" s="2">
        <f t="shared" si="72"/>
        <v>3.0999118645368702E-2</v>
      </c>
      <c r="BN64" s="2">
        <f t="shared" si="56"/>
        <v>0.10982181399304476</v>
      </c>
      <c r="BU64" s="2"/>
      <c r="BV64" s="2"/>
      <c r="BW64" s="2"/>
      <c r="BX64" s="2"/>
      <c r="BY64" s="2"/>
      <c r="BZ64" s="2"/>
      <c r="CA64" s="2"/>
    </row>
    <row r="65" spans="1:79">
      <c r="A65" s="1" t="s">
        <v>122</v>
      </c>
      <c r="B65" s="54">
        <f t="shared" si="57"/>
        <v>3.6184244973482579E-3</v>
      </c>
      <c r="C65" s="2">
        <f t="shared" ref="C65:T65" si="73">C48*15/(C$56)</f>
        <v>0</v>
      </c>
      <c r="D65" s="2">
        <f t="shared" si="73"/>
        <v>0</v>
      </c>
      <c r="E65" s="2">
        <f t="shared" si="73"/>
        <v>3.6210273734546294E-3</v>
      </c>
      <c r="F65" s="2">
        <f t="shared" si="73"/>
        <v>0</v>
      </c>
      <c r="G65" s="2">
        <f t="shared" si="73"/>
        <v>0</v>
      </c>
      <c r="H65" s="2">
        <f t="shared" si="73"/>
        <v>0</v>
      </c>
      <c r="I65" s="2">
        <f t="shared" si="73"/>
        <v>0</v>
      </c>
      <c r="J65" s="2">
        <f t="shared" si="73"/>
        <v>0</v>
      </c>
      <c r="K65" s="54">
        <f t="shared" si="73"/>
        <v>0</v>
      </c>
      <c r="L65" s="2">
        <f t="shared" si="73"/>
        <v>0</v>
      </c>
      <c r="M65" s="2">
        <f t="shared" si="73"/>
        <v>0</v>
      </c>
      <c r="N65" s="2">
        <f t="shared" si="73"/>
        <v>0</v>
      </c>
      <c r="O65" s="2">
        <f t="shared" si="73"/>
        <v>0</v>
      </c>
      <c r="P65" s="2">
        <f t="shared" si="73"/>
        <v>0</v>
      </c>
      <c r="Q65" s="2">
        <f t="shared" si="73"/>
        <v>0</v>
      </c>
      <c r="R65" s="2">
        <f t="shared" si="73"/>
        <v>0</v>
      </c>
      <c r="S65" s="2">
        <f t="shared" si="73"/>
        <v>0</v>
      </c>
      <c r="T65" s="2">
        <f t="shared" si="73"/>
        <v>0</v>
      </c>
      <c r="U65" s="2">
        <f t="shared" ref="U65:AI65" si="74">U48*15/(U$56)</f>
        <v>0</v>
      </c>
      <c r="V65" s="2">
        <f t="shared" si="74"/>
        <v>0</v>
      </c>
      <c r="W65" s="2">
        <f t="shared" si="74"/>
        <v>0</v>
      </c>
      <c r="X65" s="2">
        <f t="shared" si="74"/>
        <v>0</v>
      </c>
      <c r="Y65" s="2">
        <f t="shared" si="74"/>
        <v>0</v>
      </c>
      <c r="Z65" s="2">
        <f t="shared" si="74"/>
        <v>0</v>
      </c>
      <c r="AA65" s="2">
        <f t="shared" si="74"/>
        <v>0</v>
      </c>
      <c r="AB65" s="2">
        <f t="shared" si="74"/>
        <v>0</v>
      </c>
      <c r="AC65" s="2">
        <f t="shared" si="74"/>
        <v>0</v>
      </c>
      <c r="AD65" s="2">
        <f t="shared" si="74"/>
        <v>0</v>
      </c>
      <c r="AE65" s="2">
        <f t="shared" si="74"/>
        <v>0</v>
      </c>
      <c r="AF65" s="2">
        <f t="shared" si="74"/>
        <v>0</v>
      </c>
      <c r="AG65" s="2">
        <f t="shared" si="74"/>
        <v>0</v>
      </c>
      <c r="AH65" s="2">
        <f t="shared" si="74"/>
        <v>0</v>
      </c>
      <c r="AI65" s="2">
        <f t="shared" si="74"/>
        <v>0</v>
      </c>
      <c r="AJ65" s="2">
        <f t="shared" ref="AJ65:BJ65" si="75">AJ48*15/(AJ$56)</f>
        <v>0</v>
      </c>
      <c r="AK65" s="2">
        <f t="shared" si="75"/>
        <v>0</v>
      </c>
      <c r="AL65" s="2">
        <f t="shared" si="75"/>
        <v>0</v>
      </c>
      <c r="AM65" s="2">
        <f t="shared" si="75"/>
        <v>0</v>
      </c>
      <c r="AN65" s="2">
        <f t="shared" si="75"/>
        <v>0</v>
      </c>
      <c r="AO65" s="2">
        <f t="shared" si="75"/>
        <v>0</v>
      </c>
      <c r="AP65" s="2">
        <f t="shared" si="75"/>
        <v>0</v>
      </c>
      <c r="AQ65" s="2">
        <f t="shared" si="75"/>
        <v>0</v>
      </c>
      <c r="AR65" s="2">
        <f t="shared" si="75"/>
        <v>0</v>
      </c>
      <c r="AS65" s="2">
        <f t="shared" si="75"/>
        <v>0</v>
      </c>
      <c r="AT65" s="2">
        <f t="shared" si="75"/>
        <v>0</v>
      </c>
      <c r="AU65" s="2">
        <f t="shared" si="75"/>
        <v>0</v>
      </c>
      <c r="AV65" s="2">
        <f t="shared" si="75"/>
        <v>0</v>
      </c>
      <c r="AW65" s="2">
        <f t="shared" si="75"/>
        <v>0</v>
      </c>
      <c r="AX65" s="2">
        <f t="shared" si="75"/>
        <v>0</v>
      </c>
      <c r="AY65" s="2">
        <f t="shared" si="75"/>
        <v>0</v>
      </c>
      <c r="AZ65" s="2">
        <f t="shared" si="75"/>
        <v>0</v>
      </c>
      <c r="BA65" s="2">
        <f t="shared" si="75"/>
        <v>0</v>
      </c>
      <c r="BB65" s="2">
        <f t="shared" si="75"/>
        <v>0</v>
      </c>
      <c r="BC65" s="2">
        <f t="shared" si="75"/>
        <v>0</v>
      </c>
      <c r="BD65" s="2">
        <f t="shared" si="75"/>
        <v>0</v>
      </c>
      <c r="BE65" s="2">
        <f t="shared" si="75"/>
        <v>0</v>
      </c>
      <c r="BF65" s="2">
        <f t="shared" si="75"/>
        <v>0</v>
      </c>
      <c r="BG65" s="2">
        <f t="shared" si="75"/>
        <v>0</v>
      </c>
      <c r="BH65" s="2">
        <f t="shared" si="75"/>
        <v>0</v>
      </c>
      <c r="BI65" s="2">
        <f t="shared" si="75"/>
        <v>0</v>
      </c>
      <c r="BJ65" s="2">
        <f t="shared" si="75"/>
        <v>0</v>
      </c>
      <c r="BN65" s="2">
        <f t="shared" si="56"/>
        <v>8.9507670978273396E-4</v>
      </c>
      <c r="BU65" s="2"/>
      <c r="BV65" s="2"/>
      <c r="BW65" s="2"/>
      <c r="BX65" s="2"/>
      <c r="BY65" s="2"/>
      <c r="BZ65" s="2"/>
      <c r="CA65" s="2"/>
    </row>
    <row r="66" spans="1:79">
      <c r="A66" s="1" t="s">
        <v>123</v>
      </c>
      <c r="B66" s="54">
        <f t="shared" si="57"/>
        <v>2.7853434436051328</v>
      </c>
      <c r="C66" s="2">
        <f t="shared" ref="C66:T66" si="76">C49*15/(C$56)</f>
        <v>2.8638341107123035</v>
      </c>
      <c r="D66" s="2">
        <f t="shared" si="76"/>
        <v>2.6544093074950621</v>
      </c>
      <c r="E66" s="2">
        <f t="shared" si="76"/>
        <v>2.679969315970701</v>
      </c>
      <c r="F66" s="2">
        <f t="shared" si="76"/>
        <v>2.7039337577228846</v>
      </c>
      <c r="G66" s="2">
        <f t="shared" si="76"/>
        <v>2.634138278506712</v>
      </c>
      <c r="H66" s="2">
        <f t="shared" si="76"/>
        <v>2.7344628619159472</v>
      </c>
      <c r="I66" s="2">
        <f t="shared" si="76"/>
        <v>2.7242957338292473</v>
      </c>
      <c r="J66" s="2">
        <f t="shared" si="76"/>
        <v>2.825369422122932</v>
      </c>
      <c r="K66" s="54">
        <f t="shared" si="76"/>
        <v>2.5838786192327223</v>
      </c>
      <c r="L66" s="2">
        <f t="shared" si="76"/>
        <v>2.8109430034737013</v>
      </c>
      <c r="M66" s="2">
        <f t="shared" si="76"/>
        <v>2.6940847162230619</v>
      </c>
      <c r="N66" s="2">
        <f t="shared" si="76"/>
        <v>2.6163304983109272</v>
      </c>
      <c r="O66" s="2">
        <f t="shared" si="76"/>
        <v>2.6585125411146793</v>
      </c>
      <c r="P66" s="2">
        <f t="shared" si="76"/>
        <v>2.7682493796559564</v>
      </c>
      <c r="Q66" s="2">
        <f t="shared" si="76"/>
        <v>3.546939065201907</v>
      </c>
      <c r="R66" s="2">
        <f t="shared" si="76"/>
        <v>2.6101863998811443</v>
      </c>
      <c r="S66" s="2">
        <f t="shared" si="76"/>
        <v>2.6021237981327432</v>
      </c>
      <c r="T66" s="2">
        <f t="shared" si="76"/>
        <v>2.6227295622240376</v>
      </c>
      <c r="U66" s="2">
        <f t="shared" ref="U66:AI66" si="77">U49*15/(U$56)</f>
        <v>2.5173374895200777</v>
      </c>
      <c r="V66" s="2">
        <f t="shared" si="77"/>
        <v>2.5154637399486561</v>
      </c>
      <c r="W66" s="2">
        <f t="shared" si="77"/>
        <v>2.7371085907453505</v>
      </c>
      <c r="X66" s="2">
        <f t="shared" si="77"/>
        <v>2.7669754937004623</v>
      </c>
      <c r="Y66" s="2">
        <f t="shared" si="77"/>
        <v>1.5843665176194637</v>
      </c>
      <c r="Z66" s="2">
        <f t="shared" si="77"/>
        <v>2.4869238512892671</v>
      </c>
      <c r="AA66" s="2">
        <f t="shared" si="77"/>
        <v>2.7448653031092203</v>
      </c>
      <c r="AB66" s="2">
        <f t="shared" si="77"/>
        <v>2.8464468626264052</v>
      </c>
      <c r="AC66" s="2">
        <f t="shared" si="77"/>
        <v>2.7778623196946763</v>
      </c>
      <c r="AD66" s="2">
        <f t="shared" si="77"/>
        <v>2.7222816538010881</v>
      </c>
      <c r="AE66" s="2">
        <f t="shared" si="77"/>
        <v>2.6886755664925879</v>
      </c>
      <c r="AF66" s="2">
        <f t="shared" si="77"/>
        <v>2.7411343416049498</v>
      </c>
      <c r="AG66" s="2">
        <f t="shared" si="77"/>
        <v>2.6361467425240082</v>
      </c>
      <c r="AH66" s="2">
        <f t="shared" si="77"/>
        <v>2.7141926271864456</v>
      </c>
      <c r="AI66" s="2">
        <f t="shared" si="77"/>
        <v>2.656963372466977</v>
      </c>
      <c r="AJ66" s="2">
        <f t="shared" ref="AJ66:BJ66" si="78">AJ49*15/(AJ$56)</f>
        <v>2.7578756822401016</v>
      </c>
      <c r="AK66" s="2">
        <f t="shared" si="78"/>
        <v>2.5193143800756239</v>
      </c>
      <c r="AL66" s="2">
        <f t="shared" si="78"/>
        <v>2.4890506389817992</v>
      </c>
      <c r="AM66" s="2">
        <f t="shared" si="78"/>
        <v>2.5854131866224246</v>
      </c>
      <c r="AN66" s="2">
        <f t="shared" si="78"/>
        <v>2.5676265222899475</v>
      </c>
      <c r="AO66" s="2">
        <f t="shared" si="78"/>
        <v>2.584975829029255</v>
      </c>
      <c r="AP66" s="2">
        <f t="shared" si="78"/>
        <v>2.2155760081524543</v>
      </c>
      <c r="AQ66" s="2">
        <f t="shared" si="78"/>
        <v>2.2150553950499905</v>
      </c>
      <c r="AR66" s="2">
        <f t="shared" si="78"/>
        <v>2.1986301984260739</v>
      </c>
      <c r="AS66" s="2">
        <f t="shared" si="78"/>
        <v>2.16300348154593</v>
      </c>
      <c r="AT66" s="2">
        <f t="shared" si="78"/>
        <v>2.1773030327383913</v>
      </c>
      <c r="AU66" s="2">
        <f t="shared" si="78"/>
        <v>2.4158444060856907</v>
      </c>
      <c r="AV66" s="2">
        <f t="shared" si="78"/>
        <v>2.1573095097729551</v>
      </c>
      <c r="AW66" s="2">
        <f t="shared" si="78"/>
        <v>2.1363285906894491</v>
      </c>
      <c r="AX66" s="2">
        <f t="shared" si="78"/>
        <v>1.7157749118313306</v>
      </c>
      <c r="AY66" s="2">
        <f t="shared" si="78"/>
        <v>2.1406870418420478</v>
      </c>
      <c r="AZ66" s="2">
        <f t="shared" si="78"/>
        <v>2.2229160884197103</v>
      </c>
      <c r="BA66" s="2">
        <f t="shared" si="78"/>
        <v>2.5278600926552999</v>
      </c>
      <c r="BB66" s="2">
        <f t="shared" si="78"/>
        <v>2.4990574339421521</v>
      </c>
      <c r="BC66" s="2">
        <f t="shared" si="78"/>
        <v>2.5641070678430227</v>
      </c>
      <c r="BD66" s="2">
        <f t="shared" si="78"/>
        <v>2.4706614593115708</v>
      </c>
      <c r="BE66" s="2">
        <f t="shared" si="78"/>
        <v>2.5484534354809982</v>
      </c>
      <c r="BF66" s="2">
        <f t="shared" si="78"/>
        <v>2.1630410801556201</v>
      </c>
      <c r="BG66" s="2">
        <f t="shared" si="78"/>
        <v>2.1564171144079696</v>
      </c>
      <c r="BH66" s="2">
        <f t="shared" si="78"/>
        <v>2.2235693831222578</v>
      </c>
      <c r="BI66" s="2">
        <f t="shared" si="78"/>
        <v>2.1301256297903723</v>
      </c>
      <c r="BJ66" s="2">
        <f t="shared" si="78"/>
        <v>2.2116223211818444</v>
      </c>
      <c r="BN66" s="2">
        <f t="shared" si="56"/>
        <v>2.7225470557153724</v>
      </c>
      <c r="BU66" s="2"/>
      <c r="BV66" s="2"/>
      <c r="BW66" s="2"/>
      <c r="BX66" s="2"/>
      <c r="BY66" s="2"/>
      <c r="BZ66" s="2"/>
      <c r="CA66" s="2"/>
    </row>
    <row r="67" spans="1:79">
      <c r="A67" s="1" t="s">
        <v>124</v>
      </c>
      <c r="B67" s="54">
        <f t="shared" si="57"/>
        <v>1.6855474855929462</v>
      </c>
      <c r="C67" s="2">
        <f t="shared" ref="C67:T67" si="79">C50*15/(C$56)</f>
        <v>1.6673918318879901</v>
      </c>
      <c r="D67" s="2">
        <f t="shared" si="79"/>
        <v>1.669082626281158</v>
      </c>
      <c r="E67" s="2">
        <f t="shared" si="79"/>
        <v>1.6079694629955499</v>
      </c>
      <c r="F67" s="2">
        <f t="shared" si="79"/>
        <v>1.7260324936151394</v>
      </c>
      <c r="G67" s="2">
        <f t="shared" si="79"/>
        <v>1.7377385243519941</v>
      </c>
      <c r="H67" s="2">
        <f t="shared" si="79"/>
        <v>1.748183877697816</v>
      </c>
      <c r="I67" s="2">
        <f t="shared" si="79"/>
        <v>1.704367097414037</v>
      </c>
      <c r="J67" s="2">
        <f t="shared" si="79"/>
        <v>1.6227901796155355</v>
      </c>
      <c r="K67" s="54">
        <f t="shared" si="79"/>
        <v>1.7317861917212145</v>
      </c>
      <c r="L67" s="2">
        <f t="shared" si="79"/>
        <v>1.6491231633462284</v>
      </c>
      <c r="M67" s="2">
        <f t="shared" si="79"/>
        <v>1.7186777196477869</v>
      </c>
      <c r="N67" s="2">
        <f t="shared" si="79"/>
        <v>1.6558879173819954</v>
      </c>
      <c r="O67" s="2">
        <f t="shared" si="79"/>
        <v>1.7149321567319784</v>
      </c>
      <c r="P67" s="2">
        <f t="shared" si="79"/>
        <v>1.9527755759678018</v>
      </c>
      <c r="Q67" s="2">
        <f t="shared" si="79"/>
        <v>1.9637989054975564</v>
      </c>
      <c r="R67" s="2">
        <f t="shared" si="79"/>
        <v>1.9228511686648742</v>
      </c>
      <c r="S67" s="2">
        <f t="shared" si="79"/>
        <v>1.9330602697267472</v>
      </c>
      <c r="T67" s="2">
        <f t="shared" si="79"/>
        <v>1.9381950399477066</v>
      </c>
      <c r="U67" s="2">
        <f t="shared" ref="U67:AI67" si="80">U50*15/(U$56)</f>
        <v>1.9245657873294166</v>
      </c>
      <c r="V67" s="2">
        <f t="shared" si="80"/>
        <v>1.9517812104998657</v>
      </c>
      <c r="W67" s="2">
        <f t="shared" si="80"/>
        <v>1.9480194537794764</v>
      </c>
      <c r="X67" s="2">
        <f t="shared" si="80"/>
        <v>1.9005277091564128</v>
      </c>
      <c r="Y67" s="2">
        <f t="shared" si="80"/>
        <v>2.6233567665288371</v>
      </c>
      <c r="Z67" s="2">
        <f t="shared" si="80"/>
        <v>2.0927073028503611</v>
      </c>
      <c r="AA67" s="2">
        <f t="shared" si="80"/>
        <v>2.1417476099034576</v>
      </c>
      <c r="AB67" s="2">
        <f t="shared" si="80"/>
        <v>1.7875007640804443</v>
      </c>
      <c r="AC67" s="2">
        <f t="shared" si="80"/>
        <v>1.7905387400542274</v>
      </c>
      <c r="AD67" s="2">
        <f t="shared" si="80"/>
        <v>1.8292849898223094</v>
      </c>
      <c r="AE67" s="2">
        <f t="shared" si="80"/>
        <v>1.7746137321649686</v>
      </c>
      <c r="AF67" s="2">
        <f t="shared" si="80"/>
        <v>1.7882901184708782</v>
      </c>
      <c r="AG67" s="2">
        <f t="shared" si="80"/>
        <v>1.7879836658499981</v>
      </c>
      <c r="AH67" s="2">
        <f t="shared" si="80"/>
        <v>1.7602647335059398</v>
      </c>
      <c r="AI67" s="2">
        <f t="shared" si="80"/>
        <v>1.8069254351590331</v>
      </c>
      <c r="AJ67" s="2">
        <f t="shared" ref="AJ67:BJ67" si="81">AJ50*15/(AJ$56)</f>
        <v>1.7558833833943615</v>
      </c>
      <c r="AK67" s="2">
        <f t="shared" si="81"/>
        <v>1.7723745076980613</v>
      </c>
      <c r="AL67" s="2">
        <f t="shared" si="81"/>
        <v>1.7601034129659225</v>
      </c>
      <c r="AM67" s="2">
        <f t="shared" si="81"/>
        <v>1.7339571922979311</v>
      </c>
      <c r="AN67" s="2">
        <f t="shared" si="81"/>
        <v>1.721806048237567</v>
      </c>
      <c r="AO67" s="2">
        <f t="shared" si="81"/>
        <v>1.7457482514334348</v>
      </c>
      <c r="AP67" s="2">
        <f t="shared" si="81"/>
        <v>1.9004143773009596</v>
      </c>
      <c r="AQ67" s="2">
        <f t="shared" si="81"/>
        <v>1.8819479358021998</v>
      </c>
      <c r="AR67" s="2">
        <f t="shared" si="81"/>
        <v>1.910949703935845</v>
      </c>
      <c r="AS67" s="2">
        <f t="shared" si="81"/>
        <v>1.8979291179483633</v>
      </c>
      <c r="AT67" s="2">
        <f t="shared" si="81"/>
        <v>1.857867350086819</v>
      </c>
      <c r="AU67" s="2">
        <f t="shared" si="81"/>
        <v>1.8893847483030148</v>
      </c>
      <c r="AV67" s="2">
        <f t="shared" si="81"/>
        <v>1.8517304427122512</v>
      </c>
      <c r="AW67" s="2">
        <f t="shared" si="81"/>
        <v>1.9023604095990643</v>
      </c>
      <c r="AX67" s="2">
        <f t="shared" si="81"/>
        <v>2.3502931310574757</v>
      </c>
      <c r="AY67" s="2">
        <f t="shared" si="81"/>
        <v>1.8672769018028756</v>
      </c>
      <c r="AZ67" s="2">
        <f t="shared" si="81"/>
        <v>1.890968468026111</v>
      </c>
      <c r="BA67" s="2">
        <f t="shared" si="81"/>
        <v>1.9259687672591692</v>
      </c>
      <c r="BB67" s="2">
        <f t="shared" si="81"/>
        <v>1.8974416112710499</v>
      </c>
      <c r="BC67" s="2">
        <f t="shared" si="81"/>
        <v>1.9373324363793829</v>
      </c>
      <c r="BD67" s="2">
        <f t="shared" si="81"/>
        <v>1.9205413451484155</v>
      </c>
      <c r="BE67" s="2">
        <f t="shared" si="81"/>
        <v>1.9147886913214887</v>
      </c>
      <c r="BF67" s="2">
        <f t="shared" si="81"/>
        <v>1.8928493416087702</v>
      </c>
      <c r="BG67" s="2">
        <f t="shared" si="81"/>
        <v>1.8600251187257906</v>
      </c>
      <c r="BH67" s="2">
        <f t="shared" si="81"/>
        <v>1.9007126801768881</v>
      </c>
      <c r="BI67" s="2">
        <f t="shared" si="81"/>
        <v>1.8708252319838774</v>
      </c>
      <c r="BJ67" s="2">
        <f t="shared" si="81"/>
        <v>1.957310543165367</v>
      </c>
      <c r="BN67" s="2">
        <f t="shared" si="56"/>
        <v>1.6934283078591217</v>
      </c>
      <c r="BU67" s="2"/>
      <c r="BV67" s="2"/>
      <c r="BW67" s="2"/>
      <c r="BX67" s="2"/>
      <c r="BY67" s="2"/>
      <c r="BZ67" s="2"/>
      <c r="CA67" s="2"/>
    </row>
    <row r="68" spans="1:79">
      <c r="A68" s="1" t="s">
        <v>125</v>
      </c>
      <c r="B68" s="54">
        <f>B51*15/(B$56)</f>
        <v>0.39252894522275983</v>
      </c>
      <c r="C68" s="2">
        <f t="shared" ref="C68:T68" si="82">C51*15/(C$56)</f>
        <v>0.40115272722834699</v>
      </c>
      <c r="D68" s="2">
        <f t="shared" si="82"/>
        <v>0.43228955191115565</v>
      </c>
      <c r="E68" s="2">
        <f t="shared" si="82"/>
        <v>0.40445016038159048</v>
      </c>
      <c r="F68" s="2">
        <f t="shared" si="82"/>
        <v>0.3993986921397884</v>
      </c>
      <c r="G68" s="2">
        <f t="shared" si="82"/>
        <v>0.42252932597911136</v>
      </c>
      <c r="H68" s="2">
        <f t="shared" si="82"/>
        <v>0.3932769546816271</v>
      </c>
      <c r="I68" s="2">
        <f t="shared" si="82"/>
        <v>0.40228049443378033</v>
      </c>
      <c r="J68" s="2">
        <f t="shared" si="82"/>
        <v>0.40355853584198875</v>
      </c>
      <c r="K68" s="54">
        <f t="shared" si="82"/>
        <v>0.39058543823748787</v>
      </c>
      <c r="L68" s="2">
        <f t="shared" si="82"/>
        <v>0.43566799284592356</v>
      </c>
      <c r="M68" s="2">
        <f t="shared" si="82"/>
        <v>0.41716625453069955</v>
      </c>
      <c r="N68" s="2">
        <f t="shared" si="82"/>
        <v>0.47008393440268598</v>
      </c>
      <c r="O68" s="2">
        <f t="shared" si="82"/>
        <v>0.43188345591574112</v>
      </c>
      <c r="P68" s="2">
        <f t="shared" si="82"/>
        <v>0.40201571946512926</v>
      </c>
      <c r="Q68" s="2">
        <f t="shared" si="82"/>
        <v>0.20804346305477056</v>
      </c>
      <c r="R68" s="2">
        <f t="shared" si="82"/>
        <v>0.48625787891631828</v>
      </c>
      <c r="S68" s="2">
        <f t="shared" si="82"/>
        <v>0.45651161825855296</v>
      </c>
      <c r="T68" s="2">
        <f t="shared" si="82"/>
        <v>0.46492468480353327</v>
      </c>
      <c r="U68" s="2">
        <f t="shared" ref="U68:AI68" si="83">U51*15/(U$56)</f>
        <v>0.48116973748590064</v>
      </c>
      <c r="V68" s="2">
        <f t="shared" si="83"/>
        <v>0.4907796296860234</v>
      </c>
      <c r="W68" s="2">
        <f t="shared" si="83"/>
        <v>0.36274408779703743</v>
      </c>
      <c r="X68" s="2">
        <f t="shared" si="83"/>
        <v>0.44188113832417486</v>
      </c>
      <c r="Y68" s="2">
        <f t="shared" si="83"/>
        <v>0.3069255523578116</v>
      </c>
      <c r="Z68" s="2">
        <f t="shared" si="83"/>
        <v>0.3642337240613534</v>
      </c>
      <c r="AA68" s="2">
        <f t="shared" si="83"/>
        <v>0.33390797950120227</v>
      </c>
      <c r="AB68" s="2">
        <f t="shared" si="83"/>
        <v>0.59329259990322358</v>
      </c>
      <c r="AC68" s="2">
        <f t="shared" si="83"/>
        <v>0.7088578417230007</v>
      </c>
      <c r="AD68" s="2">
        <f t="shared" si="83"/>
        <v>0.7237450711929182</v>
      </c>
      <c r="AE68" s="2">
        <f t="shared" si="83"/>
        <v>0.74505986855755046</v>
      </c>
      <c r="AF68" s="2">
        <f t="shared" si="83"/>
        <v>0.75988543012866994</v>
      </c>
      <c r="AG68" s="2">
        <f t="shared" si="83"/>
        <v>0.76196368975324569</v>
      </c>
      <c r="AH68" s="2">
        <f t="shared" si="83"/>
        <v>0.73857906591382527</v>
      </c>
      <c r="AI68" s="2">
        <f t="shared" si="83"/>
        <v>0.74179946436487643</v>
      </c>
      <c r="AJ68" s="2">
        <f t="shared" ref="AJ68:BJ68" si="84">AJ51*15/(AJ$56)</f>
        <v>0.73878952686575827</v>
      </c>
      <c r="AK68" s="2">
        <f t="shared" si="84"/>
        <v>0.70819924288562452</v>
      </c>
      <c r="AL68" s="2">
        <f t="shared" si="84"/>
        <v>0.75541869015896479</v>
      </c>
      <c r="AM68" s="2">
        <f t="shared" si="84"/>
        <v>0.71298139225881418</v>
      </c>
      <c r="AN68" s="2">
        <f t="shared" si="84"/>
        <v>0.72438011544948477</v>
      </c>
      <c r="AO68" s="2">
        <f t="shared" si="84"/>
        <v>0.74910870057566081</v>
      </c>
      <c r="AP68" s="2">
        <f t="shared" si="84"/>
        <v>0.41126905177303613</v>
      </c>
      <c r="AQ68" s="2">
        <f t="shared" si="84"/>
        <v>0.37871182036575035</v>
      </c>
      <c r="AR68" s="2">
        <f t="shared" si="84"/>
        <v>0.42020944839785368</v>
      </c>
      <c r="AS68" s="2">
        <f t="shared" si="84"/>
        <v>0.43440356596345453</v>
      </c>
      <c r="AT68" s="2">
        <f t="shared" si="84"/>
        <v>0.46513401514832403</v>
      </c>
      <c r="AU68" s="2">
        <f t="shared" si="84"/>
        <v>0.33781794251308533</v>
      </c>
      <c r="AV68" s="2">
        <f t="shared" si="84"/>
        <v>0.45107097010243746</v>
      </c>
      <c r="AW68" s="2">
        <f t="shared" si="84"/>
        <v>0.45132125682114788</v>
      </c>
      <c r="AX68" s="2">
        <f t="shared" si="84"/>
        <v>0.29637566754449052</v>
      </c>
      <c r="AY68" s="2">
        <f t="shared" si="84"/>
        <v>0.46798978774673311</v>
      </c>
      <c r="AZ68" s="2">
        <f t="shared" si="84"/>
        <v>0.41971172052957451</v>
      </c>
      <c r="BA68" s="2">
        <f t="shared" si="84"/>
        <v>0.57119370623394328</v>
      </c>
      <c r="BB68" s="2">
        <f t="shared" si="84"/>
        <v>0.57806468092712504</v>
      </c>
      <c r="BC68" s="2">
        <f t="shared" si="84"/>
        <v>0.56173783564198221</v>
      </c>
      <c r="BD68" s="2">
        <f t="shared" si="84"/>
        <v>0.56710409336021317</v>
      </c>
      <c r="BE68" s="2">
        <f t="shared" si="84"/>
        <v>0.56593700758888554</v>
      </c>
      <c r="BF68" s="2">
        <f t="shared" si="84"/>
        <v>0.70336699316796059</v>
      </c>
      <c r="BG68" s="2">
        <f t="shared" si="84"/>
        <v>0.71827960564731408</v>
      </c>
      <c r="BH68" s="2">
        <f t="shared" si="84"/>
        <v>0.66199833005608588</v>
      </c>
      <c r="BI68" s="2">
        <f t="shared" si="84"/>
        <v>0.65925549240225367</v>
      </c>
      <c r="BJ68" s="2">
        <f t="shared" si="84"/>
        <v>0.64451321418253316</v>
      </c>
      <c r="BN68" s="2">
        <f t="shared" si="56"/>
        <v>0.40601549380110263</v>
      </c>
      <c r="BU68" s="2"/>
      <c r="BV68" s="2"/>
      <c r="BW68" s="2"/>
      <c r="BX68" s="2"/>
      <c r="BY68" s="2"/>
      <c r="BZ68" s="2"/>
      <c r="CA68" s="2"/>
    </row>
    <row r="69" spans="1:79">
      <c r="A69" s="1" t="s">
        <v>126</v>
      </c>
      <c r="B69" s="54">
        <f t="shared" si="57"/>
        <v>4.5915978453025898E-2</v>
      </c>
      <c r="C69" s="2">
        <f t="shared" ref="C69:T69" si="85">C52*15/(C$56)</f>
        <v>2.6395168088181962E-2</v>
      </c>
      <c r="D69" s="2">
        <f t="shared" si="85"/>
        <v>5.0859986303415712E-2</v>
      </c>
      <c r="E69" s="2">
        <f t="shared" si="85"/>
        <v>4.7863549620377088E-2</v>
      </c>
      <c r="F69" s="2">
        <f t="shared" si="85"/>
        <v>6.4281416474291989E-2</v>
      </c>
      <c r="G69" s="2">
        <f t="shared" si="85"/>
        <v>4.917309601468646E-2</v>
      </c>
      <c r="H69" s="2">
        <f t="shared" si="85"/>
        <v>3.9665406442776573E-2</v>
      </c>
      <c r="I69" s="2">
        <f t="shared" si="85"/>
        <v>4.3176991834024118E-2</v>
      </c>
      <c r="J69" s="2">
        <f t="shared" si="85"/>
        <v>3.0131592860891298E-2</v>
      </c>
      <c r="K69" s="54">
        <f t="shared" si="85"/>
        <v>5.3790401346843375E-2</v>
      </c>
      <c r="L69" s="2">
        <f t="shared" si="85"/>
        <v>2.6230522560541782E-2</v>
      </c>
      <c r="M69" s="2">
        <f t="shared" si="85"/>
        <v>4.1646502184865659E-2</v>
      </c>
      <c r="N69" s="2">
        <f t="shared" si="85"/>
        <v>4.743976141050122E-2</v>
      </c>
      <c r="O69" s="2">
        <f t="shared" si="85"/>
        <v>4.7048340793453165E-2</v>
      </c>
      <c r="P69" s="2">
        <f t="shared" si="85"/>
        <v>0.13992698987998076</v>
      </c>
      <c r="Q69" s="2">
        <f t="shared" si="85"/>
        <v>4.8096157988119087E-2</v>
      </c>
      <c r="R69" s="2">
        <f t="shared" si="85"/>
        <v>0.18967061731620408</v>
      </c>
      <c r="S69" s="2">
        <f t="shared" si="85"/>
        <v>0.19514931765561591</v>
      </c>
      <c r="T69" s="2">
        <f t="shared" si="85"/>
        <v>0.17972362065209022</v>
      </c>
      <c r="U69" s="2">
        <f t="shared" ref="U69:AI69" si="86">U52*15/(U$56)</f>
        <v>0.19498020102234223</v>
      </c>
      <c r="V69" s="2">
        <f t="shared" si="86"/>
        <v>0.20567225392846425</v>
      </c>
      <c r="W69" s="2">
        <f t="shared" si="86"/>
        <v>0.13473839835358178</v>
      </c>
      <c r="X69" s="2">
        <f t="shared" si="86"/>
        <v>0.14537514180259559</v>
      </c>
      <c r="Y69" s="2">
        <f t="shared" si="86"/>
        <v>0.12886448208252005</v>
      </c>
      <c r="Z69" s="2">
        <f t="shared" si="86"/>
        <v>0.131242164025308</v>
      </c>
      <c r="AA69" s="2">
        <f t="shared" si="86"/>
        <v>7.5113086850830289E-3</v>
      </c>
      <c r="AB69" s="2">
        <f t="shared" si="86"/>
        <v>1.8768098729790142E-2</v>
      </c>
      <c r="AC69" s="2">
        <f t="shared" si="86"/>
        <v>2.8324883793854286E-2</v>
      </c>
      <c r="AD69" s="2">
        <f t="shared" si="86"/>
        <v>2.6561623486415806E-2</v>
      </c>
      <c r="AE69" s="2">
        <f t="shared" si="86"/>
        <v>2.6601993565606632E-2</v>
      </c>
      <c r="AF69" s="2">
        <f t="shared" si="86"/>
        <v>2.2813309791593916E-2</v>
      </c>
      <c r="AG69" s="2">
        <f t="shared" si="86"/>
        <v>2.6587228489352098E-2</v>
      </c>
      <c r="AH69" s="2">
        <f t="shared" si="86"/>
        <v>2.2516099482807819E-2</v>
      </c>
      <c r="AI69" s="2">
        <f t="shared" si="86"/>
        <v>3.4453513975469287E-2</v>
      </c>
      <c r="AJ69" s="2">
        <f t="shared" ref="AJ69:BJ69" si="87">AJ52*15/(AJ$56)</f>
        <v>2.2786451261043703E-2</v>
      </c>
      <c r="AK69" s="2">
        <f t="shared" si="87"/>
        <v>8.5939501160077744E-2</v>
      </c>
      <c r="AL69" s="2">
        <f t="shared" si="87"/>
        <v>6.1411912553994814E-2</v>
      </c>
      <c r="AM69" s="2">
        <f t="shared" si="87"/>
        <v>7.2173791695224254E-2</v>
      </c>
      <c r="AN69" s="2">
        <f t="shared" si="87"/>
        <v>7.082451025691848E-2</v>
      </c>
      <c r="AO69" s="2">
        <f t="shared" si="87"/>
        <v>5.349311021471128E-2</v>
      </c>
      <c r="AP69" s="2">
        <f t="shared" si="87"/>
        <v>2.494967842457968E-2</v>
      </c>
      <c r="AQ69" s="2">
        <f t="shared" si="87"/>
        <v>3.4502669353125827E-2</v>
      </c>
      <c r="AR69" s="2">
        <f t="shared" si="87"/>
        <v>2.8801112471907916E-2</v>
      </c>
      <c r="AS69" s="2">
        <f t="shared" si="87"/>
        <v>3.0693172402623963E-2</v>
      </c>
      <c r="AT69" s="2">
        <f t="shared" si="87"/>
        <v>7.7481083949913782E-3</v>
      </c>
      <c r="AU69" s="2">
        <f t="shared" si="87"/>
        <v>3.065909907437742E-2</v>
      </c>
      <c r="AV69" s="2">
        <f t="shared" si="87"/>
        <v>2.6981548802247908E-2</v>
      </c>
      <c r="AW69" s="2">
        <f t="shared" si="87"/>
        <v>3.2995746803831549E-2</v>
      </c>
      <c r="AX69" s="2">
        <f t="shared" si="87"/>
        <v>1.3650710868386231E-2</v>
      </c>
      <c r="AY69" s="2">
        <f t="shared" si="87"/>
        <v>1.5493299696413632E-2</v>
      </c>
      <c r="AZ69" s="2">
        <f t="shared" si="87"/>
        <v>3.2602598022211125E-2</v>
      </c>
      <c r="BA69" s="2">
        <f t="shared" si="87"/>
        <v>7.6311828811778115E-3</v>
      </c>
      <c r="BB69" s="2">
        <f t="shared" si="87"/>
        <v>5.7340212292713673E-3</v>
      </c>
      <c r="BC69" s="2">
        <f t="shared" si="87"/>
        <v>7.7406063802673026E-3</v>
      </c>
      <c r="BD69" s="2">
        <f t="shared" si="87"/>
        <v>1.3394943731426273E-2</v>
      </c>
      <c r="BE69" s="2">
        <f t="shared" si="87"/>
        <v>1.7098941052437752E-2</v>
      </c>
      <c r="BF69" s="2">
        <f t="shared" si="87"/>
        <v>1.7500974001981692E-2</v>
      </c>
      <c r="BG69" s="2">
        <f t="shared" si="87"/>
        <v>2.7341408785652364E-2</v>
      </c>
      <c r="BH69" s="2">
        <f t="shared" si="87"/>
        <v>1.5487418917116798E-2</v>
      </c>
      <c r="BI69" s="2">
        <f t="shared" si="87"/>
        <v>9.7697954156568557E-3</v>
      </c>
      <c r="BJ69" s="2">
        <f t="shared" si="87"/>
        <v>2.3343784281810186E-2</v>
      </c>
      <c r="BN69" s="2">
        <f t="shared" si="56"/>
        <v>4.5905537596310629E-2</v>
      </c>
      <c r="BU69" s="2"/>
      <c r="BV69" s="2"/>
      <c r="BW69" s="2"/>
      <c r="BX69" s="2"/>
      <c r="BY69" s="2"/>
      <c r="BZ69" s="2"/>
      <c r="CA69" s="2"/>
    </row>
    <row r="70" spans="1:79">
      <c r="A70" s="1" t="s">
        <v>89</v>
      </c>
      <c r="B70" s="54">
        <f t="shared" si="57"/>
        <v>0</v>
      </c>
      <c r="C70" s="2">
        <f t="shared" ref="C70:T70" si="88">C53*15/(C$56)</f>
        <v>0</v>
      </c>
      <c r="D70" s="2">
        <f t="shared" si="88"/>
        <v>0</v>
      </c>
      <c r="E70" s="2">
        <f t="shared" si="88"/>
        <v>0</v>
      </c>
      <c r="F70" s="2">
        <f t="shared" si="88"/>
        <v>0</v>
      </c>
      <c r="G70" s="2">
        <f t="shared" si="88"/>
        <v>0</v>
      </c>
      <c r="H70" s="2">
        <f t="shared" si="88"/>
        <v>0</v>
      </c>
      <c r="I70" s="2">
        <f t="shared" si="88"/>
        <v>0</v>
      </c>
      <c r="J70" s="2">
        <f t="shared" si="88"/>
        <v>0</v>
      </c>
      <c r="K70" s="54">
        <f t="shared" si="88"/>
        <v>0</v>
      </c>
      <c r="L70" s="2">
        <f t="shared" si="88"/>
        <v>0</v>
      </c>
      <c r="M70" s="2">
        <f t="shared" si="88"/>
        <v>0</v>
      </c>
      <c r="N70" s="2">
        <f t="shared" si="88"/>
        <v>0</v>
      </c>
      <c r="O70" s="2">
        <f t="shared" si="88"/>
        <v>0</v>
      </c>
      <c r="P70" s="2">
        <f t="shared" si="88"/>
        <v>0</v>
      </c>
      <c r="Q70" s="2">
        <f t="shared" si="88"/>
        <v>0</v>
      </c>
      <c r="R70" s="2">
        <f t="shared" si="88"/>
        <v>0</v>
      </c>
      <c r="S70" s="2">
        <f t="shared" si="88"/>
        <v>0</v>
      </c>
      <c r="T70" s="2">
        <f t="shared" si="88"/>
        <v>0</v>
      </c>
      <c r="U70" s="2">
        <f t="shared" ref="U70:AI70" si="89">U53*15/(U$56)</f>
        <v>0</v>
      </c>
      <c r="V70" s="2">
        <f t="shared" si="89"/>
        <v>0</v>
      </c>
      <c r="W70" s="2">
        <f t="shared" si="89"/>
        <v>0</v>
      </c>
      <c r="X70" s="2">
        <f t="shared" si="89"/>
        <v>0</v>
      </c>
      <c r="Y70" s="2">
        <f t="shared" si="89"/>
        <v>0</v>
      </c>
      <c r="Z70" s="2">
        <f t="shared" si="89"/>
        <v>0</v>
      </c>
      <c r="AA70" s="2">
        <f t="shared" si="89"/>
        <v>0</v>
      </c>
      <c r="AB70" s="2">
        <f t="shared" si="89"/>
        <v>0</v>
      </c>
      <c r="AC70" s="2">
        <f t="shared" si="89"/>
        <v>0</v>
      </c>
      <c r="AD70" s="2">
        <f t="shared" si="89"/>
        <v>0</v>
      </c>
      <c r="AE70" s="2">
        <f t="shared" si="89"/>
        <v>0</v>
      </c>
      <c r="AF70" s="2">
        <f t="shared" si="89"/>
        <v>0</v>
      </c>
      <c r="AG70" s="2">
        <f t="shared" si="89"/>
        <v>0</v>
      </c>
      <c r="AH70" s="2">
        <f t="shared" si="89"/>
        <v>0</v>
      </c>
      <c r="AI70" s="2">
        <f t="shared" si="89"/>
        <v>0</v>
      </c>
      <c r="AJ70" s="2">
        <f t="shared" ref="AJ70:BJ70" si="90">AJ53*15/(AJ$56)</f>
        <v>0</v>
      </c>
      <c r="AK70" s="2">
        <f t="shared" si="90"/>
        <v>0</v>
      </c>
      <c r="AL70" s="2">
        <f t="shared" si="90"/>
        <v>0</v>
      </c>
      <c r="AM70" s="2">
        <f t="shared" si="90"/>
        <v>0</v>
      </c>
      <c r="AN70" s="2">
        <f t="shared" si="90"/>
        <v>0</v>
      </c>
      <c r="AO70" s="2">
        <f t="shared" si="90"/>
        <v>0</v>
      </c>
      <c r="AP70" s="2">
        <f t="shared" si="90"/>
        <v>0</v>
      </c>
      <c r="AQ70" s="2">
        <f t="shared" si="90"/>
        <v>0</v>
      </c>
      <c r="AR70" s="2">
        <f t="shared" si="90"/>
        <v>0</v>
      </c>
      <c r="AS70" s="2">
        <f t="shared" si="90"/>
        <v>0</v>
      </c>
      <c r="AT70" s="2">
        <f t="shared" si="90"/>
        <v>0</v>
      </c>
      <c r="AU70" s="2">
        <f t="shared" si="90"/>
        <v>0</v>
      </c>
      <c r="AV70" s="2">
        <f t="shared" si="90"/>
        <v>0</v>
      </c>
      <c r="AW70" s="2">
        <f t="shared" si="90"/>
        <v>0</v>
      </c>
      <c r="AX70" s="2">
        <f t="shared" si="90"/>
        <v>0</v>
      </c>
      <c r="AY70" s="2">
        <f t="shared" si="90"/>
        <v>0</v>
      </c>
      <c r="AZ70" s="2">
        <f t="shared" si="90"/>
        <v>0</v>
      </c>
      <c r="BA70" s="2">
        <f t="shared" si="90"/>
        <v>0</v>
      </c>
      <c r="BB70" s="2">
        <f t="shared" si="90"/>
        <v>0</v>
      </c>
      <c r="BC70" s="2">
        <f t="shared" si="90"/>
        <v>0</v>
      </c>
      <c r="BD70" s="2">
        <f t="shared" si="90"/>
        <v>0</v>
      </c>
      <c r="BE70" s="2">
        <f t="shared" si="90"/>
        <v>0</v>
      </c>
      <c r="BF70" s="2">
        <f t="shared" si="90"/>
        <v>0</v>
      </c>
      <c r="BG70" s="2">
        <f t="shared" si="90"/>
        <v>0</v>
      </c>
      <c r="BH70" s="2">
        <f t="shared" si="90"/>
        <v>0</v>
      </c>
      <c r="BI70" s="2">
        <f t="shared" si="90"/>
        <v>0</v>
      </c>
      <c r="BJ70" s="2">
        <f t="shared" si="90"/>
        <v>0</v>
      </c>
      <c r="BN70" s="2">
        <f t="shared" si="56"/>
        <v>0</v>
      </c>
      <c r="BU70" s="2"/>
      <c r="BV70" s="2"/>
      <c r="BW70" s="2"/>
      <c r="BX70" s="2"/>
      <c r="BY70" s="2"/>
      <c r="BZ70" s="2"/>
      <c r="CA70" s="2"/>
    </row>
    <row r="71" spans="1:79">
      <c r="A71" s="1" t="s">
        <v>86</v>
      </c>
      <c r="B71" s="54">
        <f t="shared" si="57"/>
        <v>0</v>
      </c>
      <c r="C71" s="2">
        <f t="shared" ref="C71:T71" si="91">C54*15/(C$56)</f>
        <v>0</v>
      </c>
      <c r="D71" s="2">
        <f t="shared" si="91"/>
        <v>0</v>
      </c>
      <c r="E71" s="2">
        <f t="shared" si="91"/>
        <v>0</v>
      </c>
      <c r="F71" s="2">
        <f t="shared" si="91"/>
        <v>0</v>
      </c>
      <c r="G71" s="2">
        <f t="shared" si="91"/>
        <v>0</v>
      </c>
      <c r="H71" s="2">
        <f t="shared" si="91"/>
        <v>0</v>
      </c>
      <c r="I71" s="2">
        <f t="shared" si="91"/>
        <v>0</v>
      </c>
      <c r="J71" s="2">
        <f t="shared" si="91"/>
        <v>0</v>
      </c>
      <c r="K71" s="54">
        <f t="shared" si="91"/>
        <v>0</v>
      </c>
      <c r="L71" s="2">
        <f t="shared" si="91"/>
        <v>0</v>
      </c>
      <c r="M71" s="2">
        <f t="shared" si="91"/>
        <v>0</v>
      </c>
      <c r="N71" s="2">
        <f t="shared" si="91"/>
        <v>0</v>
      </c>
      <c r="O71" s="2">
        <f t="shared" si="91"/>
        <v>0</v>
      </c>
      <c r="P71" s="2">
        <f t="shared" si="91"/>
        <v>0</v>
      </c>
      <c r="Q71" s="2">
        <f t="shared" si="91"/>
        <v>0</v>
      </c>
      <c r="R71" s="2">
        <f t="shared" si="91"/>
        <v>0</v>
      </c>
      <c r="S71" s="2">
        <f t="shared" si="91"/>
        <v>0</v>
      </c>
      <c r="T71" s="2">
        <f t="shared" si="91"/>
        <v>0</v>
      </c>
      <c r="U71" s="2">
        <f t="shared" ref="U71:AI71" si="92">U54*15/(U$56)</f>
        <v>0</v>
      </c>
      <c r="V71" s="2">
        <f t="shared" si="92"/>
        <v>0</v>
      </c>
      <c r="W71" s="2">
        <f t="shared" si="92"/>
        <v>0</v>
      </c>
      <c r="X71" s="2">
        <f t="shared" si="92"/>
        <v>0</v>
      </c>
      <c r="Y71" s="2">
        <f t="shared" si="92"/>
        <v>0</v>
      </c>
      <c r="Z71" s="2">
        <f t="shared" si="92"/>
        <v>0</v>
      </c>
      <c r="AA71" s="2">
        <f t="shared" si="92"/>
        <v>0</v>
      </c>
      <c r="AB71" s="2">
        <f t="shared" si="92"/>
        <v>0</v>
      </c>
      <c r="AC71" s="2">
        <f t="shared" si="92"/>
        <v>0</v>
      </c>
      <c r="AD71" s="2">
        <f t="shared" si="92"/>
        <v>0</v>
      </c>
      <c r="AE71" s="2">
        <f t="shared" si="92"/>
        <v>0</v>
      </c>
      <c r="AF71" s="2">
        <f t="shared" si="92"/>
        <v>0</v>
      </c>
      <c r="AG71" s="2">
        <f t="shared" si="92"/>
        <v>0</v>
      </c>
      <c r="AH71" s="2">
        <f t="shared" si="92"/>
        <v>0</v>
      </c>
      <c r="AI71" s="2">
        <f t="shared" si="92"/>
        <v>0</v>
      </c>
      <c r="AJ71" s="2">
        <f t="shared" ref="AJ71:BJ71" si="93">AJ54*15/(AJ$56)</f>
        <v>0</v>
      </c>
      <c r="AK71" s="2">
        <f t="shared" si="93"/>
        <v>0</v>
      </c>
      <c r="AL71" s="2">
        <f t="shared" si="93"/>
        <v>0</v>
      </c>
      <c r="AM71" s="2">
        <f t="shared" si="93"/>
        <v>0</v>
      </c>
      <c r="AN71" s="2">
        <f t="shared" si="93"/>
        <v>0</v>
      </c>
      <c r="AO71" s="2">
        <f t="shared" si="93"/>
        <v>0</v>
      </c>
      <c r="AP71" s="2">
        <f t="shared" si="93"/>
        <v>0</v>
      </c>
      <c r="AQ71" s="2">
        <f t="shared" si="93"/>
        <v>0</v>
      </c>
      <c r="AR71" s="2">
        <f t="shared" si="93"/>
        <v>0</v>
      </c>
      <c r="AS71" s="2">
        <f t="shared" si="93"/>
        <v>0</v>
      </c>
      <c r="AT71" s="2">
        <f t="shared" si="93"/>
        <v>0</v>
      </c>
      <c r="AU71" s="2">
        <f t="shared" si="93"/>
        <v>0</v>
      </c>
      <c r="AV71" s="2">
        <f t="shared" si="93"/>
        <v>0</v>
      </c>
      <c r="AW71" s="2">
        <f t="shared" si="93"/>
        <v>0</v>
      </c>
      <c r="AX71" s="2">
        <f t="shared" si="93"/>
        <v>0</v>
      </c>
      <c r="AY71" s="2">
        <f t="shared" si="93"/>
        <v>0</v>
      </c>
      <c r="AZ71" s="2">
        <f t="shared" si="93"/>
        <v>0</v>
      </c>
      <c r="BA71" s="2">
        <f t="shared" si="93"/>
        <v>0</v>
      </c>
      <c r="BB71" s="2">
        <f t="shared" si="93"/>
        <v>0</v>
      </c>
      <c r="BC71" s="2">
        <f t="shared" si="93"/>
        <v>0</v>
      </c>
      <c r="BD71" s="2">
        <f t="shared" si="93"/>
        <v>0</v>
      </c>
      <c r="BE71" s="2">
        <f t="shared" si="93"/>
        <v>0</v>
      </c>
      <c r="BF71" s="2">
        <f t="shared" si="93"/>
        <v>0</v>
      </c>
      <c r="BG71" s="2">
        <f t="shared" si="93"/>
        <v>0</v>
      </c>
      <c r="BH71" s="2">
        <f t="shared" si="93"/>
        <v>0</v>
      </c>
      <c r="BI71" s="2">
        <f t="shared" si="93"/>
        <v>0</v>
      </c>
      <c r="BJ71" s="2">
        <f t="shared" si="93"/>
        <v>0</v>
      </c>
      <c r="BN71" s="2">
        <f t="shared" si="56"/>
        <v>0</v>
      </c>
      <c r="BU71" s="2"/>
      <c r="BV71" s="2"/>
      <c r="BW71" s="2"/>
      <c r="BX71" s="2"/>
      <c r="BY71" s="2"/>
      <c r="BZ71" s="2"/>
      <c r="CA71" s="2"/>
    </row>
    <row r="72" spans="1:79">
      <c r="A72" s="1" t="s">
        <v>87</v>
      </c>
      <c r="B72" s="54">
        <f t="shared" si="57"/>
        <v>0</v>
      </c>
      <c r="C72" s="2">
        <f t="shared" ref="C72:T72" si="94">C55*15/(C$56)</f>
        <v>0</v>
      </c>
      <c r="D72" s="2">
        <f t="shared" si="94"/>
        <v>0</v>
      </c>
      <c r="E72" s="2">
        <f t="shared" si="94"/>
        <v>0</v>
      </c>
      <c r="F72" s="2">
        <f t="shared" si="94"/>
        <v>0</v>
      </c>
      <c r="G72" s="2">
        <f t="shared" si="94"/>
        <v>0</v>
      </c>
      <c r="H72" s="2">
        <f t="shared" si="94"/>
        <v>0</v>
      </c>
      <c r="I72" s="2">
        <f t="shared" si="94"/>
        <v>0</v>
      </c>
      <c r="J72" s="2">
        <f t="shared" si="94"/>
        <v>0</v>
      </c>
      <c r="K72" s="54">
        <f t="shared" si="94"/>
        <v>0</v>
      </c>
      <c r="L72" s="2">
        <f t="shared" si="94"/>
        <v>0</v>
      </c>
      <c r="M72" s="2">
        <f t="shared" si="94"/>
        <v>0</v>
      </c>
      <c r="N72" s="2">
        <f t="shared" si="94"/>
        <v>0</v>
      </c>
      <c r="O72" s="2">
        <f t="shared" si="94"/>
        <v>0</v>
      </c>
      <c r="P72" s="2">
        <f t="shared" si="94"/>
        <v>0</v>
      </c>
      <c r="Q72" s="2">
        <f t="shared" si="94"/>
        <v>0</v>
      </c>
      <c r="R72" s="2">
        <f t="shared" si="94"/>
        <v>0</v>
      </c>
      <c r="S72" s="2">
        <f t="shared" si="94"/>
        <v>0</v>
      </c>
      <c r="T72" s="2">
        <f t="shared" si="94"/>
        <v>0</v>
      </c>
      <c r="U72" s="2">
        <f t="shared" ref="U72:AI72" si="95">U55*15/(U$56)</f>
        <v>0</v>
      </c>
      <c r="V72" s="2">
        <f t="shared" si="95"/>
        <v>0</v>
      </c>
      <c r="W72" s="2">
        <f t="shared" si="95"/>
        <v>0</v>
      </c>
      <c r="X72" s="2">
        <f t="shared" si="95"/>
        <v>0</v>
      </c>
      <c r="Y72" s="2">
        <f t="shared" si="95"/>
        <v>0</v>
      </c>
      <c r="Z72" s="2">
        <f t="shared" si="95"/>
        <v>0</v>
      </c>
      <c r="AA72" s="2">
        <f t="shared" si="95"/>
        <v>0</v>
      </c>
      <c r="AB72" s="2">
        <f t="shared" si="95"/>
        <v>0</v>
      </c>
      <c r="AC72" s="2">
        <f t="shared" si="95"/>
        <v>0</v>
      </c>
      <c r="AD72" s="2">
        <f t="shared" si="95"/>
        <v>0</v>
      </c>
      <c r="AE72" s="2">
        <f t="shared" si="95"/>
        <v>0</v>
      </c>
      <c r="AF72" s="2">
        <f t="shared" si="95"/>
        <v>0</v>
      </c>
      <c r="AG72" s="2">
        <f t="shared" si="95"/>
        <v>0</v>
      </c>
      <c r="AH72" s="2">
        <f t="shared" si="95"/>
        <v>0</v>
      </c>
      <c r="AI72" s="2">
        <f t="shared" si="95"/>
        <v>0</v>
      </c>
      <c r="AJ72" s="2">
        <f t="shared" ref="AJ72:BJ72" si="96">AJ55*15/(AJ$56)</f>
        <v>0</v>
      </c>
      <c r="AK72" s="2">
        <f t="shared" si="96"/>
        <v>0</v>
      </c>
      <c r="AL72" s="2">
        <f t="shared" si="96"/>
        <v>0</v>
      </c>
      <c r="AM72" s="2">
        <f t="shared" si="96"/>
        <v>0</v>
      </c>
      <c r="AN72" s="2">
        <f t="shared" si="96"/>
        <v>0</v>
      </c>
      <c r="AO72" s="2">
        <f t="shared" si="96"/>
        <v>0</v>
      </c>
      <c r="AP72" s="2">
        <f t="shared" si="96"/>
        <v>0</v>
      </c>
      <c r="AQ72" s="2">
        <f t="shared" si="96"/>
        <v>0</v>
      </c>
      <c r="AR72" s="2">
        <f t="shared" si="96"/>
        <v>0</v>
      </c>
      <c r="AS72" s="2">
        <f t="shared" si="96"/>
        <v>0</v>
      </c>
      <c r="AT72" s="2">
        <f t="shared" si="96"/>
        <v>0</v>
      </c>
      <c r="AU72" s="2">
        <f t="shared" si="96"/>
        <v>0</v>
      </c>
      <c r="AV72" s="2">
        <f t="shared" si="96"/>
        <v>0</v>
      </c>
      <c r="AW72" s="2">
        <f t="shared" si="96"/>
        <v>0</v>
      </c>
      <c r="AX72" s="2">
        <f t="shared" si="96"/>
        <v>0</v>
      </c>
      <c r="AY72" s="2">
        <f t="shared" si="96"/>
        <v>0</v>
      </c>
      <c r="AZ72" s="2">
        <f t="shared" si="96"/>
        <v>0</v>
      </c>
      <c r="BA72" s="2">
        <f t="shared" si="96"/>
        <v>0</v>
      </c>
      <c r="BB72" s="2">
        <f t="shared" si="96"/>
        <v>0</v>
      </c>
      <c r="BC72" s="2">
        <f t="shared" si="96"/>
        <v>0</v>
      </c>
      <c r="BD72" s="2">
        <f t="shared" si="96"/>
        <v>0</v>
      </c>
      <c r="BE72" s="2">
        <f t="shared" si="96"/>
        <v>0</v>
      </c>
      <c r="BF72" s="2">
        <f t="shared" si="96"/>
        <v>0</v>
      </c>
      <c r="BG72" s="2">
        <f t="shared" si="96"/>
        <v>0</v>
      </c>
      <c r="BH72" s="2">
        <f t="shared" si="96"/>
        <v>0</v>
      </c>
      <c r="BI72" s="2">
        <f t="shared" si="96"/>
        <v>0</v>
      </c>
      <c r="BJ72" s="2">
        <f t="shared" si="96"/>
        <v>0</v>
      </c>
      <c r="BN72" s="2">
        <f t="shared" si="56"/>
        <v>0</v>
      </c>
      <c r="BU72" s="2"/>
      <c r="BV72" s="2"/>
      <c r="BW72" s="2"/>
      <c r="BX72" s="2"/>
      <c r="BY72" s="2"/>
      <c r="BZ72" s="2"/>
      <c r="CA72" s="2"/>
    </row>
    <row r="73" spans="1:79">
      <c r="A73" s="1" t="s">
        <v>115</v>
      </c>
      <c r="B73" s="54">
        <f t="shared" ref="B73:T73" si="97">SUM(B59:B69)</f>
        <v>15.438444923675785</v>
      </c>
      <c r="C73" s="2">
        <f t="shared" si="97"/>
        <v>15.427547895316527</v>
      </c>
      <c r="D73" s="2">
        <f t="shared" si="97"/>
        <v>15.483149538214567</v>
      </c>
      <c r="E73" s="2">
        <f t="shared" si="97"/>
        <v>15.45231371000197</v>
      </c>
      <c r="F73" s="2">
        <f t="shared" si="97"/>
        <v>15.46368010861408</v>
      </c>
      <c r="G73" s="2">
        <f t="shared" si="97"/>
        <v>15.471702421993797</v>
      </c>
      <c r="H73" s="2">
        <f t="shared" si="97"/>
        <v>15.432942361124404</v>
      </c>
      <c r="I73" s="2">
        <f t="shared" si="97"/>
        <v>15.445457486267804</v>
      </c>
      <c r="J73" s="2">
        <f t="shared" si="97"/>
        <v>15.43369012870288</v>
      </c>
      <c r="K73" s="54">
        <f t="shared" si="97"/>
        <v>15.444375839584328</v>
      </c>
      <c r="L73" s="2">
        <f t="shared" si="97"/>
        <v>15.461898515406466</v>
      </c>
      <c r="M73" s="2">
        <f t="shared" si="97"/>
        <v>15.458812756715565</v>
      </c>
      <c r="N73" s="2">
        <f t="shared" si="97"/>
        <v>15.517523695813184</v>
      </c>
      <c r="O73" s="2">
        <f t="shared" si="97"/>
        <v>15.478931796709192</v>
      </c>
      <c r="P73" s="2">
        <f t="shared" si="97"/>
        <v>15.541942709345111</v>
      </c>
      <c r="Q73" s="2">
        <f t="shared" si="97"/>
        <v>15.256139621042889</v>
      </c>
      <c r="R73" s="2">
        <f t="shared" si="97"/>
        <v>15.675928496232519</v>
      </c>
      <c r="S73" s="2">
        <f t="shared" si="97"/>
        <v>15.651660935914167</v>
      </c>
      <c r="T73" s="2">
        <f t="shared" si="97"/>
        <v>15.644648305455624</v>
      </c>
      <c r="U73" s="2">
        <f t="shared" ref="U73:AI73" si="98">SUM(U59:U69)</f>
        <v>15.676149938508244</v>
      </c>
      <c r="V73" s="2">
        <f t="shared" si="98"/>
        <v>15.696451883614486</v>
      </c>
      <c r="W73" s="2">
        <f t="shared" si="98"/>
        <v>15.497482486150618</v>
      </c>
      <c r="X73" s="2">
        <f t="shared" si="98"/>
        <v>15.587256280126772</v>
      </c>
      <c r="Y73" s="2">
        <f t="shared" si="98"/>
        <v>15.435790034440334</v>
      </c>
      <c r="Z73" s="2">
        <f t="shared" si="98"/>
        <v>15.495475888086661</v>
      </c>
      <c r="AA73" s="2">
        <f t="shared" si="98"/>
        <v>15.341419288186286</v>
      </c>
      <c r="AB73" s="2">
        <f t="shared" si="98"/>
        <v>15.612060698633011</v>
      </c>
      <c r="AC73" s="2">
        <f t="shared" si="98"/>
        <v>15.737182725516856</v>
      </c>
      <c r="AD73" s="2">
        <f t="shared" si="98"/>
        <v>15.750306694679335</v>
      </c>
      <c r="AE73" s="2">
        <f t="shared" si="98"/>
        <v>15.771661862123151</v>
      </c>
      <c r="AF73" s="2">
        <f t="shared" si="98"/>
        <v>15.78269873992026</v>
      </c>
      <c r="AG73" s="2">
        <f t="shared" si="98"/>
        <v>15.788550918242596</v>
      </c>
      <c r="AH73" s="2">
        <f t="shared" si="98"/>
        <v>15.761095165396636</v>
      </c>
      <c r="AI73" s="2">
        <f t="shared" si="98"/>
        <v>15.776252978340345</v>
      </c>
      <c r="AJ73" s="2">
        <f t="shared" ref="AJ73:BJ73" si="99">SUM(AJ59:AJ69)</f>
        <v>15.761575978126803</v>
      </c>
      <c r="AK73" s="2">
        <f t="shared" si="99"/>
        <v>15.794138744045702</v>
      </c>
      <c r="AL73" s="2">
        <f t="shared" si="99"/>
        <v>15.816830602712956</v>
      </c>
      <c r="AM73" s="2">
        <f t="shared" si="99"/>
        <v>15.785155183954039</v>
      </c>
      <c r="AN73" s="2">
        <f t="shared" si="99"/>
        <v>15.7952046257064</v>
      </c>
      <c r="AO73" s="2">
        <f t="shared" si="99"/>
        <v>15.802601810790371</v>
      </c>
      <c r="AP73" s="2">
        <f t="shared" si="99"/>
        <v>15.436218730197615</v>
      </c>
      <c r="AQ73" s="2">
        <f t="shared" si="99"/>
        <v>15.413214489718873</v>
      </c>
      <c r="AR73" s="2">
        <f t="shared" si="99"/>
        <v>15.449010560869763</v>
      </c>
      <c r="AS73" s="2">
        <f t="shared" si="99"/>
        <v>15.465096738366077</v>
      </c>
      <c r="AT73" s="2">
        <f t="shared" si="99"/>
        <v>15.472882123543318</v>
      </c>
      <c r="AU73" s="2">
        <f t="shared" si="99"/>
        <v>15.368477041587463</v>
      </c>
      <c r="AV73" s="2">
        <f t="shared" si="99"/>
        <v>15.478052518904683</v>
      </c>
      <c r="AW73" s="2">
        <f t="shared" si="99"/>
        <v>15.484317003624977</v>
      </c>
      <c r="AX73" s="2">
        <f t="shared" si="99"/>
        <v>15.310026378412873</v>
      </c>
      <c r="AY73" s="2">
        <f t="shared" si="99"/>
        <v>15.483483087443149</v>
      </c>
      <c r="AZ73" s="2">
        <f t="shared" si="99"/>
        <v>15.452314318551787</v>
      </c>
      <c r="BA73" s="2">
        <f t="shared" si="99"/>
        <v>15.578824889115124</v>
      </c>
      <c r="BB73" s="2">
        <f t="shared" si="99"/>
        <v>15.583798702156397</v>
      </c>
      <c r="BC73" s="2">
        <f t="shared" si="99"/>
        <v>15.569478442022248</v>
      </c>
      <c r="BD73" s="2">
        <f t="shared" si="99"/>
        <v>15.580499037091636</v>
      </c>
      <c r="BE73" s="2">
        <f t="shared" si="99"/>
        <v>15.583035948641323</v>
      </c>
      <c r="BF73" s="2">
        <f t="shared" si="99"/>
        <v>15.720867967169941</v>
      </c>
      <c r="BG73" s="2">
        <f t="shared" si="99"/>
        <v>15.745621014432963</v>
      </c>
      <c r="BH73" s="2">
        <f t="shared" si="99"/>
        <v>15.677485748973202</v>
      </c>
      <c r="BI73" s="2">
        <f t="shared" si="99"/>
        <v>15.669025287817913</v>
      </c>
      <c r="BJ73" s="2">
        <f t="shared" si="99"/>
        <v>15.667856998464339</v>
      </c>
      <c r="BN73" s="2">
        <f>SUM(BN59:BN69)</f>
        <v>15.451921031397418</v>
      </c>
      <c r="BU73" s="2"/>
      <c r="BV73" s="2"/>
      <c r="BW73" s="2"/>
      <c r="BX73" s="2"/>
      <c r="BY73" s="2"/>
      <c r="BZ73" s="2"/>
      <c r="CA73" s="2"/>
    </row>
    <row r="74" spans="1:79">
      <c r="BU74" s="2"/>
      <c r="BV74" s="2"/>
      <c r="BW74" s="2"/>
      <c r="BX74" s="2"/>
      <c r="BY74" s="2"/>
      <c r="BZ74" s="2"/>
      <c r="CA74" s="2"/>
    </row>
    <row r="75" spans="1:79">
      <c r="A75" s="1" t="s">
        <v>127</v>
      </c>
      <c r="BU75" s="2"/>
      <c r="BV75" s="2"/>
      <c r="BW75" s="2"/>
      <c r="BX75" s="2"/>
      <c r="BY75" s="2"/>
      <c r="BZ75" s="2"/>
      <c r="CA75" s="2"/>
    </row>
    <row r="76" spans="1:79">
      <c r="A76" s="1" t="s">
        <v>116</v>
      </c>
      <c r="B76" s="54">
        <f t="shared" ref="B76:B86" si="100">B59*$D4</f>
        <v>27.860941426372179</v>
      </c>
      <c r="C76" s="2">
        <f t="shared" ref="C76:T76" si="101">C59*$D4</f>
        <v>26.734860897199638</v>
      </c>
      <c r="D76" s="2">
        <f t="shared" si="101"/>
        <v>26.569470548649154</v>
      </c>
      <c r="E76" s="2">
        <f t="shared" si="101"/>
        <v>26.434101578930246</v>
      </c>
      <c r="F76" s="2">
        <f t="shared" si="101"/>
        <v>26.649385032009263</v>
      </c>
      <c r="G76" s="2">
        <f t="shared" si="101"/>
        <v>26.231439191325236</v>
      </c>
      <c r="H76" s="2">
        <f t="shared" si="101"/>
        <v>26.629921796248418</v>
      </c>
      <c r="I76" s="2">
        <f t="shared" si="101"/>
        <v>26.684633293663627</v>
      </c>
      <c r="J76" s="2">
        <f t="shared" si="101"/>
        <v>27.135548098876367</v>
      </c>
      <c r="K76" s="54">
        <f t="shared" si="101"/>
        <v>27.606795396964809</v>
      </c>
      <c r="L76" s="2">
        <f t="shared" si="101"/>
        <v>26.808983670823313</v>
      </c>
      <c r="M76" s="2">
        <f t="shared" si="101"/>
        <v>26.552518706130563</v>
      </c>
      <c r="N76" s="2">
        <f t="shared" si="101"/>
        <v>27.205686151400865</v>
      </c>
      <c r="O76" s="2">
        <f t="shared" si="101"/>
        <v>26.149116986492025</v>
      </c>
      <c r="P76" s="2">
        <f t="shared" si="101"/>
        <v>26.868110709338698</v>
      </c>
      <c r="Q76" s="2">
        <f t="shared" si="101"/>
        <v>29.636295379743039</v>
      </c>
      <c r="R76" s="2">
        <f t="shared" si="101"/>
        <v>25.779491822600484</v>
      </c>
      <c r="S76" s="2">
        <f t="shared" si="101"/>
        <v>25.732020341058018</v>
      </c>
      <c r="T76" s="2">
        <f t="shared" si="101"/>
        <v>25.546994483873991</v>
      </c>
      <c r="U76" s="2">
        <f t="shared" ref="U76:AI76" si="102">U59*$D4</f>
        <v>25.46787012598173</v>
      </c>
      <c r="V76" s="2">
        <f t="shared" si="102"/>
        <v>25.454465712264955</v>
      </c>
      <c r="W76" s="2">
        <f t="shared" si="102"/>
        <v>27.493668776846697</v>
      </c>
      <c r="X76" s="2">
        <f t="shared" si="102"/>
        <v>26.554434398871919</v>
      </c>
      <c r="Y76" s="2">
        <f t="shared" si="102"/>
        <v>24.746336910262645</v>
      </c>
      <c r="Z76" s="2">
        <f t="shared" si="102"/>
        <v>26.494383644493041</v>
      </c>
      <c r="AA76" s="2">
        <f t="shared" si="102"/>
        <v>27.670183438378203</v>
      </c>
      <c r="AB76" s="2">
        <f t="shared" si="102"/>
        <v>26.054381970149024</v>
      </c>
      <c r="AC76" s="2">
        <f t="shared" si="102"/>
        <v>25.78198057794318</v>
      </c>
      <c r="AD76" s="2">
        <f t="shared" si="102"/>
        <v>25.469638614446453</v>
      </c>
      <c r="AE76" s="2">
        <f t="shared" si="102"/>
        <v>25.323635447951812</v>
      </c>
      <c r="AF76" s="2">
        <f t="shared" si="102"/>
        <v>25.670365476246232</v>
      </c>
      <c r="AG76" s="2">
        <f t="shared" si="102"/>
        <v>25.232162368518289</v>
      </c>
      <c r="AH76" s="2">
        <f t="shared" si="102"/>
        <v>25.524217394071226</v>
      </c>
      <c r="AI76" s="2">
        <f t="shared" si="102"/>
        <v>25.365386550679442</v>
      </c>
      <c r="AJ76" s="2">
        <f t="shared" ref="AJ76:BJ76" si="103">AJ59*$D4</f>
        <v>25.765188104570857</v>
      </c>
      <c r="AK76" s="2">
        <f t="shared" si="103"/>
        <v>26.302293558777031</v>
      </c>
      <c r="AL76" s="2">
        <f t="shared" si="103"/>
        <v>26.184404553733604</v>
      </c>
      <c r="AM76" s="2">
        <f t="shared" si="103"/>
        <v>26.366739087912769</v>
      </c>
      <c r="AN76" s="2">
        <f t="shared" si="103"/>
        <v>26.525087918581892</v>
      </c>
      <c r="AO76" s="2">
        <f t="shared" si="103"/>
        <v>26.521636268681789</v>
      </c>
      <c r="AP76" s="2">
        <f t="shared" si="103"/>
        <v>26.654973483919012</v>
      </c>
      <c r="AQ76" s="2">
        <f t="shared" si="103"/>
        <v>26.784056211819806</v>
      </c>
      <c r="AR76" s="2">
        <f t="shared" si="103"/>
        <v>26.600799519892941</v>
      </c>
      <c r="AS76" s="2">
        <f t="shared" si="103"/>
        <v>26.474278866261457</v>
      </c>
      <c r="AT76" s="2">
        <f t="shared" si="103"/>
        <v>26.671663792100141</v>
      </c>
      <c r="AU76" s="2">
        <f t="shared" si="103"/>
        <v>27.496435418862085</v>
      </c>
      <c r="AV76" s="2">
        <f t="shared" si="103"/>
        <v>26.561261266097237</v>
      </c>
      <c r="AW76" s="2">
        <f t="shared" si="103"/>
        <v>26.122800198889014</v>
      </c>
      <c r="AX76" s="2">
        <f t="shared" si="103"/>
        <v>26.460320346068006</v>
      </c>
      <c r="AY76" s="2">
        <f t="shared" si="103"/>
        <v>26.605912742896479</v>
      </c>
      <c r="AZ76" s="2">
        <f t="shared" si="103"/>
        <v>26.653485743957511</v>
      </c>
      <c r="BA76" s="2">
        <f t="shared" si="103"/>
        <v>25.868338183319334</v>
      </c>
      <c r="BB76" s="2">
        <f t="shared" si="103"/>
        <v>25.85047183229057</v>
      </c>
      <c r="BC76" s="2">
        <f t="shared" si="103"/>
        <v>25.668845388811505</v>
      </c>
      <c r="BD76" s="2">
        <f t="shared" si="103"/>
        <v>25.718521286182806</v>
      </c>
      <c r="BE76" s="2">
        <f t="shared" si="103"/>
        <v>25.51081557276196</v>
      </c>
      <c r="BF76" s="2">
        <f t="shared" si="103"/>
        <v>25.458168961271529</v>
      </c>
      <c r="BG76" s="2">
        <f t="shared" si="103"/>
        <v>25.268126972590057</v>
      </c>
      <c r="BH76" s="2">
        <f t="shared" si="103"/>
        <v>25.873398559469116</v>
      </c>
      <c r="BI76" s="2">
        <f t="shared" si="103"/>
        <v>25.428136630111414</v>
      </c>
      <c r="BJ76" s="2">
        <f t="shared" si="103"/>
        <v>25.510855228104596</v>
      </c>
      <c r="BN76" s="2">
        <f t="shared" ref="BN76:BN86" si="104">BN59*$D4</f>
        <v>26.723028971610127</v>
      </c>
      <c r="BU76" s="2"/>
      <c r="BV76" s="2"/>
      <c r="BW76" s="2"/>
      <c r="BX76" s="2"/>
      <c r="BY76" s="2"/>
      <c r="BZ76" s="2"/>
      <c r="CA76" s="2"/>
    </row>
    <row r="77" spans="1:79">
      <c r="A77" s="1" t="s">
        <v>117</v>
      </c>
      <c r="B77" s="54">
        <f t="shared" si="100"/>
        <v>0.19849034990832473</v>
      </c>
      <c r="C77" s="2">
        <f t="shared" ref="C77:T77" si="105">C60*$D5</f>
        <v>0.24450807413708339</v>
      </c>
      <c r="D77" s="2">
        <f t="shared" si="105"/>
        <v>0.25317536778154198</v>
      </c>
      <c r="E77" s="2">
        <f t="shared" si="105"/>
        <v>0.17606118507668719</v>
      </c>
      <c r="F77" s="2">
        <f t="shared" si="105"/>
        <v>0.27639636661742978</v>
      </c>
      <c r="G77" s="2">
        <f t="shared" si="105"/>
        <v>0.25865228399522572</v>
      </c>
      <c r="H77" s="2">
        <f t="shared" si="105"/>
        <v>0.26722555243408208</v>
      </c>
      <c r="I77" s="2">
        <f t="shared" si="105"/>
        <v>0.27001537843681711</v>
      </c>
      <c r="J77" s="2">
        <f t="shared" si="105"/>
        <v>0.21758668073733109</v>
      </c>
      <c r="K77" s="54">
        <f t="shared" si="105"/>
        <v>0.20669397441468168</v>
      </c>
      <c r="L77" s="2">
        <f t="shared" si="105"/>
        <v>0.26507225730767409</v>
      </c>
      <c r="M77" s="2">
        <f t="shared" si="105"/>
        <v>0.28120984397121823</v>
      </c>
      <c r="N77" s="2">
        <f t="shared" si="105"/>
        <v>0.28188836852741977</v>
      </c>
      <c r="O77" s="2">
        <f t="shared" si="105"/>
        <v>0.35056254569884332</v>
      </c>
      <c r="P77" s="2">
        <f t="shared" si="105"/>
        <v>0.61920337929161573</v>
      </c>
      <c r="Q77" s="2">
        <f t="shared" si="105"/>
        <v>3.4894834562286071E-2</v>
      </c>
      <c r="R77" s="2">
        <f t="shared" si="105"/>
        <v>0.73635389202244894</v>
      </c>
      <c r="S77" s="2">
        <f t="shared" si="105"/>
        <v>0.71729550417980426</v>
      </c>
      <c r="T77" s="2">
        <f t="shared" si="105"/>
        <v>0.7168174168249879</v>
      </c>
      <c r="U77" s="2">
        <f t="shared" ref="U77:AI77" si="106">U60*$D5</f>
        <v>0.70556163400468863</v>
      </c>
      <c r="V77" s="2">
        <f t="shared" si="106"/>
        <v>0.67532420705534668</v>
      </c>
      <c r="W77" s="2">
        <f t="shared" si="106"/>
        <v>0.38578593084824941</v>
      </c>
      <c r="X77" s="2">
        <f t="shared" si="106"/>
        <v>0.38789048770541701</v>
      </c>
      <c r="Y77" s="2">
        <f t="shared" si="106"/>
        <v>0.56235975652756254</v>
      </c>
      <c r="Z77" s="2">
        <f t="shared" si="106"/>
        <v>0.28255237402716904</v>
      </c>
      <c r="AA77" s="2">
        <f t="shared" si="106"/>
        <v>0.40735923396998469</v>
      </c>
      <c r="AB77" s="2">
        <f t="shared" si="106"/>
        <v>0.99129386152079046</v>
      </c>
      <c r="AC77" s="2">
        <f t="shared" si="106"/>
        <v>1.10423797286359</v>
      </c>
      <c r="AD77" s="2">
        <f t="shared" si="106"/>
        <v>1.1273564151080508</v>
      </c>
      <c r="AE77" s="2">
        <f t="shared" si="106"/>
        <v>1.133550280442833</v>
      </c>
      <c r="AF77" s="2">
        <f t="shared" si="106"/>
        <v>1.1206788602253581</v>
      </c>
      <c r="AG77" s="2">
        <f t="shared" si="106"/>
        <v>1.177700609569645</v>
      </c>
      <c r="AH77" s="2">
        <f t="shared" si="106"/>
        <v>1.0352896906125075</v>
      </c>
      <c r="AI77" s="2">
        <f t="shared" si="106"/>
        <v>1.1870004552032558</v>
      </c>
      <c r="AJ77" s="2">
        <f t="shared" ref="AJ77:BJ77" si="107">AJ60*$D5</f>
        <v>1.056675334323143</v>
      </c>
      <c r="AK77" s="2">
        <f t="shared" si="107"/>
        <v>0.34674096938645965</v>
      </c>
      <c r="AL77" s="2">
        <f t="shared" si="107"/>
        <v>0.40726704836730909</v>
      </c>
      <c r="AM77" s="2">
        <f t="shared" si="107"/>
        <v>0.34932096163614362</v>
      </c>
      <c r="AN77" s="2">
        <f t="shared" si="107"/>
        <v>0.32497389193689674</v>
      </c>
      <c r="AO77" s="2">
        <f t="shared" si="107"/>
        <v>0.35137312409584526</v>
      </c>
      <c r="AP77" s="2">
        <f t="shared" si="107"/>
        <v>0.39370866383132819</v>
      </c>
      <c r="AQ77" s="2">
        <f t="shared" si="107"/>
        <v>0.42937614801991797</v>
      </c>
      <c r="AR77" s="2">
        <f t="shared" si="107"/>
        <v>0.39841418764643782</v>
      </c>
      <c r="AS77" s="2">
        <f t="shared" si="107"/>
        <v>0.43876062814727185</v>
      </c>
      <c r="AT77" s="2">
        <f t="shared" si="107"/>
        <v>0.42476895122128572</v>
      </c>
      <c r="AU77" s="2">
        <f t="shared" si="107"/>
        <v>0.27109704000059631</v>
      </c>
      <c r="AV77" s="2">
        <f t="shared" si="107"/>
        <v>0.4771580532863115</v>
      </c>
      <c r="AW77" s="2">
        <f t="shared" si="107"/>
        <v>0.36612817185257246</v>
      </c>
      <c r="AX77" s="2">
        <f t="shared" si="107"/>
        <v>0.34946600839960917</v>
      </c>
      <c r="AY77" s="2">
        <f t="shared" si="107"/>
        <v>0.47492102148255644</v>
      </c>
      <c r="AZ77" s="2">
        <f t="shared" si="107"/>
        <v>0.41603056099490615</v>
      </c>
      <c r="BA77" s="2">
        <f t="shared" si="107"/>
        <v>0.67027382154965898</v>
      </c>
      <c r="BB77" s="2">
        <f t="shared" si="107"/>
        <v>0.68053287250230943</v>
      </c>
      <c r="BC77" s="2">
        <f t="shared" si="107"/>
        <v>0.65706994635200189</v>
      </c>
      <c r="BD77" s="2">
        <f t="shared" si="107"/>
        <v>0.62266730030770223</v>
      </c>
      <c r="BE77" s="2">
        <f t="shared" si="107"/>
        <v>0.69885233918448963</v>
      </c>
      <c r="BF77" s="2">
        <f t="shared" si="107"/>
        <v>0.8344978408554441</v>
      </c>
      <c r="BG77" s="2">
        <f t="shared" si="107"/>
        <v>0.86112971986908748</v>
      </c>
      <c r="BH77" s="2">
        <f t="shared" si="107"/>
        <v>0.71667594910139909</v>
      </c>
      <c r="BI77" s="2">
        <f t="shared" si="107"/>
        <v>0.91225189574300569</v>
      </c>
      <c r="BJ77" s="2">
        <f t="shared" si="107"/>
        <v>0.889868562772684</v>
      </c>
      <c r="BN77" s="2">
        <f t="shared" si="104"/>
        <v>0.24326742393527906</v>
      </c>
      <c r="BU77" s="2"/>
      <c r="BV77" s="2"/>
      <c r="BW77" s="2"/>
      <c r="BX77" s="2"/>
      <c r="BY77" s="2"/>
      <c r="BZ77" s="2"/>
      <c r="CA77" s="2"/>
    </row>
    <row r="78" spans="1:79">
      <c r="A78" s="1" t="s">
        <v>118</v>
      </c>
      <c r="B78" s="54">
        <f t="shared" si="100"/>
        <v>1.7785966199414041E-2</v>
      </c>
      <c r="C78" s="2">
        <f t="shared" ref="C78:T78" si="108">C61*$D6</f>
        <v>1.4022041374910704E-2</v>
      </c>
      <c r="D78" s="2">
        <f t="shared" si="108"/>
        <v>1.0507238398161291E-2</v>
      </c>
      <c r="E78" s="2">
        <f t="shared" si="108"/>
        <v>1.7798760349598222E-2</v>
      </c>
      <c r="F78" s="2">
        <f t="shared" si="108"/>
        <v>1.0545875316699652E-2</v>
      </c>
      <c r="G78" s="2">
        <f t="shared" si="108"/>
        <v>7.0329747355914844E-3</v>
      </c>
      <c r="H78" s="2">
        <f t="shared" si="108"/>
        <v>2.4583601684506913E-2</v>
      </c>
      <c r="I78" s="2">
        <f t="shared" si="108"/>
        <v>1.7452168861672546E-2</v>
      </c>
      <c r="J78" s="2">
        <f t="shared" si="108"/>
        <v>2.1009137088777444E-2</v>
      </c>
      <c r="K78" s="54">
        <f t="shared" si="108"/>
        <v>3.7042123652459708E-3</v>
      </c>
      <c r="L78" s="2">
        <f t="shared" si="108"/>
        <v>1.7418219851862059E-2</v>
      </c>
      <c r="M78" s="2">
        <f t="shared" si="108"/>
        <v>1.4078964010791846E-2</v>
      </c>
      <c r="N78" s="2">
        <f t="shared" si="108"/>
        <v>2.1169402213198657E-2</v>
      </c>
      <c r="O78" s="2">
        <f t="shared" si="108"/>
        <v>1.3996490427820488E-2</v>
      </c>
      <c r="P78" s="2">
        <f t="shared" si="108"/>
        <v>3.207568926583039E-2</v>
      </c>
      <c r="Q78" s="2">
        <f t="shared" si="108"/>
        <v>6.8789458346985239E-3</v>
      </c>
      <c r="R78" s="2">
        <f t="shared" si="108"/>
        <v>3.9184328154919956E-2</v>
      </c>
      <c r="S78" s="2">
        <f t="shared" si="108"/>
        <v>3.9130410787005299E-2</v>
      </c>
      <c r="T78" s="2">
        <f t="shared" si="108"/>
        <v>3.554939075279466E-2</v>
      </c>
      <c r="U78" s="2">
        <f t="shared" ref="U78:AI78" si="109">U61*$D6</f>
        <v>3.9483594388611189E-2</v>
      </c>
      <c r="V78" s="2">
        <f t="shared" si="109"/>
        <v>3.5739361253631211E-2</v>
      </c>
      <c r="W78" s="2">
        <f t="shared" si="109"/>
        <v>2.5052221170440724E-2</v>
      </c>
      <c r="X78" s="2">
        <f t="shared" si="109"/>
        <v>2.4895993143377811E-2</v>
      </c>
      <c r="Y78" s="2">
        <f t="shared" si="109"/>
        <v>6.0794208402484499E-2</v>
      </c>
      <c r="Z78" s="2">
        <f t="shared" si="109"/>
        <v>3.1828902075610788E-2</v>
      </c>
      <c r="AA78" s="2">
        <f t="shared" si="109"/>
        <v>3.142338633265989E-2</v>
      </c>
      <c r="AB78" s="2">
        <f t="shared" si="109"/>
        <v>3.8385554725302869E-2</v>
      </c>
      <c r="AC78" s="2">
        <f t="shared" si="109"/>
        <v>8.777518288544682E-2</v>
      </c>
      <c r="AD78" s="2">
        <f t="shared" si="109"/>
        <v>8.1135192927563202E-2</v>
      </c>
      <c r="AE78" s="2">
        <f t="shared" si="109"/>
        <v>3.8862764437079068E-2</v>
      </c>
      <c r="AF78" s="2">
        <f t="shared" si="109"/>
        <v>5.3021641335400237E-2</v>
      </c>
      <c r="AG78" s="2">
        <f t="shared" si="109"/>
        <v>2.1186105919637151E-2</v>
      </c>
      <c r="AH78" s="2">
        <f t="shared" si="109"/>
        <v>6.9774505143748722E-3</v>
      </c>
      <c r="AI78" s="2">
        <f t="shared" si="109"/>
        <v>1.7794503661236992E-2</v>
      </c>
      <c r="AJ78" s="2">
        <f t="shared" ref="AJ78:BJ78" si="110">AJ61*$D6</f>
        <v>1.4122458127665074E-2</v>
      </c>
      <c r="AK78" s="2">
        <f t="shared" si="110"/>
        <v>7.1017465173587903E-3</v>
      </c>
      <c r="AL78" s="2">
        <f t="shared" si="110"/>
        <v>7.1365365896155115E-3</v>
      </c>
      <c r="AM78" s="2">
        <f t="shared" si="110"/>
        <v>2.1188588768880856E-2</v>
      </c>
      <c r="AN78" s="2">
        <f t="shared" si="110"/>
        <v>2.4913500488229434E-2</v>
      </c>
      <c r="AO78" s="2">
        <f t="shared" si="110"/>
        <v>2.4865243400714724E-2</v>
      </c>
      <c r="AP78" s="2">
        <f t="shared" si="110"/>
        <v>1.7842120208253036E-2</v>
      </c>
      <c r="AQ78" s="2">
        <f t="shared" si="110"/>
        <v>1.7819891363295527E-2</v>
      </c>
      <c r="AR78" s="2">
        <f t="shared" si="110"/>
        <v>1.0710114539249978E-2</v>
      </c>
      <c r="AS78" s="2">
        <f t="shared" si="110"/>
        <v>1.0700348130834477E-2</v>
      </c>
      <c r="AT78" s="2">
        <f t="shared" si="110"/>
        <v>7.2031183217160632E-3</v>
      </c>
      <c r="AU78" s="2">
        <f t="shared" si="110"/>
        <v>1.0688469382380862E-2</v>
      </c>
      <c r="AV78" s="2">
        <f t="shared" si="110"/>
        <v>7.1667737140436484E-3</v>
      </c>
      <c r="AW78" s="2">
        <f t="shared" si="110"/>
        <v>0</v>
      </c>
      <c r="AX78" s="2">
        <f t="shared" si="110"/>
        <v>1.0877606383523444E-2</v>
      </c>
      <c r="AY78" s="2">
        <f t="shared" si="110"/>
        <v>1.8004405917194051E-2</v>
      </c>
      <c r="AZ78" s="2">
        <f t="shared" si="110"/>
        <v>7.1316191127643053E-3</v>
      </c>
      <c r="BA78" s="2">
        <f t="shared" si="110"/>
        <v>7.0944171693972571E-3</v>
      </c>
      <c r="BB78" s="2">
        <f t="shared" si="110"/>
        <v>7.1075986151446372E-3</v>
      </c>
      <c r="BC78" s="2">
        <f t="shared" si="110"/>
        <v>1.0794215980820251E-2</v>
      </c>
      <c r="BD78" s="2">
        <f t="shared" si="110"/>
        <v>7.115865092776414E-3</v>
      </c>
      <c r="BE78" s="2">
        <f t="shared" si="110"/>
        <v>3.532495052638353E-3</v>
      </c>
      <c r="BF78" s="2">
        <f t="shared" si="110"/>
        <v>1.0846654869812353E-2</v>
      </c>
      <c r="BG78" s="2">
        <f t="shared" si="110"/>
        <v>0</v>
      </c>
      <c r="BH78" s="2">
        <f t="shared" si="110"/>
        <v>1.0798543199597952E-2</v>
      </c>
      <c r="BI78" s="2">
        <f t="shared" si="110"/>
        <v>7.266082379893065E-3</v>
      </c>
      <c r="BJ78" s="2">
        <f t="shared" si="110"/>
        <v>3.6169697102497642E-3</v>
      </c>
      <c r="BN78" s="2">
        <f t="shared" si="104"/>
        <v>1.4958812599332551E-2</v>
      </c>
      <c r="BU78" s="2"/>
      <c r="BV78" s="2"/>
      <c r="BW78" s="2"/>
      <c r="BX78" s="2"/>
      <c r="BY78" s="2"/>
      <c r="BZ78" s="2"/>
      <c r="CA78" s="2"/>
    </row>
    <row r="79" spans="1:79">
      <c r="A79" s="1" t="s">
        <v>119</v>
      </c>
      <c r="B79" s="54">
        <f t="shared" si="100"/>
        <v>5.0703509696671301</v>
      </c>
      <c r="C79" s="2">
        <f t="shared" ref="C79:T79" si="111">C62*$D7</f>
        <v>5.8590814739961674</v>
      </c>
      <c r="D79" s="2">
        <f t="shared" si="111"/>
        <v>6.1515604125770196</v>
      </c>
      <c r="E79" s="2">
        <f t="shared" si="111"/>
        <v>6.2257321918575155</v>
      </c>
      <c r="F79" s="2">
        <f t="shared" si="111"/>
        <v>6.0169435548560521</v>
      </c>
      <c r="G79" s="2">
        <f t="shared" si="111"/>
        <v>6.244439967739968</v>
      </c>
      <c r="H79" s="2">
        <f t="shared" si="111"/>
        <v>6.0426292848645211</v>
      </c>
      <c r="I79" s="2">
        <f t="shared" si="111"/>
        <v>5.9535786902720815</v>
      </c>
      <c r="J79" s="2">
        <f t="shared" si="111"/>
        <v>5.6749126391040843</v>
      </c>
      <c r="K79" s="54">
        <f t="shared" si="111"/>
        <v>5.1197444389629441</v>
      </c>
      <c r="L79" s="2">
        <f t="shared" si="111"/>
        <v>5.9056390546032365</v>
      </c>
      <c r="M79" s="2">
        <f t="shared" si="111"/>
        <v>6.1610037907673512</v>
      </c>
      <c r="N79" s="2">
        <f t="shared" si="111"/>
        <v>6.1022220233646731</v>
      </c>
      <c r="O79" s="2">
        <f t="shared" si="111"/>
        <v>6.380552534967677</v>
      </c>
      <c r="P79" s="2">
        <f t="shared" si="111"/>
        <v>5.0428072927317373</v>
      </c>
      <c r="Q79" s="2">
        <f t="shared" si="111"/>
        <v>2.46666199311051</v>
      </c>
      <c r="R79" s="2">
        <f t="shared" si="111"/>
        <v>6.0069635445068243</v>
      </c>
      <c r="S79" s="2">
        <f t="shared" si="111"/>
        <v>6.0729524440608307</v>
      </c>
      <c r="T79" s="2">
        <f t="shared" si="111"/>
        <v>5.9840990817085666</v>
      </c>
      <c r="U79" s="2">
        <f t="shared" ref="U79:AI79" si="112">U62*$D7</f>
        <v>6.3204291283095415</v>
      </c>
      <c r="V79" s="2">
        <f t="shared" si="112"/>
        <v>6.3730986008243864</v>
      </c>
      <c r="W79" s="2">
        <f t="shared" si="112"/>
        <v>4.455611788151721</v>
      </c>
      <c r="X79" s="2">
        <f t="shared" si="112"/>
        <v>5.3929331920817116</v>
      </c>
      <c r="Y79" s="2">
        <f t="shared" si="112"/>
        <v>8.0459105119647401</v>
      </c>
      <c r="Z79" s="2">
        <f t="shared" si="112"/>
        <v>5.9162249307045336</v>
      </c>
      <c r="AA79" s="2">
        <f t="shared" si="112"/>
        <v>4.9142261812777459</v>
      </c>
      <c r="AB79" s="2">
        <f t="shared" si="112"/>
        <v>5.7804528966588071</v>
      </c>
      <c r="AC79" s="2">
        <f t="shared" si="112"/>
        <v>6.470277045279591</v>
      </c>
      <c r="AD79" s="2">
        <f t="shared" si="112"/>
        <v>6.4798479709532808</v>
      </c>
      <c r="AE79" s="2">
        <f t="shared" si="112"/>
        <v>6.60031629053187</v>
      </c>
      <c r="AF79" s="2">
        <f t="shared" si="112"/>
        <v>6.2769163596244439</v>
      </c>
      <c r="AG79" s="2">
        <f t="shared" si="112"/>
        <v>6.8335637916393344</v>
      </c>
      <c r="AH79" s="2">
        <f t="shared" si="112"/>
        <v>6.7413122336166467</v>
      </c>
      <c r="AI79" s="2">
        <f t="shared" si="112"/>
        <v>6.6911941694344552</v>
      </c>
      <c r="AJ79" s="2">
        <f t="shared" ref="AJ79:BJ79" si="113">AJ62*$D7</f>
        <v>6.4537694403004924</v>
      </c>
      <c r="AK79" s="2">
        <f t="shared" si="113"/>
        <v>6.8455188051783171</v>
      </c>
      <c r="AL79" s="2">
        <f t="shared" si="113"/>
        <v>7.0546211628066589</v>
      </c>
      <c r="AM79" s="2">
        <f t="shared" si="113"/>
        <v>6.8133034168171847</v>
      </c>
      <c r="AN79" s="2">
        <f t="shared" si="113"/>
        <v>6.7658064397238391</v>
      </c>
      <c r="AO79" s="2">
        <f t="shared" si="113"/>
        <v>6.7209237539356579</v>
      </c>
      <c r="AP79" s="2">
        <f t="shared" si="113"/>
        <v>5.3523820931791972</v>
      </c>
      <c r="AQ79" s="2">
        <f t="shared" si="113"/>
        <v>5.4945010177042777</v>
      </c>
      <c r="AR79" s="2">
        <f t="shared" si="113"/>
        <v>5.514489165133333</v>
      </c>
      <c r="AS79" s="2">
        <f t="shared" si="113"/>
        <v>5.5200966014192359</v>
      </c>
      <c r="AT79" s="2">
        <f t="shared" si="113"/>
        <v>5.4665207725333662</v>
      </c>
      <c r="AU79" s="2">
        <f t="shared" si="113"/>
        <v>4.5577890670023748</v>
      </c>
      <c r="AV79" s="2">
        <f t="shared" si="113"/>
        <v>5.5297655418581604</v>
      </c>
      <c r="AW79" s="2">
        <f t="shared" si="113"/>
        <v>5.8972171976895442</v>
      </c>
      <c r="AX79" s="2">
        <f t="shared" si="113"/>
        <v>6.4657057458470177</v>
      </c>
      <c r="AY79" s="2">
        <f t="shared" si="113"/>
        <v>5.5352868053841657</v>
      </c>
      <c r="AZ79" s="2">
        <f t="shared" si="113"/>
        <v>5.4494752138534697</v>
      </c>
      <c r="BA79" s="2">
        <f t="shared" si="113"/>
        <v>6.0874403983622658</v>
      </c>
      <c r="BB79" s="2">
        <f t="shared" si="113"/>
        <v>6.220619923112654</v>
      </c>
      <c r="BC79" s="2">
        <f t="shared" si="113"/>
        <v>5.9816002791246001</v>
      </c>
      <c r="BD79" s="2">
        <f t="shared" si="113"/>
        <v>6.3498655860671178</v>
      </c>
      <c r="BE79" s="2">
        <f t="shared" si="113"/>
        <v>6.2096631069832942</v>
      </c>
      <c r="BF79" s="2">
        <f t="shared" si="113"/>
        <v>6.5389503431653839</v>
      </c>
      <c r="BG79" s="2">
        <f t="shared" si="113"/>
        <v>6.615940437016584</v>
      </c>
      <c r="BH79" s="2">
        <f t="shared" si="113"/>
        <v>6.2577057426542861</v>
      </c>
      <c r="BI79" s="2">
        <f t="shared" si="113"/>
        <v>6.5434973020075926</v>
      </c>
      <c r="BJ79" s="2">
        <f t="shared" si="113"/>
        <v>6.3258014377905329</v>
      </c>
      <c r="BN79" s="2">
        <f t="shared" si="104"/>
        <v>5.9464625008122374</v>
      </c>
      <c r="BU79" s="2"/>
      <c r="BV79" s="2"/>
      <c r="BW79" s="2"/>
      <c r="BX79" s="2"/>
      <c r="BY79" s="2"/>
      <c r="BZ79" s="2"/>
      <c r="CA79" s="2"/>
    </row>
    <row r="80" spans="1:79">
      <c r="A80" s="1" t="s">
        <v>120</v>
      </c>
      <c r="B80" s="54">
        <f t="shared" si="100"/>
        <v>3.4564155443278848</v>
      </c>
      <c r="C80" s="2">
        <f t="shared" ref="C80:T80" si="114">C63*$D8</f>
        <v>3.3221542665977331</v>
      </c>
      <c r="D80" s="2">
        <f t="shared" si="114"/>
        <v>3.5810023604647294</v>
      </c>
      <c r="E80" s="2">
        <f t="shared" si="114"/>
        <v>3.6672392221371979</v>
      </c>
      <c r="F80" s="2">
        <f t="shared" si="114"/>
        <v>3.445446031483419</v>
      </c>
      <c r="G80" s="2">
        <f t="shared" si="114"/>
        <v>3.6325864618140233</v>
      </c>
      <c r="H80" s="2">
        <f t="shared" si="114"/>
        <v>3.3381560624012181</v>
      </c>
      <c r="I80" s="2">
        <f t="shared" si="114"/>
        <v>3.4727673486487651</v>
      </c>
      <c r="J80" s="2">
        <f t="shared" si="114"/>
        <v>3.4072603910442112</v>
      </c>
      <c r="K80" s="54">
        <f t="shared" si="114"/>
        <v>3.8108376103647985</v>
      </c>
      <c r="L80" s="2">
        <f t="shared" si="114"/>
        <v>3.3702114414738698</v>
      </c>
      <c r="M80" s="2">
        <f t="shared" si="114"/>
        <v>3.4473249842323819</v>
      </c>
      <c r="N80" s="2">
        <f t="shared" si="114"/>
        <v>3.4556429528424997</v>
      </c>
      <c r="O80" s="2">
        <f t="shared" si="114"/>
        <v>3.5653016564865978</v>
      </c>
      <c r="P80" s="2">
        <f t="shared" si="114"/>
        <v>3.3750388358376555</v>
      </c>
      <c r="Q80" s="2">
        <f t="shared" si="114"/>
        <v>2.4374023729421457</v>
      </c>
      <c r="R80" s="2">
        <f t="shared" si="114"/>
        <v>3.5994420323837044</v>
      </c>
      <c r="S80" s="2">
        <f t="shared" si="114"/>
        <v>3.5794390256045308</v>
      </c>
      <c r="T80" s="2">
        <f t="shared" si="114"/>
        <v>3.6798277611523256</v>
      </c>
      <c r="U80" s="2">
        <f t="shared" ref="U80:AI80" si="115">U63*$D8</f>
        <v>3.7408276918853574</v>
      </c>
      <c r="V80" s="2">
        <f t="shared" si="115"/>
        <v>3.661690846460905</v>
      </c>
      <c r="W80" s="2">
        <f t="shared" si="115"/>
        <v>3.6390056614209128</v>
      </c>
      <c r="X80" s="2">
        <f t="shared" si="115"/>
        <v>3.5235222123421113</v>
      </c>
      <c r="Y80" s="2">
        <f t="shared" si="115"/>
        <v>3.4874239066537451</v>
      </c>
      <c r="Z80" s="2">
        <f t="shared" si="115"/>
        <v>3.4338582431354348</v>
      </c>
      <c r="AA80" s="2">
        <f t="shared" si="115"/>
        <v>2.8460176114260731</v>
      </c>
      <c r="AB80" s="2">
        <f t="shared" si="115"/>
        <v>3.2652416879045916</v>
      </c>
      <c r="AC80" s="2">
        <f t="shared" si="115"/>
        <v>3.0129476529480566</v>
      </c>
      <c r="AD80" s="2">
        <f t="shared" si="115"/>
        <v>3.1714721034257587</v>
      </c>
      <c r="AE80" s="2">
        <f t="shared" si="115"/>
        <v>3.3581506175071429</v>
      </c>
      <c r="AF80" s="2">
        <f t="shared" si="115"/>
        <v>3.2701299959023529</v>
      </c>
      <c r="AG80" s="2">
        <f t="shared" si="115"/>
        <v>3.3164494903711712</v>
      </c>
      <c r="AH80" s="2">
        <f t="shared" si="115"/>
        <v>3.2201469401602534</v>
      </c>
      <c r="AI80" s="2">
        <f t="shared" si="115"/>
        <v>3.259825098909364</v>
      </c>
      <c r="AJ80" s="2">
        <f t="shared" ref="AJ80:BJ80" si="116">AJ63*$D8</f>
        <v>3.1891041880774722</v>
      </c>
      <c r="AK80" s="2">
        <f t="shared" si="116"/>
        <v>3.4602899233972089</v>
      </c>
      <c r="AL80" s="2">
        <f t="shared" si="116"/>
        <v>3.4470480874840144</v>
      </c>
      <c r="AM80" s="2">
        <f t="shared" si="116"/>
        <v>3.4015021897684181</v>
      </c>
      <c r="AN80" s="2">
        <f t="shared" si="116"/>
        <v>3.4155772449737789</v>
      </c>
      <c r="AO80" s="2">
        <f t="shared" si="116"/>
        <v>3.3338188971779217</v>
      </c>
      <c r="AP80" s="2">
        <f t="shared" si="116"/>
        <v>4.5845224423091162</v>
      </c>
      <c r="AQ80" s="2">
        <f t="shared" si="116"/>
        <v>4.4556703984251733</v>
      </c>
      <c r="AR80" s="2">
        <f t="shared" si="116"/>
        <v>4.5110759567412462</v>
      </c>
      <c r="AS80" s="2">
        <f t="shared" si="116"/>
        <v>4.6478049416532921</v>
      </c>
      <c r="AT80" s="2">
        <f t="shared" si="116"/>
        <v>4.6474092337473332</v>
      </c>
      <c r="AU80" s="2">
        <f t="shared" si="116"/>
        <v>4.3914198922629657</v>
      </c>
      <c r="AV80" s="2">
        <f t="shared" si="116"/>
        <v>4.6997625298135608</v>
      </c>
      <c r="AW80" s="2">
        <f t="shared" si="116"/>
        <v>4.6796664641742138</v>
      </c>
      <c r="AX80" s="2">
        <f t="shared" si="116"/>
        <v>4.08050811060337</v>
      </c>
      <c r="AY80" s="2">
        <f t="shared" si="116"/>
        <v>4.6643080084999582</v>
      </c>
      <c r="AZ80" s="2">
        <f t="shared" si="116"/>
        <v>4.5233332153689689</v>
      </c>
      <c r="BA80" s="2">
        <f t="shared" si="116"/>
        <v>3.709344345318395</v>
      </c>
      <c r="BB80" s="2">
        <f t="shared" si="116"/>
        <v>3.7287657717396243</v>
      </c>
      <c r="BC80" s="2">
        <f t="shared" si="116"/>
        <v>3.7929779259800416</v>
      </c>
      <c r="BD80" s="2">
        <f t="shared" si="116"/>
        <v>3.7581905594025886</v>
      </c>
      <c r="BE80" s="2">
        <f t="shared" si="116"/>
        <v>3.7811386919631453</v>
      </c>
      <c r="BF80" s="2">
        <f t="shared" si="116"/>
        <v>4.3340384700801797</v>
      </c>
      <c r="BG80" s="2">
        <f t="shared" si="116"/>
        <v>4.4270250158614317</v>
      </c>
      <c r="BH80" s="2">
        <f t="shared" si="116"/>
        <v>4.2259798977337333</v>
      </c>
      <c r="BI80" s="2">
        <f t="shared" si="116"/>
        <v>4.4062389211590434</v>
      </c>
      <c r="BJ80" s="2">
        <f t="shared" si="116"/>
        <v>4.1801618669090068</v>
      </c>
      <c r="BN80" s="2">
        <f t="shared" si="104"/>
        <v>3.4891864180649468</v>
      </c>
      <c r="BU80" s="2"/>
      <c r="BV80" s="2"/>
      <c r="BW80" s="2"/>
      <c r="BX80" s="2"/>
      <c r="BY80" s="2"/>
      <c r="BZ80" s="2"/>
      <c r="CA80" s="2"/>
    </row>
    <row r="81" spans="1:79">
      <c r="A81" s="1" t="s">
        <v>121</v>
      </c>
      <c r="B81" s="54">
        <f t="shared" si="100"/>
        <v>0.17275856956331129</v>
      </c>
      <c r="C81" s="2">
        <f t="shared" ref="C81:T81" si="117">C64*$D9</f>
        <v>0.21030701895259801</v>
      </c>
      <c r="D81" s="2">
        <f t="shared" si="117"/>
        <v>0.25264571311735545</v>
      </c>
      <c r="E81" s="2">
        <f t="shared" si="117"/>
        <v>0.28220581504184672</v>
      </c>
      <c r="F81" s="2">
        <f t="shared" si="117"/>
        <v>0.21340447974534815</v>
      </c>
      <c r="G81" s="2">
        <f t="shared" si="117"/>
        <v>0.21096556649129133</v>
      </c>
      <c r="H81" s="2">
        <f t="shared" si="117"/>
        <v>0.20316819299732347</v>
      </c>
      <c r="I81" s="2">
        <f t="shared" si="117"/>
        <v>0.21189541339193882</v>
      </c>
      <c r="J81" s="2">
        <f t="shared" si="117"/>
        <v>0.22257183154342977</v>
      </c>
      <c r="K81" s="54">
        <f t="shared" si="117"/>
        <v>0.23545564781878203</v>
      </c>
      <c r="L81" s="2">
        <f t="shared" si="117"/>
        <v>0.22392341118404177</v>
      </c>
      <c r="M81" s="2">
        <f t="shared" si="117"/>
        <v>0.19356403245626697</v>
      </c>
      <c r="N81" s="2">
        <f t="shared" si="117"/>
        <v>0.17387200542226247</v>
      </c>
      <c r="O81" s="2">
        <f t="shared" si="117"/>
        <v>0.17493649812765141</v>
      </c>
      <c r="P81" s="2">
        <f t="shared" si="117"/>
        <v>5.5998887267956293E-2</v>
      </c>
      <c r="Q81" s="2">
        <f t="shared" si="117"/>
        <v>5.6499285876123469E-2</v>
      </c>
      <c r="R81" s="2">
        <f t="shared" si="117"/>
        <v>4.5794724771625592E-2</v>
      </c>
      <c r="S81" s="2">
        <f t="shared" si="117"/>
        <v>5.0813012825683276E-2</v>
      </c>
      <c r="T81" s="2">
        <f t="shared" si="117"/>
        <v>5.3318102513792563E-2</v>
      </c>
      <c r="U81" s="2">
        <f t="shared" ref="U81:AI81" si="118">U64*$D9</f>
        <v>4.8708059290343407E-2</v>
      </c>
      <c r="V81" s="2">
        <f t="shared" si="118"/>
        <v>6.636565159655218E-2</v>
      </c>
      <c r="W81" s="2">
        <f t="shared" si="118"/>
        <v>6.3901556133850193E-2</v>
      </c>
      <c r="X81" s="2">
        <f t="shared" si="118"/>
        <v>5.8422815172080721E-2</v>
      </c>
      <c r="Y81" s="2">
        <f t="shared" si="118"/>
        <v>3.8311378076405576E-2</v>
      </c>
      <c r="Z81" s="2">
        <f t="shared" si="118"/>
        <v>5.3042217471772624E-2</v>
      </c>
      <c r="AA81" s="2">
        <f t="shared" si="118"/>
        <v>4.4885514634206349E-2</v>
      </c>
      <c r="AB81" s="2">
        <f t="shared" si="118"/>
        <v>6.4799508590724184E-2</v>
      </c>
      <c r="AC81" s="2">
        <f t="shared" si="118"/>
        <v>3.5106133374059649E-2</v>
      </c>
      <c r="AD81" s="2">
        <f t="shared" si="118"/>
        <v>5.2908318629636901E-2</v>
      </c>
      <c r="AE81" s="2">
        <f t="shared" si="118"/>
        <v>6.0558551001113133E-2</v>
      </c>
      <c r="AF81" s="2">
        <f t="shared" si="118"/>
        <v>5.5540248403629554E-2</v>
      </c>
      <c r="AG81" s="2">
        <f t="shared" si="118"/>
        <v>6.052493879753184E-2</v>
      </c>
      <c r="AH81" s="2">
        <f t="shared" si="118"/>
        <v>5.2325006692429468E-2</v>
      </c>
      <c r="AI81" s="2">
        <f t="shared" si="118"/>
        <v>6.3544667500137195E-2</v>
      </c>
      <c r="AJ81" s="2">
        <f t="shared" ref="AJ81:BJ81" si="119">AJ64*$D9</f>
        <v>6.0518028921164334E-2</v>
      </c>
      <c r="AK81" s="2">
        <f t="shared" si="119"/>
        <v>6.3401335843223355E-2</v>
      </c>
      <c r="AL81" s="2">
        <f t="shared" si="119"/>
        <v>5.0969541305897419E-2</v>
      </c>
      <c r="AM81" s="2">
        <f t="shared" si="119"/>
        <v>4.5399023892372346E-2</v>
      </c>
      <c r="AN81" s="2">
        <f t="shared" si="119"/>
        <v>5.3380081903750966E-2</v>
      </c>
      <c r="AO81" s="2">
        <f t="shared" si="119"/>
        <v>7.1035580616967214E-2</v>
      </c>
      <c r="AP81" s="2">
        <f t="shared" si="119"/>
        <v>7.9006237317248554E-2</v>
      </c>
      <c r="AQ81" s="2">
        <f t="shared" si="119"/>
        <v>6.8726153905531384E-2</v>
      </c>
      <c r="AR81" s="2">
        <f t="shared" si="119"/>
        <v>8.6691198316841411E-2</v>
      </c>
      <c r="AS81" s="2">
        <f t="shared" si="119"/>
        <v>8.6612145787039935E-2</v>
      </c>
      <c r="AT81" s="2">
        <f t="shared" si="119"/>
        <v>8.4884368371478197E-2</v>
      </c>
      <c r="AU81" s="2">
        <f t="shared" si="119"/>
        <v>6.8703878605110472E-2</v>
      </c>
      <c r="AV81" s="2">
        <f t="shared" si="119"/>
        <v>7.1659695142781712E-2</v>
      </c>
      <c r="AW81" s="2">
        <f t="shared" si="119"/>
        <v>6.7013218084932227E-2</v>
      </c>
      <c r="AX81" s="2">
        <f t="shared" si="119"/>
        <v>6.474039156484844E-2</v>
      </c>
      <c r="AY81" s="2">
        <f t="shared" si="119"/>
        <v>7.7153081153109301E-2</v>
      </c>
      <c r="AZ81" s="2">
        <f t="shared" si="119"/>
        <v>7.6401630619023705E-2</v>
      </c>
      <c r="BA81" s="2">
        <f t="shared" si="119"/>
        <v>5.0668722063729077E-2</v>
      </c>
      <c r="BB81" s="2">
        <f t="shared" si="119"/>
        <v>6.0915437618998584E-2</v>
      </c>
      <c r="BC81" s="2">
        <f t="shared" si="119"/>
        <v>4.625573458978121E-2</v>
      </c>
      <c r="BD81" s="2">
        <f t="shared" si="119"/>
        <v>5.082190432558286E-2</v>
      </c>
      <c r="BE81" s="2">
        <f t="shared" si="119"/>
        <v>4.5412697101361393E-2</v>
      </c>
      <c r="BF81" s="2">
        <f t="shared" si="119"/>
        <v>4.1315953304084864E-2</v>
      </c>
      <c r="BG81" s="2">
        <f t="shared" si="119"/>
        <v>6.4835213630415833E-2</v>
      </c>
      <c r="BH81" s="2">
        <f t="shared" si="119"/>
        <v>5.1415864146792313E-2</v>
      </c>
      <c r="BI81" s="2">
        <f t="shared" si="119"/>
        <v>5.4489502773594573E-2</v>
      </c>
      <c r="BJ81" s="2">
        <f t="shared" si="119"/>
        <v>6.1998237290737404E-2</v>
      </c>
      <c r="BN81" s="2">
        <f t="shared" si="104"/>
        <v>0.21964362798608952</v>
      </c>
      <c r="BU81" s="2"/>
      <c r="BV81" s="2"/>
      <c r="BW81" s="2"/>
      <c r="BX81" s="2"/>
      <c r="BY81" s="2"/>
      <c r="BZ81" s="2"/>
      <c r="CA81" s="2"/>
    </row>
    <row r="82" spans="1:79">
      <c r="A82" s="1" t="s">
        <v>122</v>
      </c>
      <c r="B82" s="54">
        <f t="shared" si="100"/>
        <v>7.2368489946965158E-3</v>
      </c>
      <c r="C82" s="2">
        <f t="shared" ref="C82:T82" si="120">C65*$D10</f>
        <v>0</v>
      </c>
      <c r="D82" s="2">
        <f t="shared" si="120"/>
        <v>0</v>
      </c>
      <c r="E82" s="2">
        <f t="shared" si="120"/>
        <v>7.2420547469092588E-3</v>
      </c>
      <c r="F82" s="2">
        <f t="shared" si="120"/>
        <v>0</v>
      </c>
      <c r="G82" s="2">
        <f t="shared" si="120"/>
        <v>0</v>
      </c>
      <c r="H82" s="2">
        <f t="shared" si="120"/>
        <v>0</v>
      </c>
      <c r="I82" s="2">
        <f t="shared" si="120"/>
        <v>0</v>
      </c>
      <c r="J82" s="2">
        <f t="shared" si="120"/>
        <v>0</v>
      </c>
      <c r="K82" s="54">
        <f t="shared" si="120"/>
        <v>0</v>
      </c>
      <c r="L82" s="2">
        <f t="shared" si="120"/>
        <v>0</v>
      </c>
      <c r="M82" s="2">
        <f t="shared" si="120"/>
        <v>0</v>
      </c>
      <c r="N82" s="2">
        <f t="shared" si="120"/>
        <v>0</v>
      </c>
      <c r="O82" s="2">
        <f t="shared" si="120"/>
        <v>0</v>
      </c>
      <c r="P82" s="2">
        <f t="shared" si="120"/>
        <v>0</v>
      </c>
      <c r="Q82" s="2">
        <f t="shared" si="120"/>
        <v>0</v>
      </c>
      <c r="R82" s="2">
        <f t="shared" si="120"/>
        <v>0</v>
      </c>
      <c r="S82" s="2">
        <f t="shared" si="120"/>
        <v>0</v>
      </c>
      <c r="T82" s="2">
        <f t="shared" si="120"/>
        <v>0</v>
      </c>
      <c r="U82" s="2">
        <f t="shared" ref="U82:AI82" si="121">U65*$D10</f>
        <v>0</v>
      </c>
      <c r="V82" s="2">
        <f t="shared" si="121"/>
        <v>0</v>
      </c>
      <c r="W82" s="2">
        <f t="shared" si="121"/>
        <v>0</v>
      </c>
      <c r="X82" s="2">
        <f t="shared" si="121"/>
        <v>0</v>
      </c>
      <c r="Y82" s="2">
        <f t="shared" si="121"/>
        <v>0</v>
      </c>
      <c r="Z82" s="2">
        <f t="shared" si="121"/>
        <v>0</v>
      </c>
      <c r="AA82" s="2">
        <f t="shared" si="121"/>
        <v>0</v>
      </c>
      <c r="AB82" s="2">
        <f t="shared" si="121"/>
        <v>0</v>
      </c>
      <c r="AC82" s="2">
        <f t="shared" si="121"/>
        <v>0</v>
      </c>
      <c r="AD82" s="2">
        <f t="shared" si="121"/>
        <v>0</v>
      </c>
      <c r="AE82" s="2">
        <f t="shared" si="121"/>
        <v>0</v>
      </c>
      <c r="AF82" s="2">
        <f t="shared" si="121"/>
        <v>0</v>
      </c>
      <c r="AG82" s="2">
        <f t="shared" si="121"/>
        <v>0</v>
      </c>
      <c r="AH82" s="2">
        <f t="shared" si="121"/>
        <v>0</v>
      </c>
      <c r="AI82" s="2">
        <f t="shared" si="121"/>
        <v>0</v>
      </c>
      <c r="AJ82" s="2">
        <f t="shared" ref="AJ82:BJ82" si="122">AJ65*$D10</f>
        <v>0</v>
      </c>
      <c r="AK82" s="2">
        <f t="shared" si="122"/>
        <v>0</v>
      </c>
      <c r="AL82" s="2">
        <f t="shared" si="122"/>
        <v>0</v>
      </c>
      <c r="AM82" s="2">
        <f t="shared" si="122"/>
        <v>0</v>
      </c>
      <c r="AN82" s="2">
        <f t="shared" si="122"/>
        <v>0</v>
      </c>
      <c r="AO82" s="2">
        <f t="shared" si="122"/>
        <v>0</v>
      </c>
      <c r="AP82" s="2">
        <f t="shared" si="122"/>
        <v>0</v>
      </c>
      <c r="AQ82" s="2">
        <f t="shared" si="122"/>
        <v>0</v>
      </c>
      <c r="AR82" s="2">
        <f t="shared" si="122"/>
        <v>0</v>
      </c>
      <c r="AS82" s="2">
        <f t="shared" si="122"/>
        <v>0</v>
      </c>
      <c r="AT82" s="2">
        <f t="shared" si="122"/>
        <v>0</v>
      </c>
      <c r="AU82" s="2">
        <f t="shared" si="122"/>
        <v>0</v>
      </c>
      <c r="AV82" s="2">
        <f t="shared" si="122"/>
        <v>0</v>
      </c>
      <c r="AW82" s="2">
        <f t="shared" si="122"/>
        <v>0</v>
      </c>
      <c r="AX82" s="2">
        <f t="shared" si="122"/>
        <v>0</v>
      </c>
      <c r="AY82" s="2">
        <f t="shared" si="122"/>
        <v>0</v>
      </c>
      <c r="AZ82" s="2">
        <f t="shared" si="122"/>
        <v>0</v>
      </c>
      <c r="BA82" s="2">
        <f t="shared" si="122"/>
        <v>0</v>
      </c>
      <c r="BB82" s="2">
        <f t="shared" si="122"/>
        <v>0</v>
      </c>
      <c r="BC82" s="2">
        <f t="shared" si="122"/>
        <v>0</v>
      </c>
      <c r="BD82" s="2">
        <f t="shared" si="122"/>
        <v>0</v>
      </c>
      <c r="BE82" s="2">
        <f t="shared" si="122"/>
        <v>0</v>
      </c>
      <c r="BF82" s="2">
        <f t="shared" si="122"/>
        <v>0</v>
      </c>
      <c r="BG82" s="2">
        <f t="shared" si="122"/>
        <v>0</v>
      </c>
      <c r="BH82" s="2">
        <f t="shared" si="122"/>
        <v>0</v>
      </c>
      <c r="BI82" s="2">
        <f t="shared" si="122"/>
        <v>0</v>
      </c>
      <c r="BJ82" s="2">
        <f t="shared" si="122"/>
        <v>0</v>
      </c>
      <c r="BN82" s="2">
        <f t="shared" si="104"/>
        <v>1.7901534195654679E-3</v>
      </c>
      <c r="BU82" s="2"/>
      <c r="BV82" s="2"/>
      <c r="BW82" s="2"/>
      <c r="BX82" s="2"/>
      <c r="BY82" s="2"/>
      <c r="BZ82" s="2"/>
      <c r="CA82" s="2"/>
    </row>
    <row r="83" spans="1:79">
      <c r="A83" s="1" t="s">
        <v>123</v>
      </c>
      <c r="B83" s="54">
        <f t="shared" si="100"/>
        <v>5.5706868872102655</v>
      </c>
      <c r="C83" s="2">
        <f t="shared" ref="C83:T83" si="123">C66*$D11</f>
        <v>5.7276682214246071</v>
      </c>
      <c r="D83" s="2">
        <f t="shared" si="123"/>
        <v>5.3088186149901242</v>
      </c>
      <c r="E83" s="2">
        <f t="shared" si="123"/>
        <v>5.359938631941402</v>
      </c>
      <c r="F83" s="2">
        <f t="shared" si="123"/>
        <v>5.4078675154457692</v>
      </c>
      <c r="G83" s="2">
        <f t="shared" si="123"/>
        <v>5.268276557013424</v>
      </c>
      <c r="H83" s="2">
        <f t="shared" si="123"/>
        <v>5.4689257238318945</v>
      </c>
      <c r="I83" s="2">
        <f t="shared" si="123"/>
        <v>5.4485914676584946</v>
      </c>
      <c r="J83" s="2">
        <f t="shared" si="123"/>
        <v>5.6507388442458639</v>
      </c>
      <c r="K83" s="54">
        <f t="shared" si="123"/>
        <v>5.1677572384654447</v>
      </c>
      <c r="L83" s="2">
        <f t="shared" si="123"/>
        <v>5.6218860069474026</v>
      </c>
      <c r="M83" s="2">
        <f t="shared" si="123"/>
        <v>5.3881694324461238</v>
      </c>
      <c r="N83" s="2">
        <f t="shared" si="123"/>
        <v>5.2326609966218545</v>
      </c>
      <c r="O83" s="2">
        <f t="shared" si="123"/>
        <v>5.3170250822293585</v>
      </c>
      <c r="P83" s="2">
        <f t="shared" si="123"/>
        <v>5.5364987593119128</v>
      </c>
      <c r="Q83" s="2">
        <f t="shared" si="123"/>
        <v>7.0938781304038141</v>
      </c>
      <c r="R83" s="2">
        <f t="shared" si="123"/>
        <v>5.2203727997622886</v>
      </c>
      <c r="S83" s="2">
        <f t="shared" si="123"/>
        <v>5.2042475962654864</v>
      </c>
      <c r="T83" s="2">
        <f t="shared" si="123"/>
        <v>5.2454591244480753</v>
      </c>
      <c r="U83" s="2">
        <f t="shared" ref="U83:AI83" si="124">U66*$D11</f>
        <v>5.0346749790401555</v>
      </c>
      <c r="V83" s="2">
        <f t="shared" si="124"/>
        <v>5.0309274798973123</v>
      </c>
      <c r="W83" s="2">
        <f t="shared" si="124"/>
        <v>5.474217181490701</v>
      </c>
      <c r="X83" s="2">
        <f t="shared" si="124"/>
        <v>5.5339509874009245</v>
      </c>
      <c r="Y83" s="2">
        <f t="shared" si="124"/>
        <v>3.1687330352389274</v>
      </c>
      <c r="Z83" s="2">
        <f t="shared" si="124"/>
        <v>4.9738477025785341</v>
      </c>
      <c r="AA83" s="2">
        <f t="shared" si="124"/>
        <v>5.4897306062184406</v>
      </c>
      <c r="AB83" s="2">
        <f t="shared" si="124"/>
        <v>5.6928937252528105</v>
      </c>
      <c r="AC83" s="2">
        <f t="shared" si="124"/>
        <v>5.5557246393893527</v>
      </c>
      <c r="AD83" s="2">
        <f t="shared" si="124"/>
        <v>5.4445633076021762</v>
      </c>
      <c r="AE83" s="2">
        <f t="shared" si="124"/>
        <v>5.3773511329851758</v>
      </c>
      <c r="AF83" s="2">
        <f t="shared" si="124"/>
        <v>5.4822686832098997</v>
      </c>
      <c r="AG83" s="2">
        <f t="shared" si="124"/>
        <v>5.2722934850480163</v>
      </c>
      <c r="AH83" s="2">
        <f t="shared" si="124"/>
        <v>5.4283852543728912</v>
      </c>
      <c r="AI83" s="2">
        <f t="shared" si="124"/>
        <v>5.313926744933954</v>
      </c>
      <c r="AJ83" s="2">
        <f t="shared" ref="AJ83:BJ83" si="125">AJ66*$D11</f>
        <v>5.5157513644802032</v>
      </c>
      <c r="AK83" s="2">
        <f t="shared" si="125"/>
        <v>5.0386287601512478</v>
      </c>
      <c r="AL83" s="2">
        <f t="shared" si="125"/>
        <v>4.9781012779635985</v>
      </c>
      <c r="AM83" s="2">
        <f t="shared" si="125"/>
        <v>5.1708263732448492</v>
      </c>
      <c r="AN83" s="2">
        <f t="shared" si="125"/>
        <v>5.135253044579895</v>
      </c>
      <c r="AO83" s="2">
        <f t="shared" si="125"/>
        <v>5.1699516580585101</v>
      </c>
      <c r="AP83" s="2">
        <f t="shared" si="125"/>
        <v>4.4311520163049085</v>
      </c>
      <c r="AQ83" s="2">
        <f t="shared" si="125"/>
        <v>4.430110790099981</v>
      </c>
      <c r="AR83" s="2">
        <f t="shared" si="125"/>
        <v>4.3972603968521478</v>
      </c>
      <c r="AS83" s="2">
        <f t="shared" si="125"/>
        <v>4.3260069630918601</v>
      </c>
      <c r="AT83" s="2">
        <f t="shared" si="125"/>
        <v>4.3546060654767826</v>
      </c>
      <c r="AU83" s="2">
        <f t="shared" si="125"/>
        <v>4.8316888121713815</v>
      </c>
      <c r="AV83" s="2">
        <f t="shared" si="125"/>
        <v>4.3146190195459102</v>
      </c>
      <c r="AW83" s="2">
        <f t="shared" si="125"/>
        <v>4.2726571813788983</v>
      </c>
      <c r="AX83" s="2">
        <f t="shared" si="125"/>
        <v>3.4315498236626611</v>
      </c>
      <c r="AY83" s="2">
        <f t="shared" si="125"/>
        <v>4.2813740836840957</v>
      </c>
      <c r="AZ83" s="2">
        <f t="shared" si="125"/>
        <v>4.4458321768394207</v>
      </c>
      <c r="BA83" s="2">
        <f t="shared" si="125"/>
        <v>5.0557201853105997</v>
      </c>
      <c r="BB83" s="2">
        <f t="shared" si="125"/>
        <v>4.9981148678843041</v>
      </c>
      <c r="BC83" s="2">
        <f t="shared" si="125"/>
        <v>5.1282141356860453</v>
      </c>
      <c r="BD83" s="2">
        <f t="shared" si="125"/>
        <v>4.9413229186231415</v>
      </c>
      <c r="BE83" s="2">
        <f t="shared" si="125"/>
        <v>5.0969068709619965</v>
      </c>
      <c r="BF83" s="2">
        <f t="shared" si="125"/>
        <v>4.3260821603112403</v>
      </c>
      <c r="BG83" s="2">
        <f t="shared" si="125"/>
        <v>4.3128342288159391</v>
      </c>
      <c r="BH83" s="2">
        <f t="shared" si="125"/>
        <v>4.4471387662445157</v>
      </c>
      <c r="BI83" s="2">
        <f t="shared" si="125"/>
        <v>4.2602512595807447</v>
      </c>
      <c r="BJ83" s="2">
        <f t="shared" si="125"/>
        <v>4.4232446423636889</v>
      </c>
      <c r="BN83" s="2">
        <f t="shared" si="104"/>
        <v>5.4450941114307447</v>
      </c>
      <c r="BU83" s="2"/>
      <c r="BV83" s="2"/>
      <c r="BW83" s="2"/>
      <c r="BX83" s="2"/>
      <c r="BY83" s="2"/>
      <c r="BZ83" s="2"/>
      <c r="CA83" s="2"/>
    </row>
    <row r="84" spans="1:79">
      <c r="A84" s="1" t="s">
        <v>124</v>
      </c>
      <c r="B84" s="54">
        <f t="shared" si="100"/>
        <v>3.3710949711858924</v>
      </c>
      <c r="C84" s="2">
        <f t="shared" ref="C84:T84" si="126">C67*$D12</f>
        <v>3.3347836637759802</v>
      </c>
      <c r="D84" s="2">
        <f t="shared" si="126"/>
        <v>3.338165252562316</v>
      </c>
      <c r="E84" s="2">
        <f t="shared" si="126"/>
        <v>3.2159389259910998</v>
      </c>
      <c r="F84" s="2">
        <f t="shared" si="126"/>
        <v>3.4520649872302789</v>
      </c>
      <c r="G84" s="2">
        <f t="shared" si="126"/>
        <v>3.4754770487039881</v>
      </c>
      <c r="H84" s="2">
        <f t="shared" si="126"/>
        <v>3.496367755395632</v>
      </c>
      <c r="I84" s="2">
        <f t="shared" si="126"/>
        <v>3.408734194828074</v>
      </c>
      <c r="J84" s="2">
        <f t="shared" si="126"/>
        <v>3.245580359231071</v>
      </c>
      <c r="K84" s="54">
        <f t="shared" si="126"/>
        <v>3.463572383442429</v>
      </c>
      <c r="L84" s="2">
        <f t="shared" si="126"/>
        <v>3.2982463266924569</v>
      </c>
      <c r="M84" s="2">
        <f t="shared" si="126"/>
        <v>3.4373554392955739</v>
      </c>
      <c r="N84" s="2">
        <f t="shared" si="126"/>
        <v>3.3117758347639907</v>
      </c>
      <c r="O84" s="2">
        <f t="shared" si="126"/>
        <v>3.4298643134639568</v>
      </c>
      <c r="P84" s="2">
        <f t="shared" si="126"/>
        <v>3.9055511519356036</v>
      </c>
      <c r="Q84" s="2">
        <f t="shared" si="126"/>
        <v>3.9275978109951128</v>
      </c>
      <c r="R84" s="2">
        <f t="shared" si="126"/>
        <v>3.8457023373297483</v>
      </c>
      <c r="S84" s="2">
        <f t="shared" si="126"/>
        <v>3.8661205394534943</v>
      </c>
      <c r="T84" s="2">
        <f t="shared" si="126"/>
        <v>3.8763900798954132</v>
      </c>
      <c r="U84" s="2">
        <f t="shared" ref="U84:AI84" si="127">U67*$D12</f>
        <v>3.8491315746588333</v>
      </c>
      <c r="V84" s="2">
        <f t="shared" si="127"/>
        <v>3.9035624209997315</v>
      </c>
      <c r="W84" s="2">
        <f t="shared" si="127"/>
        <v>3.8960389075589528</v>
      </c>
      <c r="X84" s="2">
        <f t="shared" si="127"/>
        <v>3.8010554183128256</v>
      </c>
      <c r="Y84" s="2">
        <f t="shared" si="127"/>
        <v>5.2467135330576742</v>
      </c>
      <c r="Z84" s="2">
        <f t="shared" si="127"/>
        <v>4.1854146057007222</v>
      </c>
      <c r="AA84" s="2">
        <f t="shared" si="127"/>
        <v>4.2834952198069152</v>
      </c>
      <c r="AB84" s="2">
        <f t="shared" si="127"/>
        <v>3.5750015281608887</v>
      </c>
      <c r="AC84" s="2">
        <f t="shared" si="127"/>
        <v>3.5810774801084548</v>
      </c>
      <c r="AD84" s="2">
        <f t="shared" si="127"/>
        <v>3.6585699796446187</v>
      </c>
      <c r="AE84" s="2">
        <f t="shared" si="127"/>
        <v>3.5492274643299373</v>
      </c>
      <c r="AF84" s="2">
        <f t="shared" si="127"/>
        <v>3.5765802369417563</v>
      </c>
      <c r="AG84" s="2">
        <f t="shared" si="127"/>
        <v>3.5759673316999963</v>
      </c>
      <c r="AH84" s="2">
        <f t="shared" si="127"/>
        <v>3.5205294670118796</v>
      </c>
      <c r="AI84" s="2">
        <f t="shared" si="127"/>
        <v>3.6138508703180663</v>
      </c>
      <c r="AJ84" s="2">
        <f t="shared" ref="AJ84:BJ84" si="128">AJ67*$D12</f>
        <v>3.5117667667887229</v>
      </c>
      <c r="AK84" s="2">
        <f t="shared" si="128"/>
        <v>3.5447490153961225</v>
      </c>
      <c r="AL84" s="2">
        <f t="shared" si="128"/>
        <v>3.5202068259318451</v>
      </c>
      <c r="AM84" s="2">
        <f t="shared" si="128"/>
        <v>3.4679143845958622</v>
      </c>
      <c r="AN84" s="2">
        <f t="shared" si="128"/>
        <v>3.443612096475134</v>
      </c>
      <c r="AO84" s="2">
        <f t="shared" si="128"/>
        <v>3.4914965028668696</v>
      </c>
      <c r="AP84" s="2">
        <f t="shared" si="128"/>
        <v>3.8008287546019193</v>
      </c>
      <c r="AQ84" s="2">
        <f t="shared" si="128"/>
        <v>3.7638958716043995</v>
      </c>
      <c r="AR84" s="2">
        <f t="shared" si="128"/>
        <v>3.8218994078716899</v>
      </c>
      <c r="AS84" s="2">
        <f t="shared" si="128"/>
        <v>3.7958582358967266</v>
      </c>
      <c r="AT84" s="2">
        <f t="shared" si="128"/>
        <v>3.715734700173638</v>
      </c>
      <c r="AU84" s="2">
        <f t="shared" si="128"/>
        <v>3.7787694966060297</v>
      </c>
      <c r="AV84" s="2">
        <f t="shared" si="128"/>
        <v>3.7034608854245024</v>
      </c>
      <c r="AW84" s="2">
        <f t="shared" si="128"/>
        <v>3.8047208191981285</v>
      </c>
      <c r="AX84" s="2">
        <f t="shared" si="128"/>
        <v>4.7005862621149515</v>
      </c>
      <c r="AY84" s="2">
        <f t="shared" si="128"/>
        <v>3.7345538036057513</v>
      </c>
      <c r="AZ84" s="2">
        <f t="shared" si="128"/>
        <v>3.7819369360522219</v>
      </c>
      <c r="BA84" s="2">
        <f t="shared" si="128"/>
        <v>3.8519375345183384</v>
      </c>
      <c r="BB84" s="2">
        <f t="shared" si="128"/>
        <v>3.7948832225420999</v>
      </c>
      <c r="BC84" s="2">
        <f t="shared" si="128"/>
        <v>3.8746648727587658</v>
      </c>
      <c r="BD84" s="2">
        <f t="shared" si="128"/>
        <v>3.8410826902968309</v>
      </c>
      <c r="BE84" s="2">
        <f t="shared" si="128"/>
        <v>3.8295773826429773</v>
      </c>
      <c r="BF84" s="2">
        <f t="shared" si="128"/>
        <v>3.7856986832175403</v>
      </c>
      <c r="BG84" s="2">
        <f t="shared" si="128"/>
        <v>3.7200502374515811</v>
      </c>
      <c r="BH84" s="2">
        <f t="shared" si="128"/>
        <v>3.8014253603537762</v>
      </c>
      <c r="BI84" s="2">
        <f t="shared" si="128"/>
        <v>3.7416504639677548</v>
      </c>
      <c r="BJ84" s="2">
        <f t="shared" si="128"/>
        <v>3.914621086330734</v>
      </c>
      <c r="BN84" s="2">
        <f t="shared" si="104"/>
        <v>3.3868566157182434</v>
      </c>
      <c r="BU84" s="2"/>
      <c r="BV84" s="2"/>
      <c r="BW84" s="2"/>
      <c r="BX84" s="2"/>
      <c r="BY84" s="2"/>
      <c r="BZ84" s="2"/>
      <c r="CA84" s="2"/>
    </row>
    <row r="85" spans="1:79">
      <c r="A85" s="1" t="s">
        <v>125</v>
      </c>
      <c r="B85" s="54">
        <f t="shared" si="100"/>
        <v>0.39252894522275983</v>
      </c>
      <c r="C85" s="2">
        <f t="shared" ref="C85:T85" si="129">C68*$D13</f>
        <v>0.40115272722834699</v>
      </c>
      <c r="D85" s="2">
        <f t="shared" si="129"/>
        <v>0.43228955191115565</v>
      </c>
      <c r="E85" s="2">
        <f t="shared" si="129"/>
        <v>0.40445016038159048</v>
      </c>
      <c r="F85" s="2">
        <f t="shared" si="129"/>
        <v>0.3993986921397884</v>
      </c>
      <c r="G85" s="2">
        <f t="shared" si="129"/>
        <v>0.42252932597911136</v>
      </c>
      <c r="H85" s="2">
        <f t="shared" si="129"/>
        <v>0.3932769546816271</v>
      </c>
      <c r="I85" s="2">
        <f t="shared" si="129"/>
        <v>0.40228049443378033</v>
      </c>
      <c r="J85" s="2">
        <f t="shared" si="129"/>
        <v>0.40355853584198875</v>
      </c>
      <c r="K85" s="54">
        <f t="shared" si="129"/>
        <v>0.39058543823748787</v>
      </c>
      <c r="L85" s="2">
        <f t="shared" si="129"/>
        <v>0.43566799284592356</v>
      </c>
      <c r="M85" s="2">
        <f t="shared" si="129"/>
        <v>0.41716625453069955</v>
      </c>
      <c r="N85" s="2">
        <f t="shared" si="129"/>
        <v>0.47008393440268598</v>
      </c>
      <c r="O85" s="2">
        <f t="shared" si="129"/>
        <v>0.43188345591574112</v>
      </c>
      <c r="P85" s="2">
        <f t="shared" si="129"/>
        <v>0.40201571946512926</v>
      </c>
      <c r="Q85" s="2">
        <f t="shared" si="129"/>
        <v>0.20804346305477056</v>
      </c>
      <c r="R85" s="2">
        <f t="shared" si="129"/>
        <v>0.48625787891631828</v>
      </c>
      <c r="S85" s="2">
        <f t="shared" si="129"/>
        <v>0.45651161825855296</v>
      </c>
      <c r="T85" s="2">
        <f t="shared" si="129"/>
        <v>0.46492468480353327</v>
      </c>
      <c r="U85" s="2">
        <f t="shared" ref="U85:AI85" si="130">U68*$D13</f>
        <v>0.48116973748590064</v>
      </c>
      <c r="V85" s="2">
        <f t="shared" si="130"/>
        <v>0.4907796296860234</v>
      </c>
      <c r="W85" s="2">
        <f t="shared" si="130"/>
        <v>0.36274408779703743</v>
      </c>
      <c r="X85" s="2">
        <f t="shared" si="130"/>
        <v>0.44188113832417486</v>
      </c>
      <c r="Y85" s="2">
        <f t="shared" si="130"/>
        <v>0.3069255523578116</v>
      </c>
      <c r="Z85" s="2">
        <f t="shared" si="130"/>
        <v>0.3642337240613534</v>
      </c>
      <c r="AA85" s="2">
        <f t="shared" si="130"/>
        <v>0.33390797950120227</v>
      </c>
      <c r="AB85" s="2">
        <f t="shared" si="130"/>
        <v>0.59329259990322358</v>
      </c>
      <c r="AC85" s="2">
        <f t="shared" si="130"/>
        <v>0.7088578417230007</v>
      </c>
      <c r="AD85" s="2">
        <f t="shared" si="130"/>
        <v>0.7237450711929182</v>
      </c>
      <c r="AE85" s="2">
        <f t="shared" si="130"/>
        <v>0.74505986855755046</v>
      </c>
      <c r="AF85" s="2">
        <f t="shared" si="130"/>
        <v>0.75988543012866994</v>
      </c>
      <c r="AG85" s="2">
        <f t="shared" si="130"/>
        <v>0.76196368975324569</v>
      </c>
      <c r="AH85" s="2">
        <f t="shared" si="130"/>
        <v>0.73857906591382527</v>
      </c>
      <c r="AI85" s="2">
        <f t="shared" si="130"/>
        <v>0.74179946436487643</v>
      </c>
      <c r="AJ85" s="2">
        <f t="shared" ref="AJ85:BJ85" si="131">AJ68*$D13</f>
        <v>0.73878952686575827</v>
      </c>
      <c r="AK85" s="2">
        <f t="shared" si="131"/>
        <v>0.70819924288562452</v>
      </c>
      <c r="AL85" s="2">
        <f t="shared" si="131"/>
        <v>0.75541869015896479</v>
      </c>
      <c r="AM85" s="2">
        <f t="shared" si="131"/>
        <v>0.71298139225881418</v>
      </c>
      <c r="AN85" s="2">
        <f t="shared" si="131"/>
        <v>0.72438011544948477</v>
      </c>
      <c r="AO85" s="2">
        <f t="shared" si="131"/>
        <v>0.74910870057566081</v>
      </c>
      <c r="AP85" s="2">
        <f t="shared" si="131"/>
        <v>0.41126905177303613</v>
      </c>
      <c r="AQ85" s="2">
        <f t="shared" si="131"/>
        <v>0.37871182036575035</v>
      </c>
      <c r="AR85" s="2">
        <f t="shared" si="131"/>
        <v>0.42020944839785368</v>
      </c>
      <c r="AS85" s="2">
        <f t="shared" si="131"/>
        <v>0.43440356596345453</v>
      </c>
      <c r="AT85" s="2">
        <f t="shared" si="131"/>
        <v>0.46513401514832403</v>
      </c>
      <c r="AU85" s="2">
        <f t="shared" si="131"/>
        <v>0.33781794251308533</v>
      </c>
      <c r="AV85" s="2">
        <f t="shared" si="131"/>
        <v>0.45107097010243746</v>
      </c>
      <c r="AW85" s="2">
        <f t="shared" si="131"/>
        <v>0.45132125682114788</v>
      </c>
      <c r="AX85" s="2">
        <f t="shared" si="131"/>
        <v>0.29637566754449052</v>
      </c>
      <c r="AY85" s="2">
        <f t="shared" si="131"/>
        <v>0.46798978774673311</v>
      </c>
      <c r="AZ85" s="2">
        <f t="shared" si="131"/>
        <v>0.41971172052957451</v>
      </c>
      <c r="BA85" s="2">
        <f t="shared" si="131"/>
        <v>0.57119370623394328</v>
      </c>
      <c r="BB85" s="2">
        <f t="shared" si="131"/>
        <v>0.57806468092712504</v>
      </c>
      <c r="BC85" s="2">
        <f t="shared" si="131"/>
        <v>0.56173783564198221</v>
      </c>
      <c r="BD85" s="2">
        <f t="shared" si="131"/>
        <v>0.56710409336021317</v>
      </c>
      <c r="BE85" s="2">
        <f t="shared" si="131"/>
        <v>0.56593700758888554</v>
      </c>
      <c r="BF85" s="2">
        <f t="shared" si="131"/>
        <v>0.70336699316796059</v>
      </c>
      <c r="BG85" s="2">
        <f t="shared" si="131"/>
        <v>0.71827960564731408</v>
      </c>
      <c r="BH85" s="2">
        <f t="shared" si="131"/>
        <v>0.66199833005608588</v>
      </c>
      <c r="BI85" s="2">
        <f t="shared" si="131"/>
        <v>0.65925549240225367</v>
      </c>
      <c r="BJ85" s="2">
        <f t="shared" si="131"/>
        <v>0.64451321418253316</v>
      </c>
      <c r="BN85" s="2">
        <f t="shared" si="104"/>
        <v>0.40601549380110263</v>
      </c>
      <c r="BU85" s="2"/>
      <c r="BV85" s="2"/>
      <c r="BW85" s="2"/>
      <c r="BX85" s="2"/>
      <c r="BY85" s="2"/>
      <c r="BZ85" s="2"/>
      <c r="CA85" s="2"/>
    </row>
    <row r="86" spans="1:79">
      <c r="A86" s="1" t="s">
        <v>126</v>
      </c>
      <c r="B86" s="54">
        <f t="shared" si="100"/>
        <v>4.5915978453025898E-2</v>
      </c>
      <c r="C86" s="2">
        <f t="shared" ref="C86:T86" si="132">C69*$D14</f>
        <v>2.6395168088181962E-2</v>
      </c>
      <c r="D86" s="2">
        <f t="shared" si="132"/>
        <v>5.0859986303415712E-2</v>
      </c>
      <c r="E86" s="2">
        <f t="shared" si="132"/>
        <v>4.7863549620377088E-2</v>
      </c>
      <c r="F86" s="2">
        <f t="shared" si="132"/>
        <v>6.4281416474291989E-2</v>
      </c>
      <c r="G86" s="2">
        <f t="shared" si="132"/>
        <v>4.917309601468646E-2</v>
      </c>
      <c r="H86" s="2">
        <f t="shared" si="132"/>
        <v>3.9665406442776573E-2</v>
      </c>
      <c r="I86" s="2">
        <f t="shared" si="132"/>
        <v>4.3176991834024118E-2</v>
      </c>
      <c r="J86" s="2">
        <f t="shared" si="132"/>
        <v>3.0131592860891298E-2</v>
      </c>
      <c r="K86" s="54">
        <f t="shared" si="132"/>
        <v>5.3790401346843375E-2</v>
      </c>
      <c r="L86" s="2">
        <f t="shared" si="132"/>
        <v>2.6230522560541782E-2</v>
      </c>
      <c r="M86" s="2">
        <f t="shared" si="132"/>
        <v>4.1646502184865659E-2</v>
      </c>
      <c r="N86" s="2">
        <f t="shared" si="132"/>
        <v>4.743976141050122E-2</v>
      </c>
      <c r="O86" s="2">
        <f t="shared" si="132"/>
        <v>4.7048340793453165E-2</v>
      </c>
      <c r="P86" s="2">
        <f t="shared" si="132"/>
        <v>0.13992698987998076</v>
      </c>
      <c r="Q86" s="2">
        <f t="shared" si="132"/>
        <v>4.8096157988119087E-2</v>
      </c>
      <c r="R86" s="2">
        <f t="shared" si="132"/>
        <v>0.18967061731620408</v>
      </c>
      <c r="S86" s="2">
        <f t="shared" si="132"/>
        <v>0.19514931765561591</v>
      </c>
      <c r="T86" s="2">
        <f t="shared" si="132"/>
        <v>0.17972362065209022</v>
      </c>
      <c r="U86" s="2">
        <f t="shared" ref="U86:AI86" si="133">U69*$D14</f>
        <v>0.19498020102234223</v>
      </c>
      <c r="V86" s="2">
        <f t="shared" si="133"/>
        <v>0.20567225392846425</v>
      </c>
      <c r="W86" s="2">
        <f t="shared" si="133"/>
        <v>0.13473839835358178</v>
      </c>
      <c r="X86" s="2">
        <f t="shared" si="133"/>
        <v>0.14537514180259559</v>
      </c>
      <c r="Y86" s="2">
        <f t="shared" si="133"/>
        <v>0.12886448208252005</v>
      </c>
      <c r="Z86" s="2">
        <f t="shared" si="133"/>
        <v>0.131242164025308</v>
      </c>
      <c r="AA86" s="2">
        <f t="shared" si="133"/>
        <v>7.5113086850830289E-3</v>
      </c>
      <c r="AB86" s="2">
        <f t="shared" si="133"/>
        <v>1.8768098729790142E-2</v>
      </c>
      <c r="AC86" s="2">
        <f t="shared" si="133"/>
        <v>2.8324883793854286E-2</v>
      </c>
      <c r="AD86" s="2">
        <f t="shared" si="133"/>
        <v>2.6561623486415806E-2</v>
      </c>
      <c r="AE86" s="2">
        <f t="shared" si="133"/>
        <v>2.6601993565606632E-2</v>
      </c>
      <c r="AF86" s="2">
        <f t="shared" si="133"/>
        <v>2.2813309791593916E-2</v>
      </c>
      <c r="AG86" s="2">
        <f t="shared" si="133"/>
        <v>2.6587228489352098E-2</v>
      </c>
      <c r="AH86" s="2">
        <f t="shared" si="133"/>
        <v>2.2516099482807819E-2</v>
      </c>
      <c r="AI86" s="2">
        <f t="shared" si="133"/>
        <v>3.4453513975469287E-2</v>
      </c>
      <c r="AJ86" s="2">
        <f t="shared" ref="AJ86:BJ86" si="134">AJ69*$D14</f>
        <v>2.2786451261043703E-2</v>
      </c>
      <c r="AK86" s="2">
        <f t="shared" si="134"/>
        <v>8.5939501160077744E-2</v>
      </c>
      <c r="AL86" s="2">
        <f t="shared" si="134"/>
        <v>6.1411912553994814E-2</v>
      </c>
      <c r="AM86" s="2">
        <f t="shared" si="134"/>
        <v>7.2173791695224254E-2</v>
      </c>
      <c r="AN86" s="2">
        <f t="shared" si="134"/>
        <v>7.082451025691848E-2</v>
      </c>
      <c r="AO86" s="2">
        <f t="shared" si="134"/>
        <v>5.349311021471128E-2</v>
      </c>
      <c r="AP86" s="2">
        <f t="shared" si="134"/>
        <v>2.494967842457968E-2</v>
      </c>
      <c r="AQ86" s="2">
        <f t="shared" si="134"/>
        <v>3.4502669353125827E-2</v>
      </c>
      <c r="AR86" s="2">
        <f t="shared" si="134"/>
        <v>2.8801112471907916E-2</v>
      </c>
      <c r="AS86" s="2">
        <f t="shared" si="134"/>
        <v>3.0693172402623963E-2</v>
      </c>
      <c r="AT86" s="2">
        <f t="shared" si="134"/>
        <v>7.7481083949913782E-3</v>
      </c>
      <c r="AU86" s="2">
        <f t="shared" si="134"/>
        <v>3.065909907437742E-2</v>
      </c>
      <c r="AV86" s="2">
        <f t="shared" si="134"/>
        <v>2.6981548802247908E-2</v>
      </c>
      <c r="AW86" s="2">
        <f t="shared" si="134"/>
        <v>3.2995746803831549E-2</v>
      </c>
      <c r="AX86" s="2">
        <f t="shared" si="134"/>
        <v>1.3650710868386231E-2</v>
      </c>
      <c r="AY86" s="2">
        <f t="shared" si="134"/>
        <v>1.5493299696413632E-2</v>
      </c>
      <c r="AZ86" s="2">
        <f t="shared" si="134"/>
        <v>3.2602598022211125E-2</v>
      </c>
      <c r="BA86" s="2">
        <f t="shared" si="134"/>
        <v>7.6311828811778115E-3</v>
      </c>
      <c r="BB86" s="2">
        <f t="shared" si="134"/>
        <v>5.7340212292713673E-3</v>
      </c>
      <c r="BC86" s="2">
        <f t="shared" si="134"/>
        <v>7.7406063802673026E-3</v>
      </c>
      <c r="BD86" s="2">
        <f t="shared" si="134"/>
        <v>1.3394943731426273E-2</v>
      </c>
      <c r="BE86" s="2">
        <f t="shared" si="134"/>
        <v>1.7098941052437752E-2</v>
      </c>
      <c r="BF86" s="2">
        <f t="shared" si="134"/>
        <v>1.7500974001981692E-2</v>
      </c>
      <c r="BG86" s="2">
        <f t="shared" si="134"/>
        <v>2.7341408785652364E-2</v>
      </c>
      <c r="BH86" s="2">
        <f t="shared" si="134"/>
        <v>1.5487418917116798E-2</v>
      </c>
      <c r="BI86" s="2">
        <f t="shared" si="134"/>
        <v>9.7697954156568557E-3</v>
      </c>
      <c r="BJ86" s="2">
        <f t="shared" si="134"/>
        <v>2.3343784281810186E-2</v>
      </c>
      <c r="BN86" s="2">
        <f t="shared" si="104"/>
        <v>4.5905537596310629E-2</v>
      </c>
      <c r="BU86" s="2"/>
      <c r="BV86" s="2"/>
      <c r="BW86" s="2"/>
      <c r="BX86" s="2"/>
      <c r="BY86" s="2"/>
      <c r="BZ86" s="2"/>
      <c r="CA86" s="2"/>
    </row>
    <row r="87" spans="1:79">
      <c r="A87" s="1" t="s">
        <v>89</v>
      </c>
      <c r="B87" s="54">
        <f t="shared" ref="B87:T87" si="135">B70*$D16</f>
        <v>0</v>
      </c>
      <c r="C87" s="2">
        <f t="shared" si="135"/>
        <v>0</v>
      </c>
      <c r="D87" s="2">
        <f t="shared" si="135"/>
        <v>0</v>
      </c>
      <c r="E87" s="2">
        <f t="shared" si="135"/>
        <v>0</v>
      </c>
      <c r="F87" s="2">
        <f t="shared" si="135"/>
        <v>0</v>
      </c>
      <c r="G87" s="2">
        <f t="shared" si="135"/>
        <v>0</v>
      </c>
      <c r="H87" s="2">
        <f t="shared" si="135"/>
        <v>0</v>
      </c>
      <c r="I87" s="2">
        <f t="shared" si="135"/>
        <v>0</v>
      </c>
      <c r="J87" s="2">
        <f t="shared" si="135"/>
        <v>0</v>
      </c>
      <c r="K87" s="54">
        <f t="shared" si="135"/>
        <v>0</v>
      </c>
      <c r="L87" s="2">
        <f t="shared" si="135"/>
        <v>0</v>
      </c>
      <c r="M87" s="2">
        <f t="shared" si="135"/>
        <v>0</v>
      </c>
      <c r="N87" s="2">
        <f t="shared" si="135"/>
        <v>0</v>
      </c>
      <c r="O87" s="2">
        <f t="shared" si="135"/>
        <v>0</v>
      </c>
      <c r="P87" s="2">
        <f t="shared" si="135"/>
        <v>0</v>
      </c>
      <c r="Q87" s="2">
        <f t="shared" si="135"/>
        <v>0</v>
      </c>
      <c r="R87" s="2">
        <f t="shared" si="135"/>
        <v>0</v>
      </c>
      <c r="S87" s="2">
        <f t="shared" si="135"/>
        <v>0</v>
      </c>
      <c r="T87" s="2">
        <f t="shared" si="135"/>
        <v>0</v>
      </c>
      <c r="U87" s="2">
        <f t="shared" ref="U87:AI87" si="136">U70*$D16</f>
        <v>0</v>
      </c>
      <c r="V87" s="2">
        <f t="shared" si="136"/>
        <v>0</v>
      </c>
      <c r="W87" s="2">
        <f t="shared" si="136"/>
        <v>0</v>
      </c>
      <c r="X87" s="2">
        <f t="shared" si="136"/>
        <v>0</v>
      </c>
      <c r="Y87" s="2">
        <f t="shared" si="136"/>
        <v>0</v>
      </c>
      <c r="Z87" s="2">
        <f t="shared" si="136"/>
        <v>0</v>
      </c>
      <c r="AA87" s="2">
        <f t="shared" si="136"/>
        <v>0</v>
      </c>
      <c r="AB87" s="2">
        <f t="shared" si="136"/>
        <v>0</v>
      </c>
      <c r="AC87" s="2">
        <f t="shared" si="136"/>
        <v>0</v>
      </c>
      <c r="AD87" s="2">
        <f t="shared" si="136"/>
        <v>0</v>
      </c>
      <c r="AE87" s="2">
        <f t="shared" si="136"/>
        <v>0</v>
      </c>
      <c r="AF87" s="2">
        <f t="shared" si="136"/>
        <v>0</v>
      </c>
      <c r="AG87" s="2">
        <f t="shared" si="136"/>
        <v>0</v>
      </c>
      <c r="AH87" s="2">
        <f t="shared" si="136"/>
        <v>0</v>
      </c>
      <c r="AI87" s="2">
        <f t="shared" si="136"/>
        <v>0</v>
      </c>
      <c r="AJ87" s="2">
        <f t="shared" ref="AJ87:BJ87" si="137">AJ70*$D16</f>
        <v>0</v>
      </c>
      <c r="AK87" s="2">
        <f t="shared" si="137"/>
        <v>0</v>
      </c>
      <c r="AL87" s="2">
        <f t="shared" si="137"/>
        <v>0</v>
      </c>
      <c r="AM87" s="2">
        <f t="shared" si="137"/>
        <v>0</v>
      </c>
      <c r="AN87" s="2">
        <f t="shared" si="137"/>
        <v>0</v>
      </c>
      <c r="AO87" s="2">
        <f t="shared" si="137"/>
        <v>0</v>
      </c>
      <c r="AP87" s="2">
        <f t="shared" si="137"/>
        <v>0</v>
      </c>
      <c r="AQ87" s="2">
        <f t="shared" si="137"/>
        <v>0</v>
      </c>
      <c r="AR87" s="2">
        <f t="shared" si="137"/>
        <v>0</v>
      </c>
      <c r="AS87" s="2">
        <f t="shared" si="137"/>
        <v>0</v>
      </c>
      <c r="AT87" s="2">
        <f t="shared" si="137"/>
        <v>0</v>
      </c>
      <c r="AU87" s="2">
        <f t="shared" si="137"/>
        <v>0</v>
      </c>
      <c r="AV87" s="2">
        <f t="shared" si="137"/>
        <v>0</v>
      </c>
      <c r="AW87" s="2">
        <f t="shared" si="137"/>
        <v>0</v>
      </c>
      <c r="AX87" s="2">
        <f t="shared" si="137"/>
        <v>0</v>
      </c>
      <c r="AY87" s="2">
        <f t="shared" si="137"/>
        <v>0</v>
      </c>
      <c r="AZ87" s="2">
        <f t="shared" si="137"/>
        <v>0</v>
      </c>
      <c r="BA87" s="2">
        <f t="shared" si="137"/>
        <v>0</v>
      </c>
      <c r="BB87" s="2">
        <f t="shared" si="137"/>
        <v>0</v>
      </c>
      <c r="BC87" s="2">
        <f t="shared" si="137"/>
        <v>0</v>
      </c>
      <c r="BD87" s="2">
        <f t="shared" si="137"/>
        <v>0</v>
      </c>
      <c r="BE87" s="2">
        <f t="shared" si="137"/>
        <v>0</v>
      </c>
      <c r="BF87" s="2">
        <f t="shared" si="137"/>
        <v>0</v>
      </c>
      <c r="BG87" s="2">
        <f t="shared" si="137"/>
        <v>0</v>
      </c>
      <c r="BH87" s="2">
        <f t="shared" si="137"/>
        <v>0</v>
      </c>
      <c r="BI87" s="2">
        <f t="shared" si="137"/>
        <v>0</v>
      </c>
      <c r="BJ87" s="2">
        <f t="shared" si="137"/>
        <v>0</v>
      </c>
      <c r="BN87" s="2">
        <f>BN70*$D16</f>
        <v>0</v>
      </c>
      <c r="BU87" s="2"/>
      <c r="BV87" s="2"/>
      <c r="BW87" s="2"/>
      <c r="BX87" s="2"/>
      <c r="BY87" s="2"/>
      <c r="BZ87" s="2"/>
      <c r="CA87" s="2"/>
    </row>
    <row r="88" spans="1:79">
      <c r="A88" s="1" t="s">
        <v>86</v>
      </c>
      <c r="B88" s="54">
        <f t="shared" ref="B88:T88" si="138">B71*$D17</f>
        <v>0</v>
      </c>
      <c r="C88" s="2">
        <f t="shared" si="138"/>
        <v>0</v>
      </c>
      <c r="D88" s="2">
        <f t="shared" si="138"/>
        <v>0</v>
      </c>
      <c r="E88" s="2">
        <f t="shared" si="138"/>
        <v>0</v>
      </c>
      <c r="F88" s="2">
        <f t="shared" si="138"/>
        <v>0</v>
      </c>
      <c r="G88" s="2">
        <f t="shared" si="138"/>
        <v>0</v>
      </c>
      <c r="H88" s="2">
        <f t="shared" si="138"/>
        <v>0</v>
      </c>
      <c r="I88" s="2">
        <f t="shared" si="138"/>
        <v>0</v>
      </c>
      <c r="J88" s="2">
        <f t="shared" si="138"/>
        <v>0</v>
      </c>
      <c r="K88" s="54">
        <f t="shared" si="138"/>
        <v>0</v>
      </c>
      <c r="L88" s="2">
        <f t="shared" si="138"/>
        <v>0</v>
      </c>
      <c r="M88" s="2">
        <f t="shared" si="138"/>
        <v>0</v>
      </c>
      <c r="N88" s="2">
        <f t="shared" si="138"/>
        <v>0</v>
      </c>
      <c r="O88" s="2">
        <f t="shared" si="138"/>
        <v>0</v>
      </c>
      <c r="P88" s="2">
        <f t="shared" si="138"/>
        <v>0</v>
      </c>
      <c r="Q88" s="2">
        <f t="shared" si="138"/>
        <v>0</v>
      </c>
      <c r="R88" s="2">
        <f t="shared" si="138"/>
        <v>0</v>
      </c>
      <c r="S88" s="2">
        <f t="shared" si="138"/>
        <v>0</v>
      </c>
      <c r="T88" s="2">
        <f t="shared" si="138"/>
        <v>0</v>
      </c>
      <c r="U88" s="2">
        <f t="shared" ref="U88:AI88" si="139">U71*$D17</f>
        <v>0</v>
      </c>
      <c r="V88" s="2">
        <f t="shared" si="139"/>
        <v>0</v>
      </c>
      <c r="W88" s="2">
        <f t="shared" si="139"/>
        <v>0</v>
      </c>
      <c r="X88" s="2">
        <f t="shared" si="139"/>
        <v>0</v>
      </c>
      <c r="Y88" s="2">
        <f t="shared" si="139"/>
        <v>0</v>
      </c>
      <c r="Z88" s="2">
        <f t="shared" si="139"/>
        <v>0</v>
      </c>
      <c r="AA88" s="2">
        <f t="shared" si="139"/>
        <v>0</v>
      </c>
      <c r="AB88" s="2">
        <f t="shared" si="139"/>
        <v>0</v>
      </c>
      <c r="AC88" s="2">
        <f t="shared" si="139"/>
        <v>0</v>
      </c>
      <c r="AD88" s="2">
        <f t="shared" si="139"/>
        <v>0</v>
      </c>
      <c r="AE88" s="2">
        <f t="shared" si="139"/>
        <v>0</v>
      </c>
      <c r="AF88" s="2">
        <f t="shared" si="139"/>
        <v>0</v>
      </c>
      <c r="AG88" s="2">
        <f t="shared" si="139"/>
        <v>0</v>
      </c>
      <c r="AH88" s="2">
        <f t="shared" si="139"/>
        <v>0</v>
      </c>
      <c r="AI88" s="2">
        <f t="shared" si="139"/>
        <v>0</v>
      </c>
      <c r="AJ88" s="2">
        <f t="shared" ref="AJ88:BJ88" si="140">AJ71*$D17</f>
        <v>0</v>
      </c>
      <c r="AK88" s="2">
        <f t="shared" si="140"/>
        <v>0</v>
      </c>
      <c r="AL88" s="2">
        <f t="shared" si="140"/>
        <v>0</v>
      </c>
      <c r="AM88" s="2">
        <f t="shared" si="140"/>
        <v>0</v>
      </c>
      <c r="AN88" s="2">
        <f t="shared" si="140"/>
        <v>0</v>
      </c>
      <c r="AO88" s="2">
        <f t="shared" si="140"/>
        <v>0</v>
      </c>
      <c r="AP88" s="2">
        <f t="shared" si="140"/>
        <v>0</v>
      </c>
      <c r="AQ88" s="2">
        <f t="shared" si="140"/>
        <v>0</v>
      </c>
      <c r="AR88" s="2">
        <f t="shared" si="140"/>
        <v>0</v>
      </c>
      <c r="AS88" s="2">
        <f t="shared" si="140"/>
        <v>0</v>
      </c>
      <c r="AT88" s="2">
        <f t="shared" si="140"/>
        <v>0</v>
      </c>
      <c r="AU88" s="2">
        <f t="shared" si="140"/>
        <v>0</v>
      </c>
      <c r="AV88" s="2">
        <f t="shared" si="140"/>
        <v>0</v>
      </c>
      <c r="AW88" s="2">
        <f t="shared" si="140"/>
        <v>0</v>
      </c>
      <c r="AX88" s="2">
        <f t="shared" si="140"/>
        <v>0</v>
      </c>
      <c r="AY88" s="2">
        <f t="shared" si="140"/>
        <v>0</v>
      </c>
      <c r="AZ88" s="2">
        <f t="shared" si="140"/>
        <v>0</v>
      </c>
      <c r="BA88" s="2">
        <f t="shared" si="140"/>
        <v>0</v>
      </c>
      <c r="BB88" s="2">
        <f t="shared" si="140"/>
        <v>0</v>
      </c>
      <c r="BC88" s="2">
        <f t="shared" si="140"/>
        <v>0</v>
      </c>
      <c r="BD88" s="2">
        <f t="shared" si="140"/>
        <v>0</v>
      </c>
      <c r="BE88" s="2">
        <f t="shared" si="140"/>
        <v>0</v>
      </c>
      <c r="BF88" s="2">
        <f t="shared" si="140"/>
        <v>0</v>
      </c>
      <c r="BG88" s="2">
        <f t="shared" si="140"/>
        <v>0</v>
      </c>
      <c r="BH88" s="2">
        <f t="shared" si="140"/>
        <v>0</v>
      </c>
      <c r="BI88" s="2">
        <f t="shared" si="140"/>
        <v>0</v>
      </c>
      <c r="BJ88" s="2">
        <f t="shared" si="140"/>
        <v>0</v>
      </c>
      <c r="BN88" s="2">
        <f>BN71*$D17</f>
        <v>0</v>
      </c>
      <c r="BU88" s="2"/>
      <c r="BV88" s="2"/>
      <c r="BW88" s="2"/>
      <c r="BX88" s="2"/>
      <c r="BY88" s="2"/>
      <c r="BZ88" s="2"/>
      <c r="CA88" s="2"/>
    </row>
    <row r="89" spans="1:79">
      <c r="A89" s="1" t="s">
        <v>87</v>
      </c>
      <c r="B89" s="54">
        <f t="shared" ref="B89:T89" si="141">B72*$D18</f>
        <v>0</v>
      </c>
      <c r="C89" s="2">
        <f t="shared" si="141"/>
        <v>0</v>
      </c>
      <c r="D89" s="2">
        <f t="shared" si="141"/>
        <v>0</v>
      </c>
      <c r="E89" s="2">
        <f t="shared" si="141"/>
        <v>0</v>
      </c>
      <c r="F89" s="2">
        <f t="shared" si="141"/>
        <v>0</v>
      </c>
      <c r="G89" s="2">
        <f t="shared" si="141"/>
        <v>0</v>
      </c>
      <c r="H89" s="2">
        <f t="shared" si="141"/>
        <v>0</v>
      </c>
      <c r="I89" s="2">
        <f t="shared" si="141"/>
        <v>0</v>
      </c>
      <c r="J89" s="2">
        <f t="shared" si="141"/>
        <v>0</v>
      </c>
      <c r="K89" s="54">
        <f t="shared" si="141"/>
        <v>0</v>
      </c>
      <c r="L89" s="2">
        <f t="shared" si="141"/>
        <v>0</v>
      </c>
      <c r="M89" s="2">
        <f t="shared" si="141"/>
        <v>0</v>
      </c>
      <c r="N89" s="2">
        <f t="shared" si="141"/>
        <v>0</v>
      </c>
      <c r="O89" s="2">
        <f t="shared" si="141"/>
        <v>0</v>
      </c>
      <c r="P89" s="2">
        <f t="shared" si="141"/>
        <v>0</v>
      </c>
      <c r="Q89" s="2">
        <f t="shared" si="141"/>
        <v>0</v>
      </c>
      <c r="R89" s="2">
        <f t="shared" si="141"/>
        <v>0</v>
      </c>
      <c r="S89" s="2">
        <f t="shared" si="141"/>
        <v>0</v>
      </c>
      <c r="T89" s="2">
        <f t="shared" si="141"/>
        <v>0</v>
      </c>
      <c r="U89" s="2">
        <f t="shared" ref="U89:AI89" si="142">U72*$D18</f>
        <v>0</v>
      </c>
      <c r="V89" s="2">
        <f t="shared" si="142"/>
        <v>0</v>
      </c>
      <c r="W89" s="2">
        <f t="shared" si="142"/>
        <v>0</v>
      </c>
      <c r="X89" s="2">
        <f t="shared" si="142"/>
        <v>0</v>
      </c>
      <c r="Y89" s="2">
        <f t="shared" si="142"/>
        <v>0</v>
      </c>
      <c r="Z89" s="2">
        <f t="shared" si="142"/>
        <v>0</v>
      </c>
      <c r="AA89" s="2">
        <f t="shared" si="142"/>
        <v>0</v>
      </c>
      <c r="AB89" s="2">
        <f t="shared" si="142"/>
        <v>0</v>
      </c>
      <c r="AC89" s="2">
        <f t="shared" si="142"/>
        <v>0</v>
      </c>
      <c r="AD89" s="2">
        <f t="shared" si="142"/>
        <v>0</v>
      </c>
      <c r="AE89" s="2">
        <f t="shared" si="142"/>
        <v>0</v>
      </c>
      <c r="AF89" s="2">
        <f t="shared" si="142"/>
        <v>0</v>
      </c>
      <c r="AG89" s="2">
        <f t="shared" si="142"/>
        <v>0</v>
      </c>
      <c r="AH89" s="2">
        <f t="shared" si="142"/>
        <v>0</v>
      </c>
      <c r="AI89" s="2">
        <f t="shared" si="142"/>
        <v>0</v>
      </c>
      <c r="AJ89" s="2">
        <f t="shared" ref="AJ89:BJ89" si="143">AJ72*$D18</f>
        <v>0</v>
      </c>
      <c r="AK89" s="2">
        <f t="shared" si="143"/>
        <v>0</v>
      </c>
      <c r="AL89" s="2">
        <f t="shared" si="143"/>
        <v>0</v>
      </c>
      <c r="AM89" s="2">
        <f t="shared" si="143"/>
        <v>0</v>
      </c>
      <c r="AN89" s="2">
        <f t="shared" si="143"/>
        <v>0</v>
      </c>
      <c r="AO89" s="2">
        <f t="shared" si="143"/>
        <v>0</v>
      </c>
      <c r="AP89" s="2">
        <f t="shared" si="143"/>
        <v>0</v>
      </c>
      <c r="AQ89" s="2">
        <f t="shared" si="143"/>
        <v>0</v>
      </c>
      <c r="AR89" s="2">
        <f t="shared" si="143"/>
        <v>0</v>
      </c>
      <c r="AS89" s="2">
        <f t="shared" si="143"/>
        <v>0</v>
      </c>
      <c r="AT89" s="2">
        <f t="shared" si="143"/>
        <v>0</v>
      </c>
      <c r="AU89" s="2">
        <f t="shared" si="143"/>
        <v>0</v>
      </c>
      <c r="AV89" s="2">
        <f t="shared" si="143"/>
        <v>0</v>
      </c>
      <c r="AW89" s="2">
        <f t="shared" si="143"/>
        <v>0</v>
      </c>
      <c r="AX89" s="2">
        <f t="shared" si="143"/>
        <v>0</v>
      </c>
      <c r="AY89" s="2">
        <f t="shared" si="143"/>
        <v>0</v>
      </c>
      <c r="AZ89" s="2">
        <f t="shared" si="143"/>
        <v>0</v>
      </c>
      <c r="BA89" s="2">
        <f t="shared" si="143"/>
        <v>0</v>
      </c>
      <c r="BB89" s="2">
        <f t="shared" si="143"/>
        <v>0</v>
      </c>
      <c r="BC89" s="2">
        <f t="shared" si="143"/>
        <v>0</v>
      </c>
      <c r="BD89" s="2">
        <f t="shared" si="143"/>
        <v>0</v>
      </c>
      <c r="BE89" s="2">
        <f t="shared" si="143"/>
        <v>0</v>
      </c>
      <c r="BF89" s="2">
        <f t="shared" si="143"/>
        <v>0</v>
      </c>
      <c r="BG89" s="2">
        <f t="shared" si="143"/>
        <v>0</v>
      </c>
      <c r="BH89" s="2">
        <f t="shared" si="143"/>
        <v>0</v>
      </c>
      <c r="BI89" s="2">
        <f t="shared" si="143"/>
        <v>0</v>
      </c>
      <c r="BJ89" s="2">
        <f t="shared" si="143"/>
        <v>0</v>
      </c>
      <c r="BN89" s="2">
        <f>BN72*$D18</f>
        <v>0</v>
      </c>
      <c r="BU89" s="2"/>
      <c r="BV89" s="2"/>
      <c r="BW89" s="2"/>
      <c r="BX89" s="2"/>
      <c r="BY89" s="2"/>
      <c r="BZ89" s="2"/>
      <c r="CA89" s="2"/>
    </row>
    <row r="90" spans="1:79">
      <c r="A90" s="1" t="s">
        <v>115</v>
      </c>
      <c r="B90" s="54">
        <f t="shared" ref="B90:T90" si="144">SUM(B76:B86)</f>
        <v>46.164206457104875</v>
      </c>
      <c r="C90" s="2">
        <f t="shared" si="144"/>
        <v>45.874933552775254</v>
      </c>
      <c r="D90" s="2">
        <f t="shared" si="144"/>
        <v>45.948495046754964</v>
      </c>
      <c r="E90" s="2">
        <f t="shared" si="144"/>
        <v>45.83857207607447</v>
      </c>
      <c r="F90" s="2">
        <f t="shared" si="144"/>
        <v>45.935733951318348</v>
      </c>
      <c r="G90" s="2">
        <f t="shared" si="144"/>
        <v>45.800572473812537</v>
      </c>
      <c r="H90" s="2">
        <f t="shared" si="144"/>
        <v>45.903920330981997</v>
      </c>
      <c r="I90" s="2">
        <f t="shared" si="144"/>
        <v>45.913125442029269</v>
      </c>
      <c r="J90" s="2">
        <f t="shared" si="144"/>
        <v>46.008898110574009</v>
      </c>
      <c r="K90" s="54">
        <f t="shared" si="144"/>
        <v>46.058936742383459</v>
      </c>
      <c r="L90" s="2">
        <f t="shared" si="144"/>
        <v>45.973278904290318</v>
      </c>
      <c r="M90" s="2">
        <f t="shared" si="144"/>
        <v>45.934037950025839</v>
      </c>
      <c r="N90" s="2">
        <f t="shared" si="144"/>
        <v>46.302441430969957</v>
      </c>
      <c r="O90" s="2">
        <f t="shared" si="144"/>
        <v>45.860287904603119</v>
      </c>
      <c r="P90" s="2">
        <f t="shared" si="144"/>
        <v>45.977227414326116</v>
      </c>
      <c r="Q90" s="2">
        <f t="shared" si="144"/>
        <v>45.916248374510623</v>
      </c>
      <c r="R90" s="2">
        <f t="shared" si="144"/>
        <v>45.949233977764564</v>
      </c>
      <c r="S90" s="2">
        <f t="shared" si="144"/>
        <v>45.913679810149027</v>
      </c>
      <c r="T90" s="2">
        <f t="shared" si="144"/>
        <v>45.783103746625571</v>
      </c>
      <c r="U90" s="2">
        <f t="shared" ref="U90:AI90" si="145">SUM(U76:U86)</f>
        <v>45.882836726067495</v>
      </c>
      <c r="V90" s="2">
        <f t="shared" si="145"/>
        <v>45.897626163967317</v>
      </c>
      <c r="W90" s="2">
        <f t="shared" si="145"/>
        <v>45.930764509772146</v>
      </c>
      <c r="X90" s="2">
        <f t="shared" si="145"/>
        <v>45.864361785157136</v>
      </c>
      <c r="Y90" s="2">
        <f t="shared" si="145"/>
        <v>45.792373274624516</v>
      </c>
      <c r="Z90" s="2">
        <f t="shared" si="145"/>
        <v>45.866628508273465</v>
      </c>
      <c r="AA90" s="2">
        <f t="shared" si="145"/>
        <v>46.028740480230518</v>
      </c>
      <c r="AB90" s="2">
        <f t="shared" si="145"/>
        <v>46.074511431595944</v>
      </c>
      <c r="AC90" s="2">
        <f t="shared" si="145"/>
        <v>46.366309410308595</v>
      </c>
      <c r="AD90" s="2">
        <f t="shared" si="145"/>
        <v>46.235798597416867</v>
      </c>
      <c r="AE90" s="2">
        <f t="shared" si="145"/>
        <v>46.213314411310122</v>
      </c>
      <c r="AF90" s="2">
        <f t="shared" si="145"/>
        <v>46.288200241809342</v>
      </c>
      <c r="AG90" s="2">
        <f t="shared" si="145"/>
        <v>46.278399039806224</v>
      </c>
      <c r="AH90" s="2">
        <f t="shared" si="145"/>
        <v>46.290278602448844</v>
      </c>
      <c r="AI90" s="2">
        <f t="shared" si="145"/>
        <v>46.288776038980259</v>
      </c>
      <c r="AJ90" s="2">
        <f t="shared" ref="AJ90:BJ90" si="146">SUM(AJ76:AJ86)</f>
        <v>46.32847166371652</v>
      </c>
      <c r="AK90" s="2">
        <f t="shared" si="146"/>
        <v>46.402862858692671</v>
      </c>
      <c r="AL90" s="2">
        <f t="shared" si="146"/>
        <v>46.466585636895495</v>
      </c>
      <c r="AM90" s="2">
        <f t="shared" si="146"/>
        <v>46.421349210590506</v>
      </c>
      <c r="AN90" s="2">
        <f t="shared" si="146"/>
        <v>46.483808844369818</v>
      </c>
      <c r="AO90" s="2">
        <f t="shared" si="146"/>
        <v>46.487702839624639</v>
      </c>
      <c r="AP90" s="2">
        <f t="shared" si="146"/>
        <v>45.750634541868592</v>
      </c>
      <c r="AQ90" s="2">
        <f t="shared" si="146"/>
        <v>45.857370972661251</v>
      </c>
      <c r="AR90" s="2">
        <f t="shared" si="146"/>
        <v>45.79035050786365</v>
      </c>
      <c r="AS90" s="2">
        <f t="shared" si="146"/>
        <v>45.765215468753794</v>
      </c>
      <c r="AT90" s="2">
        <f t="shared" si="146"/>
        <v>45.84567312548905</v>
      </c>
      <c r="AU90" s="2">
        <f t="shared" si="146"/>
        <v>45.775069116480388</v>
      </c>
      <c r="AV90" s="2">
        <f t="shared" si="146"/>
        <v>45.842906283787194</v>
      </c>
      <c r="AW90" s="2">
        <f t="shared" si="146"/>
        <v>45.694520254892282</v>
      </c>
      <c r="AX90" s="2">
        <f t="shared" si="146"/>
        <v>45.873780673056856</v>
      </c>
      <c r="AY90" s="2">
        <f t="shared" si="146"/>
        <v>45.874997040066447</v>
      </c>
      <c r="AZ90" s="2">
        <f t="shared" si="146"/>
        <v>45.805941415350077</v>
      </c>
      <c r="BA90" s="2">
        <f t="shared" si="146"/>
        <v>45.879642496726838</v>
      </c>
      <c r="BB90" s="2">
        <f t="shared" si="146"/>
        <v>45.925210228462106</v>
      </c>
      <c r="BC90" s="2">
        <f t="shared" si="146"/>
        <v>45.729900941305807</v>
      </c>
      <c r="BD90" s="2">
        <f t="shared" si="146"/>
        <v>45.87008714739018</v>
      </c>
      <c r="BE90" s="2">
        <f t="shared" si="146"/>
        <v>45.75893510529319</v>
      </c>
      <c r="BF90" s="2">
        <f t="shared" si="146"/>
        <v>46.050467034245159</v>
      </c>
      <c r="BG90" s="2">
        <f t="shared" si="146"/>
        <v>46.015562839668057</v>
      </c>
      <c r="BH90" s="2">
        <f t="shared" si="146"/>
        <v>46.062024431876424</v>
      </c>
      <c r="BI90" s="2">
        <f t="shared" si="146"/>
        <v>46.022807345540947</v>
      </c>
      <c r="BJ90" s="2">
        <f t="shared" si="146"/>
        <v>45.978025029736571</v>
      </c>
      <c r="BN90" s="2">
        <f>SUM(BN76:BN86)</f>
        <v>45.922209666973977</v>
      </c>
      <c r="BU90" s="2"/>
      <c r="BV90" s="2"/>
      <c r="BW90" s="2"/>
      <c r="BX90" s="2"/>
      <c r="BY90" s="2"/>
      <c r="BZ90" s="2"/>
      <c r="CA90" s="2"/>
    </row>
    <row r="91" spans="1:79">
      <c r="BU91" s="2"/>
      <c r="BV91" s="2"/>
      <c r="BW91" s="2"/>
      <c r="BX91" s="2"/>
      <c r="BY91" s="2"/>
      <c r="BZ91" s="2"/>
      <c r="CA91" s="2"/>
    </row>
    <row r="92" spans="1:79">
      <c r="A92" s="1" t="s">
        <v>128</v>
      </c>
      <c r="B92" s="54">
        <f t="shared" ref="B92:T92" si="147">46-B90</f>
        <v>-0.16420645710487491</v>
      </c>
      <c r="C92" s="2">
        <f t="shared" si="147"/>
        <v>0.12506644722474647</v>
      </c>
      <c r="D92" s="2">
        <f t="shared" si="147"/>
        <v>5.1504953245036234E-2</v>
      </c>
      <c r="E92" s="2">
        <f t="shared" si="147"/>
        <v>0.16142792392552963</v>
      </c>
      <c r="F92" s="2">
        <f t="shared" si="147"/>
        <v>6.4266048681652421E-2</v>
      </c>
      <c r="G92" s="2">
        <f t="shared" si="147"/>
        <v>0.1994275261874634</v>
      </c>
      <c r="H92" s="2">
        <f t="shared" si="147"/>
        <v>9.6079669018003244E-2</v>
      </c>
      <c r="I92" s="2">
        <f t="shared" si="147"/>
        <v>8.6874557970730848E-2</v>
      </c>
      <c r="J92" s="2">
        <f t="shared" si="147"/>
        <v>-8.8981105740089106E-3</v>
      </c>
      <c r="K92" s="54">
        <f t="shared" si="147"/>
        <v>-5.8936742383458807E-2</v>
      </c>
      <c r="L92" s="2">
        <f t="shared" si="147"/>
        <v>2.6721095709682174E-2</v>
      </c>
      <c r="M92" s="2">
        <f t="shared" si="147"/>
        <v>6.5962049974160664E-2</v>
      </c>
      <c r="N92" s="2">
        <f t="shared" si="147"/>
        <v>-0.30244143096995657</v>
      </c>
      <c r="O92" s="2">
        <f t="shared" si="147"/>
        <v>0.1397120953968809</v>
      </c>
      <c r="P92" s="2">
        <f t="shared" si="147"/>
        <v>2.2772585673884294E-2</v>
      </c>
      <c r="Q92" s="2">
        <f t="shared" si="147"/>
        <v>8.3751625489377091E-2</v>
      </c>
      <c r="R92" s="2">
        <f t="shared" si="147"/>
        <v>5.0766022235436026E-2</v>
      </c>
      <c r="S92" s="2">
        <f t="shared" si="147"/>
        <v>8.6320189850972895E-2</v>
      </c>
      <c r="T92" s="2">
        <f t="shared" si="147"/>
        <v>0.21689625337442919</v>
      </c>
      <c r="U92" s="2">
        <f t="shared" ref="U92:AI92" si="148">46-U90</f>
        <v>0.11716327393250481</v>
      </c>
      <c r="V92" s="2">
        <f t="shared" si="148"/>
        <v>0.10237383603268313</v>
      </c>
      <c r="W92" s="2">
        <f t="shared" si="148"/>
        <v>6.9235490227853802E-2</v>
      </c>
      <c r="X92" s="2">
        <f t="shared" si="148"/>
        <v>0.13563821484286365</v>
      </c>
      <c r="Y92" s="2">
        <f t="shared" si="148"/>
        <v>0.20762672537548355</v>
      </c>
      <c r="Z92" s="2">
        <f t="shared" si="148"/>
        <v>0.1333714917265354</v>
      </c>
      <c r="AA92" s="2">
        <f t="shared" si="148"/>
        <v>-2.8740480230517562E-2</v>
      </c>
      <c r="AB92" s="2">
        <f t="shared" si="148"/>
        <v>-7.4511431595944089E-2</v>
      </c>
      <c r="AC92" s="2">
        <f t="shared" si="148"/>
        <v>-0.36630941030859532</v>
      </c>
      <c r="AD92" s="2">
        <f t="shared" si="148"/>
        <v>-0.23579859741686704</v>
      </c>
      <c r="AE92" s="2">
        <f t="shared" si="148"/>
        <v>-0.21331441131012241</v>
      </c>
      <c r="AF92" s="2">
        <f t="shared" si="148"/>
        <v>-0.28820024180934212</v>
      </c>
      <c r="AG92" s="2">
        <f t="shared" si="148"/>
        <v>-0.27839903980622438</v>
      </c>
      <c r="AH92" s="2">
        <f t="shared" si="148"/>
        <v>-0.29027860244884351</v>
      </c>
      <c r="AI92" s="2">
        <f t="shared" si="148"/>
        <v>-0.28877603898025939</v>
      </c>
      <c r="AJ92" s="2">
        <f t="shared" ref="AJ92:BJ92" si="149">46-AJ90</f>
        <v>-0.32847166371652037</v>
      </c>
      <c r="AK92" s="2">
        <f t="shared" si="149"/>
        <v>-0.40286285869267147</v>
      </c>
      <c r="AL92" s="2">
        <f t="shared" si="149"/>
        <v>-0.46658563689549482</v>
      </c>
      <c r="AM92" s="2">
        <f t="shared" si="149"/>
        <v>-0.42134921059050612</v>
      </c>
      <c r="AN92" s="2">
        <f t="shared" si="149"/>
        <v>-0.4838088443698183</v>
      </c>
      <c r="AO92" s="2">
        <f t="shared" si="149"/>
        <v>-0.48770283962463878</v>
      </c>
      <c r="AP92" s="2">
        <f t="shared" si="149"/>
        <v>0.24936545813140754</v>
      </c>
      <c r="AQ92" s="2">
        <f t="shared" si="149"/>
        <v>0.14262902733874938</v>
      </c>
      <c r="AR92" s="2">
        <f t="shared" si="149"/>
        <v>0.20964949213635009</v>
      </c>
      <c r="AS92" s="2">
        <f t="shared" si="149"/>
        <v>0.23478453124620557</v>
      </c>
      <c r="AT92" s="2">
        <f t="shared" si="149"/>
        <v>0.15432687451095006</v>
      </c>
      <c r="AU92" s="2">
        <f t="shared" si="149"/>
        <v>0.22493088351961177</v>
      </c>
      <c r="AV92" s="2">
        <f t="shared" si="149"/>
        <v>0.1570937162128061</v>
      </c>
      <c r="AW92" s="2">
        <f t="shared" si="149"/>
        <v>0.3054797451077178</v>
      </c>
      <c r="AX92" s="2">
        <f t="shared" si="149"/>
        <v>0.12621932694314353</v>
      </c>
      <c r="AY92" s="2">
        <f t="shared" si="149"/>
        <v>0.12500295993355337</v>
      </c>
      <c r="AZ92" s="2">
        <f t="shared" si="149"/>
        <v>0.1940585846499232</v>
      </c>
      <c r="BA92" s="2">
        <f t="shared" si="149"/>
        <v>0.12035750327316208</v>
      </c>
      <c r="BB92" s="2">
        <f t="shared" si="149"/>
        <v>7.4789771537894012E-2</v>
      </c>
      <c r="BC92" s="2">
        <f t="shared" si="149"/>
        <v>0.27009905869419271</v>
      </c>
      <c r="BD92" s="2">
        <f t="shared" si="149"/>
        <v>0.12991285260982011</v>
      </c>
      <c r="BE92" s="2">
        <f t="shared" si="149"/>
        <v>0.2410648947068097</v>
      </c>
      <c r="BF92" s="2">
        <f t="shared" si="149"/>
        <v>-5.046703424515897E-2</v>
      </c>
      <c r="BG92" s="2">
        <f t="shared" si="149"/>
        <v>-1.5562839668056938E-2</v>
      </c>
      <c r="BH92" s="2">
        <f t="shared" si="149"/>
        <v>-6.2024431876423591E-2</v>
      </c>
      <c r="BI92" s="2">
        <f t="shared" si="149"/>
        <v>-2.280734554094721E-2</v>
      </c>
      <c r="BJ92" s="2">
        <f t="shared" si="149"/>
        <v>2.1974970263428872E-2</v>
      </c>
      <c r="BN92" s="2">
        <f>46-BN90</f>
        <v>7.7790333026023006E-2</v>
      </c>
      <c r="BU92" s="2"/>
      <c r="BV92" s="2"/>
      <c r="BW92" s="2"/>
      <c r="BX92" s="2"/>
      <c r="BY92" s="2"/>
      <c r="BZ92" s="2"/>
      <c r="CA92" s="2"/>
    </row>
    <row r="93" spans="1:79">
      <c r="BU93" s="2"/>
      <c r="BV93" s="2"/>
      <c r="BW93" s="2"/>
      <c r="BX93" s="2"/>
      <c r="BY93" s="2"/>
      <c r="BZ93" s="2"/>
      <c r="CA93" s="2"/>
    </row>
    <row r="94" spans="1:79" s="23" customFormat="1">
      <c r="A94" s="21"/>
      <c r="B94" s="55"/>
      <c r="C94" s="22"/>
      <c r="D94" s="22"/>
      <c r="E94" s="22"/>
      <c r="F94" s="22"/>
      <c r="G94" s="22"/>
      <c r="H94" s="22"/>
      <c r="I94" s="22"/>
      <c r="J94" s="22"/>
      <c r="K94" s="55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</row>
    <row r="95" spans="1:79" s="5" customFormat="1">
      <c r="A95" s="4" t="s">
        <v>129</v>
      </c>
      <c r="B95" s="54"/>
      <c r="C95" s="8"/>
      <c r="D95" s="8"/>
      <c r="E95" s="8"/>
      <c r="F95" s="8"/>
      <c r="G95" s="8"/>
      <c r="H95" s="8"/>
      <c r="I95" s="8"/>
      <c r="J95" s="8"/>
      <c r="K95" s="54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</row>
    <row r="96" spans="1:79" s="5" customFormat="1">
      <c r="A96" s="4" t="s">
        <v>116</v>
      </c>
      <c r="B96" s="54">
        <f t="shared" ref="B96:T96" si="150">B59</f>
        <v>6.9652353565930447</v>
      </c>
      <c r="C96" s="8">
        <f t="shared" si="150"/>
        <v>6.6837152242999096</v>
      </c>
      <c r="D96" s="8">
        <f t="shared" si="150"/>
        <v>6.6423676371622884</v>
      </c>
      <c r="E96" s="8">
        <f t="shared" si="150"/>
        <v>6.6085253947325615</v>
      </c>
      <c r="F96" s="8">
        <f t="shared" si="150"/>
        <v>6.6623462580023158</v>
      </c>
      <c r="G96" s="8">
        <f t="shared" si="150"/>
        <v>6.5578597978313091</v>
      </c>
      <c r="H96" s="8">
        <f t="shared" si="150"/>
        <v>6.6574804490621045</v>
      </c>
      <c r="I96" s="8">
        <f t="shared" si="150"/>
        <v>6.6711583234159066</v>
      </c>
      <c r="J96" s="8">
        <f t="shared" si="150"/>
        <v>6.7838870247190917</v>
      </c>
      <c r="K96" s="54">
        <f t="shared" si="150"/>
        <v>6.9016988492412024</v>
      </c>
      <c r="L96" s="8">
        <f t="shared" si="150"/>
        <v>6.7022459177058282</v>
      </c>
      <c r="M96" s="8">
        <f t="shared" si="150"/>
        <v>6.6381296765326407</v>
      </c>
      <c r="N96" s="8">
        <f t="shared" si="150"/>
        <v>6.8014215378502163</v>
      </c>
      <c r="O96" s="8">
        <f t="shared" si="150"/>
        <v>6.5372792466230063</v>
      </c>
      <c r="P96" s="8">
        <f t="shared" si="150"/>
        <v>6.7170276773346744</v>
      </c>
      <c r="Q96" s="8">
        <f t="shared" si="150"/>
        <v>7.4090738449357598</v>
      </c>
      <c r="R96" s="8">
        <f t="shared" si="150"/>
        <v>6.444872955650121</v>
      </c>
      <c r="S96" s="8">
        <f t="shared" si="150"/>
        <v>6.4330050852645044</v>
      </c>
      <c r="T96" s="8">
        <f t="shared" si="150"/>
        <v>6.3867486209684978</v>
      </c>
      <c r="U96" s="8">
        <f t="shared" ref="U96:AI96" si="151">U59</f>
        <v>6.3669675314954324</v>
      </c>
      <c r="V96" s="8">
        <f t="shared" si="151"/>
        <v>6.3636164280662388</v>
      </c>
      <c r="W96" s="8">
        <f t="shared" si="151"/>
        <v>6.8734171942116742</v>
      </c>
      <c r="X96" s="8">
        <f t="shared" si="151"/>
        <v>6.6386085997179798</v>
      </c>
      <c r="Y96" s="8">
        <f t="shared" si="151"/>
        <v>6.1865842275656613</v>
      </c>
      <c r="Z96" s="8">
        <f t="shared" si="151"/>
        <v>6.6235959111232603</v>
      </c>
      <c r="AA96" s="8">
        <f t="shared" si="151"/>
        <v>6.9175458595945507</v>
      </c>
      <c r="AB96" s="8">
        <f t="shared" si="151"/>
        <v>6.5135954925372559</v>
      </c>
      <c r="AC96" s="8">
        <f t="shared" si="151"/>
        <v>6.4454951444857951</v>
      </c>
      <c r="AD96" s="8">
        <f t="shared" si="151"/>
        <v>6.3674096536116132</v>
      </c>
      <c r="AE96" s="8">
        <f t="shared" si="151"/>
        <v>6.330908861987953</v>
      </c>
      <c r="AF96" s="8">
        <f t="shared" si="151"/>
        <v>6.417591369061558</v>
      </c>
      <c r="AG96" s="8">
        <f t="shared" si="151"/>
        <v>6.3080405921295721</v>
      </c>
      <c r="AH96" s="8">
        <f t="shared" si="151"/>
        <v>6.3810543485178064</v>
      </c>
      <c r="AI96" s="8">
        <f t="shared" si="151"/>
        <v>6.3413466376698606</v>
      </c>
      <c r="AJ96" s="8">
        <f t="shared" ref="AJ96:BJ96" si="152">AJ59</f>
        <v>6.4412970261427143</v>
      </c>
      <c r="AK96" s="8">
        <f t="shared" si="152"/>
        <v>6.5755733896942576</v>
      </c>
      <c r="AL96" s="8">
        <f t="shared" si="152"/>
        <v>6.5461011384334009</v>
      </c>
      <c r="AM96" s="8">
        <f t="shared" si="152"/>
        <v>6.5916847719781924</v>
      </c>
      <c r="AN96" s="8">
        <f t="shared" si="152"/>
        <v>6.6312719796454731</v>
      </c>
      <c r="AO96" s="8">
        <f t="shared" si="152"/>
        <v>6.6304090671704472</v>
      </c>
      <c r="AP96" s="8">
        <f t="shared" si="152"/>
        <v>6.6637433709797529</v>
      </c>
      <c r="AQ96" s="8">
        <f t="shared" si="152"/>
        <v>6.6960140529549514</v>
      </c>
      <c r="AR96" s="8">
        <f t="shared" si="152"/>
        <v>6.6501998799732354</v>
      </c>
      <c r="AS96" s="8">
        <f t="shared" si="152"/>
        <v>6.6185697165653643</v>
      </c>
      <c r="AT96" s="8">
        <f t="shared" si="152"/>
        <v>6.6679159480250352</v>
      </c>
      <c r="AU96" s="8">
        <f t="shared" si="152"/>
        <v>6.8741088547155211</v>
      </c>
      <c r="AV96" s="8">
        <f t="shared" si="152"/>
        <v>6.6403153165243092</v>
      </c>
      <c r="AW96" s="8">
        <f t="shared" si="152"/>
        <v>6.5307000497222534</v>
      </c>
      <c r="AX96" s="8">
        <f t="shared" si="152"/>
        <v>6.6150800865170014</v>
      </c>
      <c r="AY96" s="8">
        <f t="shared" si="152"/>
        <v>6.6514781857241196</v>
      </c>
      <c r="AZ96" s="8">
        <f t="shared" si="152"/>
        <v>6.6633714359893776</v>
      </c>
      <c r="BA96" s="8">
        <f t="shared" si="152"/>
        <v>6.4670845458298336</v>
      </c>
      <c r="BB96" s="8">
        <f t="shared" si="152"/>
        <v>6.4626179580726424</v>
      </c>
      <c r="BC96" s="8">
        <f t="shared" si="152"/>
        <v>6.4172113472028762</v>
      </c>
      <c r="BD96" s="8">
        <f t="shared" si="152"/>
        <v>6.4296303215457016</v>
      </c>
      <c r="BE96" s="8">
        <f t="shared" si="152"/>
        <v>6.3777038931904899</v>
      </c>
      <c r="BF96" s="8">
        <f t="shared" si="152"/>
        <v>6.3645422403178822</v>
      </c>
      <c r="BG96" s="8">
        <f t="shared" si="152"/>
        <v>6.3170317431475143</v>
      </c>
      <c r="BH96" s="8">
        <f t="shared" si="152"/>
        <v>6.4683496398672791</v>
      </c>
      <c r="BI96" s="8">
        <f t="shared" si="152"/>
        <v>6.3570341575278535</v>
      </c>
      <c r="BJ96" s="8">
        <f t="shared" si="152"/>
        <v>6.377713807026149</v>
      </c>
      <c r="BK96" s="8"/>
      <c r="BL96" s="8"/>
      <c r="BM96" s="8"/>
      <c r="BN96" s="8">
        <f>BN59</f>
        <v>6.6807572429025317</v>
      </c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</row>
    <row r="97" spans="1:79" s="5" customFormat="1">
      <c r="A97" s="4" t="s">
        <v>117</v>
      </c>
      <c r="B97" s="54">
        <f t="shared" ref="B97:T97" si="153">B60</f>
        <v>4.9622587477081183E-2</v>
      </c>
      <c r="C97" s="8">
        <f t="shared" si="153"/>
        <v>6.1127018534270848E-2</v>
      </c>
      <c r="D97" s="8">
        <f t="shared" si="153"/>
        <v>6.3293841945385496E-2</v>
      </c>
      <c r="E97" s="8">
        <f t="shared" si="153"/>
        <v>4.4015296269171798E-2</v>
      </c>
      <c r="F97" s="8">
        <f t="shared" si="153"/>
        <v>6.9099091654357445E-2</v>
      </c>
      <c r="G97" s="8">
        <f t="shared" si="153"/>
        <v>6.466307099880643E-2</v>
      </c>
      <c r="H97" s="8">
        <f t="shared" si="153"/>
        <v>6.680638810852052E-2</v>
      </c>
      <c r="I97" s="8">
        <f t="shared" si="153"/>
        <v>6.7503844609204278E-2</v>
      </c>
      <c r="J97" s="8">
        <f t="shared" si="153"/>
        <v>5.4396670184332772E-2</v>
      </c>
      <c r="K97" s="54">
        <f t="shared" si="153"/>
        <v>5.167349360367042E-2</v>
      </c>
      <c r="L97" s="8">
        <f t="shared" si="153"/>
        <v>6.6268064326918522E-2</v>
      </c>
      <c r="M97" s="8">
        <f t="shared" si="153"/>
        <v>7.0302460992804558E-2</v>
      </c>
      <c r="N97" s="8">
        <f t="shared" si="153"/>
        <v>7.0472092131854944E-2</v>
      </c>
      <c r="O97" s="8">
        <f t="shared" si="153"/>
        <v>8.764063642471083E-2</v>
      </c>
      <c r="P97" s="8">
        <f t="shared" si="153"/>
        <v>0.15480084482290393</v>
      </c>
      <c r="Q97" s="8">
        <f t="shared" si="153"/>
        <v>8.7237086405715179E-3</v>
      </c>
      <c r="R97" s="8">
        <f t="shared" si="153"/>
        <v>0.18408847300561224</v>
      </c>
      <c r="S97" s="8">
        <f t="shared" si="153"/>
        <v>0.17932387604495106</v>
      </c>
      <c r="T97" s="8">
        <f t="shared" si="153"/>
        <v>0.17920435420624697</v>
      </c>
      <c r="U97" s="8">
        <f t="shared" ref="U97:AI97" si="154">U60</f>
        <v>0.17639040850117216</v>
      </c>
      <c r="V97" s="8">
        <f t="shared" si="154"/>
        <v>0.16883105176383667</v>
      </c>
      <c r="W97" s="8">
        <f t="shared" si="154"/>
        <v>9.6446482712062354E-2</v>
      </c>
      <c r="X97" s="8">
        <f t="shared" si="154"/>
        <v>9.6972621926354252E-2</v>
      </c>
      <c r="Y97" s="8">
        <f t="shared" si="154"/>
        <v>0.14058993913189063</v>
      </c>
      <c r="Z97" s="8">
        <f t="shared" si="154"/>
        <v>7.063809350679226E-2</v>
      </c>
      <c r="AA97" s="8">
        <f t="shared" si="154"/>
        <v>0.10183980849249617</v>
      </c>
      <c r="AB97" s="8">
        <f t="shared" si="154"/>
        <v>0.24782346538019762</v>
      </c>
      <c r="AC97" s="8">
        <f t="shared" si="154"/>
        <v>0.27605949321589751</v>
      </c>
      <c r="AD97" s="8">
        <f t="shared" si="154"/>
        <v>0.28183910377701271</v>
      </c>
      <c r="AE97" s="8">
        <f t="shared" si="154"/>
        <v>0.28338757011070825</v>
      </c>
      <c r="AF97" s="8">
        <f t="shared" si="154"/>
        <v>0.28016971505633953</v>
      </c>
      <c r="AG97" s="8">
        <f t="shared" si="154"/>
        <v>0.29442515239241124</v>
      </c>
      <c r="AH97" s="8">
        <f t="shared" si="154"/>
        <v>0.25882242265312688</v>
      </c>
      <c r="AI97" s="8">
        <f t="shared" si="154"/>
        <v>0.29675011380081395</v>
      </c>
      <c r="AJ97" s="8">
        <f t="shared" ref="AJ97:BJ97" si="155">AJ60</f>
        <v>0.26416883358078574</v>
      </c>
      <c r="AK97" s="8">
        <f t="shared" si="155"/>
        <v>8.6685242346614913E-2</v>
      </c>
      <c r="AL97" s="8">
        <f t="shared" si="155"/>
        <v>0.10181676209182727</v>
      </c>
      <c r="AM97" s="8">
        <f t="shared" si="155"/>
        <v>8.7330240409035906E-2</v>
      </c>
      <c r="AN97" s="8">
        <f t="shared" si="155"/>
        <v>8.1243472984224185E-2</v>
      </c>
      <c r="AO97" s="8">
        <f t="shared" si="155"/>
        <v>8.7843281023961314E-2</v>
      </c>
      <c r="AP97" s="8">
        <f t="shared" si="155"/>
        <v>9.8427165957832047E-2</v>
      </c>
      <c r="AQ97" s="8">
        <f t="shared" si="155"/>
        <v>0.10734403700497949</v>
      </c>
      <c r="AR97" s="8">
        <f t="shared" si="155"/>
        <v>9.9603546911609456E-2</v>
      </c>
      <c r="AS97" s="8">
        <f t="shared" si="155"/>
        <v>0.10969015703681796</v>
      </c>
      <c r="AT97" s="8">
        <f t="shared" si="155"/>
        <v>0.10619223780532143</v>
      </c>
      <c r="AU97" s="8">
        <f t="shared" si="155"/>
        <v>6.7774260000149078E-2</v>
      </c>
      <c r="AV97" s="8">
        <f t="shared" si="155"/>
        <v>0.11928951332157788</v>
      </c>
      <c r="AW97" s="8">
        <f t="shared" si="155"/>
        <v>9.1532042963143115E-2</v>
      </c>
      <c r="AX97" s="8">
        <f t="shared" si="155"/>
        <v>8.7366502099902293E-2</v>
      </c>
      <c r="AY97" s="8">
        <f t="shared" si="155"/>
        <v>0.11873025537063911</v>
      </c>
      <c r="AZ97" s="8">
        <f t="shared" si="155"/>
        <v>0.10400764024872654</v>
      </c>
      <c r="BA97" s="8">
        <f t="shared" si="155"/>
        <v>0.16756845538741474</v>
      </c>
      <c r="BB97" s="8">
        <f t="shared" si="155"/>
        <v>0.17013321812557736</v>
      </c>
      <c r="BC97" s="8">
        <f t="shared" si="155"/>
        <v>0.16426748658800047</v>
      </c>
      <c r="BD97" s="8">
        <f t="shared" si="155"/>
        <v>0.15566682507692556</v>
      </c>
      <c r="BE97" s="8">
        <f t="shared" si="155"/>
        <v>0.17471308479612241</v>
      </c>
      <c r="BF97" s="8">
        <f t="shared" si="155"/>
        <v>0.20862446021386102</v>
      </c>
      <c r="BG97" s="8">
        <f t="shared" si="155"/>
        <v>0.21528242996727187</v>
      </c>
      <c r="BH97" s="8">
        <f t="shared" si="155"/>
        <v>0.17916898727534977</v>
      </c>
      <c r="BI97" s="8">
        <f t="shared" si="155"/>
        <v>0.22806297393575142</v>
      </c>
      <c r="BJ97" s="8">
        <f t="shared" si="155"/>
        <v>0.222467140693171</v>
      </c>
      <c r="BK97" s="8"/>
      <c r="BL97" s="8"/>
      <c r="BM97" s="8"/>
      <c r="BN97" s="8">
        <f>BN60</f>
        <v>6.0816855983819765E-2</v>
      </c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</row>
    <row r="98" spans="1:79" s="5" customFormat="1">
      <c r="A98" s="4" t="s">
        <v>118</v>
      </c>
      <c r="B98" s="54">
        <f t="shared" ref="B98:T98" si="156">B61</f>
        <v>5.9286553998046804E-3</v>
      </c>
      <c r="C98" s="8">
        <f t="shared" si="156"/>
        <v>4.6740137916369013E-3</v>
      </c>
      <c r="D98" s="8">
        <f t="shared" si="156"/>
        <v>3.5024127993870968E-3</v>
      </c>
      <c r="E98" s="8">
        <f t="shared" si="156"/>
        <v>5.9329201165327404E-3</v>
      </c>
      <c r="F98" s="8">
        <f t="shared" si="156"/>
        <v>3.5152917722332173E-3</v>
      </c>
      <c r="G98" s="8">
        <f t="shared" si="156"/>
        <v>2.344324911863828E-3</v>
      </c>
      <c r="H98" s="8">
        <f t="shared" si="156"/>
        <v>8.1945338948356383E-3</v>
      </c>
      <c r="I98" s="8">
        <f t="shared" si="156"/>
        <v>5.8173896205575152E-3</v>
      </c>
      <c r="J98" s="8">
        <f t="shared" si="156"/>
        <v>7.0030456962591478E-3</v>
      </c>
      <c r="K98" s="54">
        <f t="shared" si="156"/>
        <v>1.2347374550819902E-3</v>
      </c>
      <c r="L98" s="8">
        <f t="shared" si="156"/>
        <v>5.8060732839540193E-3</v>
      </c>
      <c r="M98" s="8">
        <f t="shared" si="156"/>
        <v>4.6929880035972817E-3</v>
      </c>
      <c r="N98" s="8">
        <f t="shared" si="156"/>
        <v>7.0564674043995523E-3</v>
      </c>
      <c r="O98" s="8">
        <f t="shared" si="156"/>
        <v>4.6654968092734962E-3</v>
      </c>
      <c r="P98" s="8">
        <f t="shared" si="156"/>
        <v>1.0691896421943462E-2</v>
      </c>
      <c r="Q98" s="8">
        <f t="shared" si="156"/>
        <v>2.292981944899508E-3</v>
      </c>
      <c r="R98" s="8">
        <f t="shared" si="156"/>
        <v>1.3061442718306652E-2</v>
      </c>
      <c r="S98" s="8">
        <f t="shared" si="156"/>
        <v>1.30434702623351E-2</v>
      </c>
      <c r="T98" s="8">
        <f t="shared" si="156"/>
        <v>1.1849796917598219E-2</v>
      </c>
      <c r="U98" s="8">
        <f t="shared" ref="U98:AI98" si="157">U61</f>
        <v>1.3161198129537062E-2</v>
      </c>
      <c r="V98" s="8">
        <f t="shared" si="157"/>
        <v>1.1913120417877071E-2</v>
      </c>
      <c r="W98" s="8">
        <f t="shared" si="157"/>
        <v>8.3507403901469084E-3</v>
      </c>
      <c r="X98" s="8">
        <f t="shared" si="157"/>
        <v>8.2986643811259371E-3</v>
      </c>
      <c r="Y98" s="8">
        <f t="shared" si="157"/>
        <v>2.02647361341615E-2</v>
      </c>
      <c r="Z98" s="8">
        <f t="shared" si="157"/>
        <v>1.0609634025203596E-2</v>
      </c>
      <c r="AA98" s="8">
        <f t="shared" si="157"/>
        <v>1.047446211088663E-2</v>
      </c>
      <c r="AB98" s="8">
        <f t="shared" si="157"/>
        <v>1.2795184908434289E-2</v>
      </c>
      <c r="AC98" s="8">
        <f t="shared" si="157"/>
        <v>2.925839429514894E-2</v>
      </c>
      <c r="AD98" s="8">
        <f t="shared" si="157"/>
        <v>2.7045064309187735E-2</v>
      </c>
      <c r="AE98" s="8">
        <f t="shared" si="157"/>
        <v>1.295425481235969E-2</v>
      </c>
      <c r="AF98" s="8">
        <f t="shared" si="157"/>
        <v>1.7673880445133412E-2</v>
      </c>
      <c r="AG98" s="8">
        <f t="shared" si="157"/>
        <v>7.0620353065457171E-3</v>
      </c>
      <c r="AH98" s="8">
        <f t="shared" si="157"/>
        <v>2.3258168381249575E-3</v>
      </c>
      <c r="AI98" s="8">
        <f t="shared" si="157"/>
        <v>5.9315012204123304E-3</v>
      </c>
      <c r="AJ98" s="8">
        <f t="shared" ref="AJ98:BJ98" si="158">AJ61</f>
        <v>4.7074860425550249E-3</v>
      </c>
      <c r="AK98" s="8">
        <f t="shared" si="158"/>
        <v>2.3672488391195969E-3</v>
      </c>
      <c r="AL98" s="8">
        <f t="shared" si="158"/>
        <v>2.378845529871837E-3</v>
      </c>
      <c r="AM98" s="8">
        <f t="shared" si="158"/>
        <v>7.0628629229602859E-3</v>
      </c>
      <c r="AN98" s="8">
        <f t="shared" si="158"/>
        <v>8.3045001627431447E-3</v>
      </c>
      <c r="AO98" s="8">
        <f t="shared" si="158"/>
        <v>8.288414466904908E-3</v>
      </c>
      <c r="AP98" s="8">
        <f t="shared" si="158"/>
        <v>5.947373402751012E-3</v>
      </c>
      <c r="AQ98" s="8">
        <f t="shared" si="158"/>
        <v>5.9399637877651755E-3</v>
      </c>
      <c r="AR98" s="8">
        <f t="shared" si="158"/>
        <v>3.5700381797499924E-3</v>
      </c>
      <c r="AS98" s="8">
        <f t="shared" si="158"/>
        <v>3.5667827102781593E-3</v>
      </c>
      <c r="AT98" s="8">
        <f t="shared" si="158"/>
        <v>2.4010394405720209E-3</v>
      </c>
      <c r="AU98" s="8">
        <f t="shared" si="158"/>
        <v>3.5628231274602877E-3</v>
      </c>
      <c r="AV98" s="8">
        <f t="shared" si="158"/>
        <v>2.3889245713478828E-3</v>
      </c>
      <c r="AW98" s="8">
        <f t="shared" si="158"/>
        <v>0</v>
      </c>
      <c r="AX98" s="8">
        <f t="shared" si="158"/>
        <v>3.6258687945078145E-3</v>
      </c>
      <c r="AY98" s="8">
        <f t="shared" si="158"/>
        <v>6.0014686390646842E-3</v>
      </c>
      <c r="AZ98" s="8">
        <f t="shared" si="158"/>
        <v>2.3772063709214353E-3</v>
      </c>
      <c r="BA98" s="8">
        <f t="shared" si="158"/>
        <v>2.3648057231324192E-3</v>
      </c>
      <c r="BB98" s="8">
        <f t="shared" si="158"/>
        <v>2.3691995383815457E-3</v>
      </c>
      <c r="BC98" s="8">
        <f t="shared" si="158"/>
        <v>3.5980719936067503E-3</v>
      </c>
      <c r="BD98" s="8">
        <f t="shared" si="158"/>
        <v>2.3719550309254712E-3</v>
      </c>
      <c r="BE98" s="8">
        <f t="shared" si="158"/>
        <v>1.1774983508794511E-3</v>
      </c>
      <c r="BF98" s="8">
        <f t="shared" si="158"/>
        <v>3.6155516232707842E-3</v>
      </c>
      <c r="BG98" s="8">
        <f t="shared" si="158"/>
        <v>0</v>
      </c>
      <c r="BH98" s="8">
        <f t="shared" si="158"/>
        <v>3.5995143998659839E-3</v>
      </c>
      <c r="BI98" s="8">
        <f t="shared" si="158"/>
        <v>2.422027459964355E-3</v>
      </c>
      <c r="BJ98" s="8">
        <f t="shared" si="158"/>
        <v>1.2056565700832547E-3</v>
      </c>
      <c r="BK98" s="8"/>
      <c r="BL98" s="8"/>
      <c r="BM98" s="8"/>
      <c r="BN98" s="8">
        <f>BN61</f>
        <v>4.9862708664441839E-3</v>
      </c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</row>
    <row r="99" spans="1:79" s="5" customFormat="1">
      <c r="A99" s="4" t="s">
        <v>119</v>
      </c>
      <c r="B99" s="54">
        <f t="shared" ref="B99:T99" si="159">B62</f>
        <v>1.6901169898890434</v>
      </c>
      <c r="C99" s="8">
        <f t="shared" si="159"/>
        <v>1.9530271579987224</v>
      </c>
      <c r="D99" s="8">
        <f t="shared" si="159"/>
        <v>2.0505201375256732</v>
      </c>
      <c r="E99" s="8">
        <f t="shared" si="159"/>
        <v>2.0752440639525052</v>
      </c>
      <c r="F99" s="8">
        <f t="shared" si="159"/>
        <v>2.0056478516186842</v>
      </c>
      <c r="G99" s="8">
        <f t="shared" si="159"/>
        <v>2.081479989246656</v>
      </c>
      <c r="H99" s="8">
        <f t="shared" si="159"/>
        <v>2.0142097616215069</v>
      </c>
      <c r="I99" s="8">
        <f t="shared" si="159"/>
        <v>1.9845262300906938</v>
      </c>
      <c r="J99" s="8">
        <f t="shared" si="159"/>
        <v>1.8916375463680282</v>
      </c>
      <c r="K99" s="54">
        <f t="shared" si="159"/>
        <v>1.7065814796543146</v>
      </c>
      <c r="L99" s="8">
        <f t="shared" si="159"/>
        <v>1.9685463515344122</v>
      </c>
      <c r="M99" s="8">
        <f t="shared" si="159"/>
        <v>2.0536679302557839</v>
      </c>
      <c r="N99" s="8">
        <f t="shared" si="159"/>
        <v>2.0340740077882242</v>
      </c>
      <c r="O99" s="8">
        <f t="shared" si="159"/>
        <v>2.1268508449892258</v>
      </c>
      <c r="P99" s="8">
        <f t="shared" si="159"/>
        <v>1.6809357642439124</v>
      </c>
      <c r="Q99" s="8">
        <f t="shared" si="159"/>
        <v>0.82222066437017005</v>
      </c>
      <c r="R99" s="8">
        <f t="shared" si="159"/>
        <v>2.0023211815022748</v>
      </c>
      <c r="S99" s="8">
        <f t="shared" si="159"/>
        <v>2.0243174813536102</v>
      </c>
      <c r="T99" s="8">
        <f t="shared" si="159"/>
        <v>1.9946996939028556</v>
      </c>
      <c r="U99" s="8">
        <f t="shared" ref="U99:AI99" si="160">U62</f>
        <v>2.1068097094365137</v>
      </c>
      <c r="V99" s="8">
        <f t="shared" si="160"/>
        <v>2.1243662002747956</v>
      </c>
      <c r="W99" s="8">
        <f t="shared" si="160"/>
        <v>1.485203929383907</v>
      </c>
      <c r="X99" s="8">
        <f t="shared" si="160"/>
        <v>1.7976443973605707</v>
      </c>
      <c r="Y99" s="8">
        <f t="shared" si="160"/>
        <v>2.6819701706549135</v>
      </c>
      <c r="Z99" s="8">
        <f t="shared" si="160"/>
        <v>1.9720749769015113</v>
      </c>
      <c r="AA99" s="8">
        <f t="shared" si="160"/>
        <v>1.6380753937592487</v>
      </c>
      <c r="AB99" s="8">
        <f t="shared" si="160"/>
        <v>1.9268176322196024</v>
      </c>
      <c r="AC99" s="8">
        <f t="shared" si="160"/>
        <v>2.156759015093197</v>
      </c>
      <c r="AD99" s="8">
        <f t="shared" si="160"/>
        <v>2.1599493236510936</v>
      </c>
      <c r="AE99" s="8">
        <f t="shared" si="160"/>
        <v>2.20010543017729</v>
      </c>
      <c r="AF99" s="8">
        <f t="shared" si="160"/>
        <v>2.092305453208148</v>
      </c>
      <c r="AG99" s="8">
        <f t="shared" si="160"/>
        <v>2.2778545972131115</v>
      </c>
      <c r="AH99" s="8">
        <f t="shared" si="160"/>
        <v>2.2471040778722156</v>
      </c>
      <c r="AI99" s="8">
        <f t="shared" si="160"/>
        <v>2.2303980564781516</v>
      </c>
      <c r="AJ99" s="8">
        <f t="shared" ref="AJ99:BJ99" si="161">AJ62</f>
        <v>2.1512564801001641</v>
      </c>
      <c r="AK99" s="8">
        <f t="shared" si="161"/>
        <v>2.2818396017261056</v>
      </c>
      <c r="AL99" s="8">
        <f t="shared" si="161"/>
        <v>2.3515403876022196</v>
      </c>
      <c r="AM99" s="8">
        <f t="shared" si="161"/>
        <v>2.2711011389390614</v>
      </c>
      <c r="AN99" s="8">
        <f t="shared" si="161"/>
        <v>2.2552688132412797</v>
      </c>
      <c r="AO99" s="8">
        <f t="shared" si="161"/>
        <v>2.2403079179785528</v>
      </c>
      <c r="AP99" s="8">
        <f t="shared" si="161"/>
        <v>1.7841273643930657</v>
      </c>
      <c r="AQ99" s="8">
        <f t="shared" si="161"/>
        <v>1.8315003392347593</v>
      </c>
      <c r="AR99" s="8">
        <f t="shared" si="161"/>
        <v>1.8381630550444443</v>
      </c>
      <c r="AS99" s="8">
        <f t="shared" si="161"/>
        <v>1.8400322004730787</v>
      </c>
      <c r="AT99" s="8">
        <f t="shared" si="161"/>
        <v>1.8221735908444554</v>
      </c>
      <c r="AU99" s="8">
        <f t="shared" si="161"/>
        <v>1.5192630223341248</v>
      </c>
      <c r="AV99" s="8">
        <f t="shared" si="161"/>
        <v>1.8432551806193869</v>
      </c>
      <c r="AW99" s="8">
        <f t="shared" si="161"/>
        <v>1.9657390658965146</v>
      </c>
      <c r="AX99" s="8">
        <f t="shared" si="161"/>
        <v>2.1552352486156727</v>
      </c>
      <c r="AY99" s="8">
        <f t="shared" si="161"/>
        <v>1.8450956017947218</v>
      </c>
      <c r="AZ99" s="8">
        <f t="shared" si="161"/>
        <v>1.8164917379511567</v>
      </c>
      <c r="BA99" s="8">
        <f t="shared" si="161"/>
        <v>2.0291467994540886</v>
      </c>
      <c r="BB99" s="8">
        <f t="shared" si="161"/>
        <v>2.0735399743708847</v>
      </c>
      <c r="BC99" s="8">
        <f t="shared" si="161"/>
        <v>1.9938667597082</v>
      </c>
      <c r="BD99" s="8">
        <f t="shared" si="161"/>
        <v>2.1166218620223725</v>
      </c>
      <c r="BE99" s="8">
        <f t="shared" si="161"/>
        <v>2.0698877023277649</v>
      </c>
      <c r="BF99" s="8">
        <f t="shared" si="161"/>
        <v>2.1796501143884615</v>
      </c>
      <c r="BG99" s="8">
        <f t="shared" si="161"/>
        <v>2.205313479005528</v>
      </c>
      <c r="BH99" s="8">
        <f t="shared" si="161"/>
        <v>2.0859019142180952</v>
      </c>
      <c r="BI99" s="8">
        <f t="shared" si="161"/>
        <v>2.1811657673358642</v>
      </c>
      <c r="BJ99" s="8">
        <f t="shared" si="161"/>
        <v>2.1086004792635111</v>
      </c>
      <c r="BK99" s="8"/>
      <c r="BL99" s="8"/>
      <c r="BM99" s="8"/>
      <c r="BN99" s="8">
        <f>BN62</f>
        <v>1.9821541669374125</v>
      </c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</row>
    <row r="100" spans="1:79" s="5" customFormat="1">
      <c r="A100" s="4" t="s">
        <v>131</v>
      </c>
      <c r="B100" s="54">
        <f t="shared" ref="B100:T100" si="162">IF(B92&lt;0, 0, B92)</f>
        <v>0</v>
      </c>
      <c r="C100" s="8">
        <f t="shared" si="162"/>
        <v>0.12506644722474647</v>
      </c>
      <c r="D100" s="8">
        <f t="shared" si="162"/>
        <v>5.1504953245036234E-2</v>
      </c>
      <c r="E100" s="8">
        <f t="shared" si="162"/>
        <v>0.16142792392552963</v>
      </c>
      <c r="F100" s="8">
        <f t="shared" si="162"/>
        <v>6.4266048681652421E-2</v>
      </c>
      <c r="G100" s="8">
        <f t="shared" si="162"/>
        <v>0.1994275261874634</v>
      </c>
      <c r="H100" s="8">
        <f t="shared" si="162"/>
        <v>9.6079669018003244E-2</v>
      </c>
      <c r="I100" s="8">
        <f t="shared" si="162"/>
        <v>8.6874557970730848E-2</v>
      </c>
      <c r="J100" s="8">
        <f t="shared" si="162"/>
        <v>0</v>
      </c>
      <c r="K100" s="54">
        <f t="shared" si="162"/>
        <v>0</v>
      </c>
      <c r="L100" s="8">
        <f t="shared" si="162"/>
        <v>2.6721095709682174E-2</v>
      </c>
      <c r="M100" s="8">
        <f t="shared" si="162"/>
        <v>6.5962049974160664E-2</v>
      </c>
      <c r="N100" s="8">
        <f t="shared" si="162"/>
        <v>0</v>
      </c>
      <c r="O100" s="8">
        <f t="shared" si="162"/>
        <v>0.1397120953968809</v>
      </c>
      <c r="P100" s="8">
        <f t="shared" si="162"/>
        <v>2.2772585673884294E-2</v>
      </c>
      <c r="Q100" s="8">
        <f t="shared" si="162"/>
        <v>8.3751625489377091E-2</v>
      </c>
      <c r="R100" s="8">
        <f t="shared" si="162"/>
        <v>5.0766022235436026E-2</v>
      </c>
      <c r="S100" s="8">
        <f t="shared" si="162"/>
        <v>8.6320189850972895E-2</v>
      </c>
      <c r="T100" s="8">
        <f t="shared" si="162"/>
        <v>0.21689625337442919</v>
      </c>
      <c r="U100" s="8">
        <f t="shared" ref="U100:AI100" si="163">IF(U92&lt;0, 0, U92)</f>
        <v>0.11716327393250481</v>
      </c>
      <c r="V100" s="8">
        <f t="shared" si="163"/>
        <v>0.10237383603268313</v>
      </c>
      <c r="W100" s="8">
        <f t="shared" si="163"/>
        <v>6.9235490227853802E-2</v>
      </c>
      <c r="X100" s="8">
        <f t="shared" si="163"/>
        <v>0.13563821484286365</v>
      </c>
      <c r="Y100" s="8">
        <f t="shared" si="163"/>
        <v>0.20762672537548355</v>
      </c>
      <c r="Z100" s="8">
        <f t="shared" si="163"/>
        <v>0.1333714917265354</v>
      </c>
      <c r="AA100" s="8">
        <f t="shared" si="163"/>
        <v>0</v>
      </c>
      <c r="AB100" s="8">
        <f t="shared" si="163"/>
        <v>0</v>
      </c>
      <c r="AC100" s="8">
        <f t="shared" si="163"/>
        <v>0</v>
      </c>
      <c r="AD100" s="8">
        <f t="shared" si="163"/>
        <v>0</v>
      </c>
      <c r="AE100" s="8">
        <f t="shared" si="163"/>
        <v>0</v>
      </c>
      <c r="AF100" s="8">
        <f t="shared" si="163"/>
        <v>0</v>
      </c>
      <c r="AG100" s="8">
        <f t="shared" si="163"/>
        <v>0</v>
      </c>
      <c r="AH100" s="8">
        <f t="shared" si="163"/>
        <v>0</v>
      </c>
      <c r="AI100" s="8">
        <f t="shared" si="163"/>
        <v>0</v>
      </c>
      <c r="AJ100" s="8">
        <f t="shared" ref="AJ100:BJ100" si="164">IF(AJ92&lt;0, 0, AJ92)</f>
        <v>0</v>
      </c>
      <c r="AK100" s="8">
        <f t="shared" si="164"/>
        <v>0</v>
      </c>
      <c r="AL100" s="8">
        <f t="shared" si="164"/>
        <v>0</v>
      </c>
      <c r="AM100" s="8">
        <f t="shared" si="164"/>
        <v>0</v>
      </c>
      <c r="AN100" s="8">
        <f t="shared" si="164"/>
        <v>0</v>
      </c>
      <c r="AO100" s="8">
        <f t="shared" si="164"/>
        <v>0</v>
      </c>
      <c r="AP100" s="8">
        <f t="shared" si="164"/>
        <v>0.24936545813140754</v>
      </c>
      <c r="AQ100" s="8">
        <f t="shared" si="164"/>
        <v>0.14262902733874938</v>
      </c>
      <c r="AR100" s="8">
        <f t="shared" si="164"/>
        <v>0.20964949213635009</v>
      </c>
      <c r="AS100" s="8">
        <f t="shared" si="164"/>
        <v>0.23478453124620557</v>
      </c>
      <c r="AT100" s="8">
        <f t="shared" si="164"/>
        <v>0.15432687451095006</v>
      </c>
      <c r="AU100" s="8">
        <f t="shared" si="164"/>
        <v>0.22493088351961177</v>
      </c>
      <c r="AV100" s="8">
        <f t="shared" si="164"/>
        <v>0.1570937162128061</v>
      </c>
      <c r="AW100" s="8">
        <f t="shared" si="164"/>
        <v>0.3054797451077178</v>
      </c>
      <c r="AX100" s="8">
        <f t="shared" si="164"/>
        <v>0.12621932694314353</v>
      </c>
      <c r="AY100" s="8">
        <f t="shared" si="164"/>
        <v>0.12500295993355337</v>
      </c>
      <c r="AZ100" s="8">
        <f t="shared" si="164"/>
        <v>0.1940585846499232</v>
      </c>
      <c r="BA100" s="8">
        <f t="shared" si="164"/>
        <v>0.12035750327316208</v>
      </c>
      <c r="BB100" s="8">
        <f t="shared" si="164"/>
        <v>7.4789771537894012E-2</v>
      </c>
      <c r="BC100" s="8">
        <f t="shared" si="164"/>
        <v>0.27009905869419271</v>
      </c>
      <c r="BD100" s="8">
        <f t="shared" si="164"/>
        <v>0.12991285260982011</v>
      </c>
      <c r="BE100" s="8">
        <f t="shared" si="164"/>
        <v>0.2410648947068097</v>
      </c>
      <c r="BF100" s="8">
        <f t="shared" si="164"/>
        <v>0</v>
      </c>
      <c r="BG100" s="8">
        <f t="shared" si="164"/>
        <v>0</v>
      </c>
      <c r="BH100" s="8">
        <f t="shared" si="164"/>
        <v>0</v>
      </c>
      <c r="BI100" s="8">
        <f t="shared" si="164"/>
        <v>0</v>
      </c>
      <c r="BJ100" s="8">
        <f t="shared" si="164"/>
        <v>2.1974970263428872E-2</v>
      </c>
      <c r="BK100" s="8"/>
      <c r="BL100" s="8"/>
      <c r="BM100" s="8"/>
      <c r="BN100" s="8">
        <f>IF(BN92&lt;0, 0, BN92)</f>
        <v>7.7790333026023006E-2</v>
      </c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</row>
    <row r="101" spans="1:79" s="5" customFormat="1">
      <c r="A101" s="4" t="s">
        <v>130</v>
      </c>
      <c r="B101" s="54">
        <f t="shared" ref="B101:T101" si="165">B63-B100</f>
        <v>1.7282077721639424</v>
      </c>
      <c r="C101" s="8">
        <f t="shared" si="165"/>
        <v>1.5360106860741201</v>
      </c>
      <c r="D101" s="8">
        <f t="shared" si="165"/>
        <v>1.7389962269873285</v>
      </c>
      <c r="E101" s="8">
        <f t="shared" si="165"/>
        <v>1.6721916871430693</v>
      </c>
      <c r="F101" s="8">
        <f t="shared" si="165"/>
        <v>1.6584569670600571</v>
      </c>
      <c r="G101" s="8">
        <f t="shared" si="165"/>
        <v>1.6168657047195483</v>
      </c>
      <c r="H101" s="8">
        <f t="shared" si="165"/>
        <v>1.5729983621826058</v>
      </c>
      <c r="I101" s="8">
        <f t="shared" si="165"/>
        <v>1.6495091163536517</v>
      </c>
      <c r="J101" s="8">
        <f t="shared" si="165"/>
        <v>1.7036301955221056</v>
      </c>
      <c r="K101" s="54">
        <f t="shared" si="165"/>
        <v>1.9054188051823993</v>
      </c>
      <c r="L101" s="8">
        <f t="shared" si="165"/>
        <v>1.6583846250272527</v>
      </c>
      <c r="M101" s="8">
        <f t="shared" si="165"/>
        <v>1.6577004421420303</v>
      </c>
      <c r="N101" s="8">
        <f t="shared" si="165"/>
        <v>1.7278214764212498</v>
      </c>
      <c r="O101" s="8">
        <f t="shared" si="165"/>
        <v>1.642938732846418</v>
      </c>
      <c r="P101" s="8">
        <f t="shared" si="165"/>
        <v>1.6647468322449435</v>
      </c>
      <c r="Q101" s="8">
        <f t="shared" si="165"/>
        <v>1.1349495609816957</v>
      </c>
      <c r="R101" s="8">
        <f t="shared" si="165"/>
        <v>1.7489549939564162</v>
      </c>
      <c r="S101" s="8">
        <f t="shared" si="165"/>
        <v>1.7033993229512925</v>
      </c>
      <c r="T101" s="8">
        <f t="shared" si="165"/>
        <v>1.6230176272017336</v>
      </c>
      <c r="U101" s="8">
        <f t="shared" ref="U101:AI101" si="166">U63-U100</f>
        <v>1.7532505720101739</v>
      </c>
      <c r="V101" s="8">
        <f t="shared" si="166"/>
        <v>1.7284715871977694</v>
      </c>
      <c r="W101" s="8">
        <f t="shared" si="166"/>
        <v>1.7502673404826026</v>
      </c>
      <c r="X101" s="8">
        <f t="shared" si="166"/>
        <v>1.626122891328192</v>
      </c>
      <c r="Y101" s="8">
        <f t="shared" si="166"/>
        <v>1.536085227951389</v>
      </c>
      <c r="Z101" s="8">
        <f t="shared" si="166"/>
        <v>1.583557629841182</v>
      </c>
      <c r="AA101" s="8">
        <f t="shared" si="166"/>
        <v>1.4230088057130366</v>
      </c>
      <c r="AB101" s="8">
        <f t="shared" si="166"/>
        <v>1.6326208439522958</v>
      </c>
      <c r="AC101" s="8">
        <f t="shared" si="166"/>
        <v>1.5064738264740283</v>
      </c>
      <c r="AD101" s="8">
        <f t="shared" si="166"/>
        <v>1.5857360517128793</v>
      </c>
      <c r="AE101" s="8">
        <f t="shared" si="166"/>
        <v>1.6790753087535715</v>
      </c>
      <c r="AF101" s="8">
        <f t="shared" si="166"/>
        <v>1.6350649979511764</v>
      </c>
      <c r="AG101" s="8">
        <f t="shared" si="166"/>
        <v>1.6582247451855856</v>
      </c>
      <c r="AH101" s="8">
        <f t="shared" si="166"/>
        <v>1.6100734700801267</v>
      </c>
      <c r="AI101" s="8">
        <f t="shared" si="166"/>
        <v>1.629912549454682</v>
      </c>
      <c r="AJ101" s="8">
        <f t="shared" ref="AJ101:BJ101" si="167">AJ63-AJ100</f>
        <v>1.5945520940387361</v>
      </c>
      <c r="AK101" s="8">
        <f t="shared" si="167"/>
        <v>1.7301449616986044</v>
      </c>
      <c r="AL101" s="8">
        <f t="shared" si="167"/>
        <v>1.7235240437420072</v>
      </c>
      <c r="AM101" s="8">
        <f t="shared" si="167"/>
        <v>1.7007510948842091</v>
      </c>
      <c r="AN101" s="8">
        <f t="shared" si="167"/>
        <v>1.7077886224868895</v>
      </c>
      <c r="AO101" s="8">
        <f t="shared" si="167"/>
        <v>1.6669094485889608</v>
      </c>
      <c r="AP101" s="8">
        <f t="shared" si="167"/>
        <v>2.0428957630231506</v>
      </c>
      <c r="AQ101" s="8">
        <f t="shared" si="167"/>
        <v>2.0852061718738373</v>
      </c>
      <c r="AR101" s="8">
        <f t="shared" si="167"/>
        <v>2.045888486234273</v>
      </c>
      <c r="AS101" s="8">
        <f t="shared" si="167"/>
        <v>2.0891179395804405</v>
      </c>
      <c r="AT101" s="8">
        <f t="shared" si="167"/>
        <v>2.1693777423627165</v>
      </c>
      <c r="AU101" s="8">
        <f t="shared" si="167"/>
        <v>1.9707790626118711</v>
      </c>
      <c r="AV101" s="8">
        <f t="shared" si="167"/>
        <v>2.1927875486939743</v>
      </c>
      <c r="AW101" s="8">
        <f t="shared" si="167"/>
        <v>2.0343534869793891</v>
      </c>
      <c r="AX101" s="8">
        <f t="shared" si="167"/>
        <v>1.9140347283585415</v>
      </c>
      <c r="AY101" s="8">
        <f t="shared" si="167"/>
        <v>2.2071510443164257</v>
      </c>
      <c r="AZ101" s="8">
        <f t="shared" si="167"/>
        <v>2.0676080230345613</v>
      </c>
      <c r="BA101" s="8">
        <f t="shared" si="167"/>
        <v>1.7343146693860354</v>
      </c>
      <c r="BB101" s="8">
        <f t="shared" si="167"/>
        <v>1.7895931143319181</v>
      </c>
      <c r="BC101" s="8">
        <f t="shared" si="167"/>
        <v>1.6263899042958281</v>
      </c>
      <c r="BD101" s="8">
        <f t="shared" si="167"/>
        <v>1.7491824270914742</v>
      </c>
      <c r="BE101" s="8">
        <f t="shared" si="167"/>
        <v>1.649504451274763</v>
      </c>
      <c r="BF101" s="8">
        <f t="shared" si="167"/>
        <v>2.1670192350400899</v>
      </c>
      <c r="BG101" s="8">
        <f t="shared" si="167"/>
        <v>2.2135125079307159</v>
      </c>
      <c r="BH101" s="8">
        <f t="shared" si="167"/>
        <v>2.1129899488668666</v>
      </c>
      <c r="BI101" s="8">
        <f t="shared" si="167"/>
        <v>2.2031194605795217</v>
      </c>
      <c r="BJ101" s="8">
        <f t="shared" si="167"/>
        <v>2.0681059631910745</v>
      </c>
      <c r="BK101" s="8"/>
      <c r="BL101" s="8"/>
      <c r="BM101" s="8"/>
      <c r="BN101" s="8">
        <f>BN63-BN100</f>
        <v>1.6668028760064504</v>
      </c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</row>
    <row r="102" spans="1:79" s="5" customFormat="1">
      <c r="A102" s="4" t="s">
        <v>121</v>
      </c>
      <c r="B102" s="54">
        <f t="shared" ref="B102:B107" si="168">B64</f>
        <v>8.6379284781655644E-2</v>
      </c>
      <c r="C102" s="8">
        <f t="shared" ref="C102:T102" si="169">C64</f>
        <v>0.10515350947629901</v>
      </c>
      <c r="D102" s="8">
        <f t="shared" si="169"/>
        <v>0.12632285655867773</v>
      </c>
      <c r="E102" s="8">
        <f t="shared" si="169"/>
        <v>0.14110290752092336</v>
      </c>
      <c r="F102" s="8">
        <f t="shared" si="169"/>
        <v>0.10670223987267408</v>
      </c>
      <c r="G102" s="8">
        <f t="shared" si="169"/>
        <v>0.10548278324564567</v>
      </c>
      <c r="H102" s="8">
        <f t="shared" si="169"/>
        <v>0.10158409649866174</v>
      </c>
      <c r="I102" s="8">
        <f t="shared" si="169"/>
        <v>0.10594770669596941</v>
      </c>
      <c r="J102" s="8">
        <f t="shared" si="169"/>
        <v>0.11128591577171489</v>
      </c>
      <c r="K102" s="54">
        <f t="shared" si="169"/>
        <v>0.11772782390939102</v>
      </c>
      <c r="L102" s="8">
        <f t="shared" si="169"/>
        <v>0.11196170559202089</v>
      </c>
      <c r="M102" s="8">
        <f t="shared" si="169"/>
        <v>9.6782016228133483E-2</v>
      </c>
      <c r="N102" s="8">
        <f t="shared" si="169"/>
        <v>8.6936002711131236E-2</v>
      </c>
      <c r="O102" s="8">
        <f t="shared" si="169"/>
        <v>8.7468249063825707E-2</v>
      </c>
      <c r="P102" s="8">
        <f t="shared" si="169"/>
        <v>2.7999443633978147E-2</v>
      </c>
      <c r="Q102" s="8">
        <f t="shared" si="169"/>
        <v>2.8249642938061734E-2</v>
      </c>
      <c r="R102" s="8">
        <f t="shared" si="169"/>
        <v>2.2897362385812796E-2</v>
      </c>
      <c r="S102" s="8">
        <f t="shared" si="169"/>
        <v>2.5406506412841638E-2</v>
      </c>
      <c r="T102" s="8">
        <f t="shared" si="169"/>
        <v>2.6659051256896282E-2</v>
      </c>
      <c r="U102" s="8">
        <f t="shared" ref="U102:AI102" si="170">U64</f>
        <v>2.4354029645171704E-2</v>
      </c>
      <c r="V102" s="8">
        <f t="shared" si="170"/>
        <v>3.318282579827609E-2</v>
      </c>
      <c r="W102" s="8">
        <f t="shared" si="170"/>
        <v>3.1950778066925097E-2</v>
      </c>
      <c r="X102" s="8">
        <f t="shared" si="170"/>
        <v>2.921140758604036E-2</v>
      </c>
      <c r="Y102" s="8">
        <f t="shared" si="170"/>
        <v>1.9155689038202788E-2</v>
      </c>
      <c r="Z102" s="8">
        <f t="shared" si="170"/>
        <v>2.6521108735886312E-2</v>
      </c>
      <c r="AA102" s="8">
        <f t="shared" si="170"/>
        <v>2.2442757317103174E-2</v>
      </c>
      <c r="AB102" s="8">
        <f t="shared" si="170"/>
        <v>3.2399754295362092E-2</v>
      </c>
      <c r="AC102" s="8">
        <f t="shared" si="170"/>
        <v>1.7553066687029825E-2</v>
      </c>
      <c r="AD102" s="8">
        <f t="shared" si="170"/>
        <v>2.645415931481845E-2</v>
      </c>
      <c r="AE102" s="8">
        <f t="shared" si="170"/>
        <v>3.0279275500556566E-2</v>
      </c>
      <c r="AF102" s="8">
        <f t="shared" si="170"/>
        <v>2.7770124201814777E-2</v>
      </c>
      <c r="AG102" s="8">
        <f t="shared" si="170"/>
        <v>3.026246939876592E-2</v>
      </c>
      <c r="AH102" s="8">
        <f t="shared" si="170"/>
        <v>2.6162503346214734E-2</v>
      </c>
      <c r="AI102" s="8">
        <f t="shared" si="170"/>
        <v>3.1772333750068597E-2</v>
      </c>
      <c r="AJ102" s="8">
        <f t="shared" ref="AJ102:BJ102" si="171">AJ64</f>
        <v>3.0259014460582167E-2</v>
      </c>
      <c r="AK102" s="8">
        <f t="shared" si="171"/>
        <v>3.1700667921611678E-2</v>
      </c>
      <c r="AL102" s="8">
        <f t="shared" si="171"/>
        <v>2.5484770652948709E-2</v>
      </c>
      <c r="AM102" s="8">
        <f t="shared" si="171"/>
        <v>2.2699511946186173E-2</v>
      </c>
      <c r="AN102" s="8">
        <f t="shared" si="171"/>
        <v>2.6690040951875483E-2</v>
      </c>
      <c r="AO102" s="8">
        <f t="shared" si="171"/>
        <v>3.5517790308483607E-2</v>
      </c>
      <c r="AP102" s="8">
        <f t="shared" si="171"/>
        <v>3.9503118658624277E-2</v>
      </c>
      <c r="AQ102" s="8">
        <f t="shared" si="171"/>
        <v>3.4363076952765692E-2</v>
      </c>
      <c r="AR102" s="8">
        <f t="shared" si="171"/>
        <v>4.3345599158420706E-2</v>
      </c>
      <c r="AS102" s="8">
        <f t="shared" si="171"/>
        <v>4.3306072893519967E-2</v>
      </c>
      <c r="AT102" s="8">
        <f t="shared" si="171"/>
        <v>4.2442184185739099E-2</v>
      </c>
      <c r="AU102" s="8">
        <f t="shared" si="171"/>
        <v>3.4351939302555236E-2</v>
      </c>
      <c r="AV102" s="8">
        <f t="shared" si="171"/>
        <v>3.5829847571390856E-2</v>
      </c>
      <c r="AW102" s="8">
        <f t="shared" si="171"/>
        <v>3.3506609042466114E-2</v>
      </c>
      <c r="AX102" s="8">
        <f t="shared" si="171"/>
        <v>3.237019578242422E-2</v>
      </c>
      <c r="AY102" s="8">
        <f t="shared" si="171"/>
        <v>3.8576540576554651E-2</v>
      </c>
      <c r="AZ102" s="8">
        <f t="shared" si="171"/>
        <v>3.8200815309511853E-2</v>
      </c>
      <c r="BA102" s="8">
        <f t="shared" si="171"/>
        <v>2.5334361031864538E-2</v>
      </c>
      <c r="BB102" s="8">
        <f t="shared" si="171"/>
        <v>3.0457718809499292E-2</v>
      </c>
      <c r="BC102" s="8">
        <f t="shared" si="171"/>
        <v>2.3127867294890605E-2</v>
      </c>
      <c r="BD102" s="8">
        <f t="shared" si="171"/>
        <v>2.541095216279143E-2</v>
      </c>
      <c r="BE102" s="8">
        <f t="shared" si="171"/>
        <v>2.2706348550680697E-2</v>
      </c>
      <c r="BF102" s="8">
        <f t="shared" si="171"/>
        <v>2.0657976652042432E-2</v>
      </c>
      <c r="BG102" s="8">
        <f t="shared" si="171"/>
        <v>3.2417606815207917E-2</v>
      </c>
      <c r="BH102" s="8">
        <f t="shared" si="171"/>
        <v>2.5707932073396157E-2</v>
      </c>
      <c r="BI102" s="8">
        <f t="shared" si="171"/>
        <v>2.7244751386797286E-2</v>
      </c>
      <c r="BJ102" s="8">
        <f t="shared" si="171"/>
        <v>3.0999118645368702E-2</v>
      </c>
      <c r="BK102" s="8"/>
      <c r="BL102" s="8"/>
      <c r="BM102" s="8"/>
      <c r="BN102" s="8">
        <f t="shared" ref="BN102:BN107" si="172">BN64</f>
        <v>0.10982181399304476</v>
      </c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</row>
    <row r="103" spans="1:79" s="5" customFormat="1">
      <c r="A103" s="4" t="s">
        <v>122</v>
      </c>
      <c r="B103" s="54">
        <f t="shared" si="168"/>
        <v>3.6184244973482579E-3</v>
      </c>
      <c r="C103" s="8">
        <f t="shared" ref="C103:T103" si="173">C65</f>
        <v>0</v>
      </c>
      <c r="D103" s="8">
        <f t="shared" si="173"/>
        <v>0</v>
      </c>
      <c r="E103" s="8">
        <f t="shared" si="173"/>
        <v>3.6210273734546294E-3</v>
      </c>
      <c r="F103" s="8">
        <f t="shared" si="173"/>
        <v>0</v>
      </c>
      <c r="G103" s="8">
        <f t="shared" si="173"/>
        <v>0</v>
      </c>
      <c r="H103" s="8">
        <f t="shared" si="173"/>
        <v>0</v>
      </c>
      <c r="I103" s="8">
        <f t="shared" si="173"/>
        <v>0</v>
      </c>
      <c r="J103" s="8">
        <f t="shared" si="173"/>
        <v>0</v>
      </c>
      <c r="K103" s="54">
        <f t="shared" si="173"/>
        <v>0</v>
      </c>
      <c r="L103" s="8">
        <f t="shared" si="173"/>
        <v>0</v>
      </c>
      <c r="M103" s="8">
        <f t="shared" si="173"/>
        <v>0</v>
      </c>
      <c r="N103" s="8">
        <f t="shared" si="173"/>
        <v>0</v>
      </c>
      <c r="O103" s="8">
        <f t="shared" si="173"/>
        <v>0</v>
      </c>
      <c r="P103" s="8">
        <f t="shared" si="173"/>
        <v>0</v>
      </c>
      <c r="Q103" s="8">
        <f t="shared" si="173"/>
        <v>0</v>
      </c>
      <c r="R103" s="8">
        <f t="shared" si="173"/>
        <v>0</v>
      </c>
      <c r="S103" s="8">
        <f t="shared" si="173"/>
        <v>0</v>
      </c>
      <c r="T103" s="8">
        <f t="shared" si="173"/>
        <v>0</v>
      </c>
      <c r="U103" s="8">
        <f t="shared" ref="U103:AI103" si="174">U65</f>
        <v>0</v>
      </c>
      <c r="V103" s="8">
        <f t="shared" si="174"/>
        <v>0</v>
      </c>
      <c r="W103" s="8">
        <f t="shared" si="174"/>
        <v>0</v>
      </c>
      <c r="X103" s="8">
        <f t="shared" si="174"/>
        <v>0</v>
      </c>
      <c r="Y103" s="8">
        <f t="shared" si="174"/>
        <v>0</v>
      </c>
      <c r="Z103" s="8">
        <f t="shared" si="174"/>
        <v>0</v>
      </c>
      <c r="AA103" s="8">
        <f t="shared" si="174"/>
        <v>0</v>
      </c>
      <c r="AB103" s="8">
        <f t="shared" si="174"/>
        <v>0</v>
      </c>
      <c r="AC103" s="8">
        <f t="shared" si="174"/>
        <v>0</v>
      </c>
      <c r="AD103" s="8">
        <f t="shared" si="174"/>
        <v>0</v>
      </c>
      <c r="AE103" s="8">
        <f t="shared" si="174"/>
        <v>0</v>
      </c>
      <c r="AF103" s="8">
        <f t="shared" si="174"/>
        <v>0</v>
      </c>
      <c r="AG103" s="8">
        <f t="shared" si="174"/>
        <v>0</v>
      </c>
      <c r="AH103" s="8">
        <f t="shared" si="174"/>
        <v>0</v>
      </c>
      <c r="AI103" s="8">
        <f t="shared" si="174"/>
        <v>0</v>
      </c>
      <c r="AJ103" s="8">
        <f t="shared" ref="AJ103:BJ103" si="175">AJ65</f>
        <v>0</v>
      </c>
      <c r="AK103" s="8">
        <f t="shared" si="175"/>
        <v>0</v>
      </c>
      <c r="AL103" s="8">
        <f t="shared" si="175"/>
        <v>0</v>
      </c>
      <c r="AM103" s="8">
        <f t="shared" si="175"/>
        <v>0</v>
      </c>
      <c r="AN103" s="8">
        <f t="shared" si="175"/>
        <v>0</v>
      </c>
      <c r="AO103" s="8">
        <f t="shared" si="175"/>
        <v>0</v>
      </c>
      <c r="AP103" s="8">
        <f t="shared" si="175"/>
        <v>0</v>
      </c>
      <c r="AQ103" s="8">
        <f t="shared" si="175"/>
        <v>0</v>
      </c>
      <c r="AR103" s="8">
        <f t="shared" si="175"/>
        <v>0</v>
      </c>
      <c r="AS103" s="8">
        <f t="shared" si="175"/>
        <v>0</v>
      </c>
      <c r="AT103" s="8">
        <f t="shared" si="175"/>
        <v>0</v>
      </c>
      <c r="AU103" s="8">
        <f t="shared" si="175"/>
        <v>0</v>
      </c>
      <c r="AV103" s="8">
        <f t="shared" si="175"/>
        <v>0</v>
      </c>
      <c r="AW103" s="8">
        <f t="shared" si="175"/>
        <v>0</v>
      </c>
      <c r="AX103" s="8">
        <f t="shared" si="175"/>
        <v>0</v>
      </c>
      <c r="AY103" s="8">
        <f t="shared" si="175"/>
        <v>0</v>
      </c>
      <c r="AZ103" s="8">
        <f t="shared" si="175"/>
        <v>0</v>
      </c>
      <c r="BA103" s="8">
        <f t="shared" si="175"/>
        <v>0</v>
      </c>
      <c r="BB103" s="8">
        <f t="shared" si="175"/>
        <v>0</v>
      </c>
      <c r="BC103" s="8">
        <f t="shared" si="175"/>
        <v>0</v>
      </c>
      <c r="BD103" s="8">
        <f t="shared" si="175"/>
        <v>0</v>
      </c>
      <c r="BE103" s="8">
        <f t="shared" si="175"/>
        <v>0</v>
      </c>
      <c r="BF103" s="8">
        <f t="shared" si="175"/>
        <v>0</v>
      </c>
      <c r="BG103" s="8">
        <f t="shared" si="175"/>
        <v>0</v>
      </c>
      <c r="BH103" s="8">
        <f t="shared" si="175"/>
        <v>0</v>
      </c>
      <c r="BI103" s="8">
        <f t="shared" si="175"/>
        <v>0</v>
      </c>
      <c r="BJ103" s="8">
        <f t="shared" si="175"/>
        <v>0</v>
      </c>
      <c r="BK103" s="8"/>
      <c r="BL103" s="8"/>
      <c r="BM103" s="8"/>
      <c r="BN103" s="8">
        <f t="shared" si="172"/>
        <v>8.9507670978273396E-4</v>
      </c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</row>
    <row r="104" spans="1:79" s="5" customFormat="1">
      <c r="A104" s="4" t="s">
        <v>123</v>
      </c>
      <c r="B104" s="54">
        <f t="shared" si="168"/>
        <v>2.7853434436051328</v>
      </c>
      <c r="C104" s="8">
        <f t="shared" ref="C104:T104" si="176">C66</f>
        <v>2.8638341107123035</v>
      </c>
      <c r="D104" s="8">
        <f t="shared" si="176"/>
        <v>2.6544093074950621</v>
      </c>
      <c r="E104" s="8">
        <f t="shared" si="176"/>
        <v>2.679969315970701</v>
      </c>
      <c r="F104" s="8">
        <f t="shared" si="176"/>
        <v>2.7039337577228846</v>
      </c>
      <c r="G104" s="8">
        <f t="shared" si="176"/>
        <v>2.634138278506712</v>
      </c>
      <c r="H104" s="8">
        <f t="shared" si="176"/>
        <v>2.7344628619159472</v>
      </c>
      <c r="I104" s="8">
        <f t="shared" si="176"/>
        <v>2.7242957338292473</v>
      </c>
      <c r="J104" s="8">
        <f t="shared" si="176"/>
        <v>2.825369422122932</v>
      </c>
      <c r="K104" s="54">
        <f t="shared" si="176"/>
        <v>2.5838786192327223</v>
      </c>
      <c r="L104" s="8">
        <f t="shared" si="176"/>
        <v>2.8109430034737013</v>
      </c>
      <c r="M104" s="8">
        <f t="shared" si="176"/>
        <v>2.6940847162230619</v>
      </c>
      <c r="N104" s="8">
        <f t="shared" si="176"/>
        <v>2.6163304983109272</v>
      </c>
      <c r="O104" s="8">
        <f t="shared" si="176"/>
        <v>2.6585125411146793</v>
      </c>
      <c r="P104" s="8">
        <f t="shared" si="176"/>
        <v>2.7682493796559564</v>
      </c>
      <c r="Q104" s="8">
        <f t="shared" si="176"/>
        <v>3.546939065201907</v>
      </c>
      <c r="R104" s="8">
        <f t="shared" si="176"/>
        <v>2.6101863998811443</v>
      </c>
      <c r="S104" s="8">
        <f t="shared" si="176"/>
        <v>2.6021237981327432</v>
      </c>
      <c r="T104" s="8">
        <f t="shared" si="176"/>
        <v>2.6227295622240376</v>
      </c>
      <c r="U104" s="8">
        <f t="shared" ref="U104:AI104" si="177">U66</f>
        <v>2.5173374895200777</v>
      </c>
      <c r="V104" s="8">
        <f t="shared" si="177"/>
        <v>2.5154637399486561</v>
      </c>
      <c r="W104" s="8">
        <f t="shared" si="177"/>
        <v>2.7371085907453505</v>
      </c>
      <c r="X104" s="8">
        <f t="shared" si="177"/>
        <v>2.7669754937004623</v>
      </c>
      <c r="Y104" s="8">
        <f t="shared" si="177"/>
        <v>1.5843665176194637</v>
      </c>
      <c r="Z104" s="8">
        <f t="shared" si="177"/>
        <v>2.4869238512892671</v>
      </c>
      <c r="AA104" s="8">
        <f t="shared" si="177"/>
        <v>2.7448653031092203</v>
      </c>
      <c r="AB104" s="8">
        <f t="shared" si="177"/>
        <v>2.8464468626264052</v>
      </c>
      <c r="AC104" s="8">
        <f t="shared" si="177"/>
        <v>2.7778623196946763</v>
      </c>
      <c r="AD104" s="8">
        <f t="shared" si="177"/>
        <v>2.7222816538010881</v>
      </c>
      <c r="AE104" s="8">
        <f t="shared" si="177"/>
        <v>2.6886755664925879</v>
      </c>
      <c r="AF104" s="8">
        <f t="shared" si="177"/>
        <v>2.7411343416049498</v>
      </c>
      <c r="AG104" s="8">
        <f t="shared" si="177"/>
        <v>2.6361467425240082</v>
      </c>
      <c r="AH104" s="8">
        <f t="shared" si="177"/>
        <v>2.7141926271864456</v>
      </c>
      <c r="AI104" s="8">
        <f t="shared" si="177"/>
        <v>2.656963372466977</v>
      </c>
      <c r="AJ104" s="8">
        <f t="shared" ref="AJ104:BJ104" si="178">AJ66</f>
        <v>2.7578756822401016</v>
      </c>
      <c r="AK104" s="8">
        <f t="shared" si="178"/>
        <v>2.5193143800756239</v>
      </c>
      <c r="AL104" s="8">
        <f t="shared" si="178"/>
        <v>2.4890506389817992</v>
      </c>
      <c r="AM104" s="8">
        <f t="shared" si="178"/>
        <v>2.5854131866224246</v>
      </c>
      <c r="AN104" s="8">
        <f t="shared" si="178"/>
        <v>2.5676265222899475</v>
      </c>
      <c r="AO104" s="8">
        <f t="shared" si="178"/>
        <v>2.584975829029255</v>
      </c>
      <c r="AP104" s="8">
        <f t="shared" si="178"/>
        <v>2.2155760081524543</v>
      </c>
      <c r="AQ104" s="8">
        <f t="shared" si="178"/>
        <v>2.2150553950499905</v>
      </c>
      <c r="AR104" s="8">
        <f t="shared" si="178"/>
        <v>2.1986301984260739</v>
      </c>
      <c r="AS104" s="8">
        <f t="shared" si="178"/>
        <v>2.16300348154593</v>
      </c>
      <c r="AT104" s="8">
        <f t="shared" si="178"/>
        <v>2.1773030327383913</v>
      </c>
      <c r="AU104" s="8">
        <f t="shared" si="178"/>
        <v>2.4158444060856907</v>
      </c>
      <c r="AV104" s="8">
        <f t="shared" si="178"/>
        <v>2.1573095097729551</v>
      </c>
      <c r="AW104" s="8">
        <f t="shared" si="178"/>
        <v>2.1363285906894491</v>
      </c>
      <c r="AX104" s="8">
        <f t="shared" si="178"/>
        <v>1.7157749118313306</v>
      </c>
      <c r="AY104" s="8">
        <f t="shared" si="178"/>
        <v>2.1406870418420478</v>
      </c>
      <c r="AZ104" s="8">
        <f t="shared" si="178"/>
        <v>2.2229160884197103</v>
      </c>
      <c r="BA104" s="8">
        <f t="shared" si="178"/>
        <v>2.5278600926552999</v>
      </c>
      <c r="BB104" s="8">
        <f t="shared" si="178"/>
        <v>2.4990574339421521</v>
      </c>
      <c r="BC104" s="8">
        <f t="shared" si="178"/>
        <v>2.5641070678430227</v>
      </c>
      <c r="BD104" s="8">
        <f t="shared" si="178"/>
        <v>2.4706614593115708</v>
      </c>
      <c r="BE104" s="8">
        <f t="shared" si="178"/>
        <v>2.5484534354809982</v>
      </c>
      <c r="BF104" s="8">
        <f t="shared" si="178"/>
        <v>2.1630410801556201</v>
      </c>
      <c r="BG104" s="8">
        <f t="shared" si="178"/>
        <v>2.1564171144079696</v>
      </c>
      <c r="BH104" s="8">
        <f t="shared" si="178"/>
        <v>2.2235693831222578</v>
      </c>
      <c r="BI104" s="8">
        <f t="shared" si="178"/>
        <v>2.1301256297903723</v>
      </c>
      <c r="BJ104" s="8">
        <f t="shared" si="178"/>
        <v>2.2116223211818444</v>
      </c>
      <c r="BK104" s="8"/>
      <c r="BL104" s="8"/>
      <c r="BM104" s="8"/>
      <c r="BN104" s="8">
        <f t="shared" si="172"/>
        <v>2.7225470557153724</v>
      </c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</row>
    <row r="105" spans="1:79" s="5" customFormat="1">
      <c r="A105" s="4" t="s">
        <v>124</v>
      </c>
      <c r="B105" s="54">
        <f t="shared" si="168"/>
        <v>1.6855474855929462</v>
      </c>
      <c r="C105" s="8">
        <f t="shared" ref="C105:T105" si="179">C67</f>
        <v>1.6673918318879901</v>
      </c>
      <c r="D105" s="8">
        <f t="shared" si="179"/>
        <v>1.669082626281158</v>
      </c>
      <c r="E105" s="8">
        <f t="shared" si="179"/>
        <v>1.6079694629955499</v>
      </c>
      <c r="F105" s="8">
        <f t="shared" si="179"/>
        <v>1.7260324936151394</v>
      </c>
      <c r="G105" s="8">
        <f t="shared" si="179"/>
        <v>1.7377385243519941</v>
      </c>
      <c r="H105" s="8">
        <f t="shared" si="179"/>
        <v>1.748183877697816</v>
      </c>
      <c r="I105" s="8">
        <f t="shared" si="179"/>
        <v>1.704367097414037</v>
      </c>
      <c r="J105" s="8">
        <f t="shared" si="179"/>
        <v>1.6227901796155355</v>
      </c>
      <c r="K105" s="54">
        <f t="shared" si="179"/>
        <v>1.7317861917212145</v>
      </c>
      <c r="L105" s="8">
        <f t="shared" si="179"/>
        <v>1.6491231633462284</v>
      </c>
      <c r="M105" s="8">
        <f t="shared" si="179"/>
        <v>1.7186777196477869</v>
      </c>
      <c r="N105" s="8">
        <f t="shared" si="179"/>
        <v>1.6558879173819954</v>
      </c>
      <c r="O105" s="8">
        <f t="shared" si="179"/>
        <v>1.7149321567319784</v>
      </c>
      <c r="P105" s="8">
        <f t="shared" si="179"/>
        <v>1.9527755759678018</v>
      </c>
      <c r="Q105" s="8">
        <f t="shared" si="179"/>
        <v>1.9637989054975564</v>
      </c>
      <c r="R105" s="8">
        <f t="shared" si="179"/>
        <v>1.9228511686648742</v>
      </c>
      <c r="S105" s="8">
        <f t="shared" si="179"/>
        <v>1.9330602697267472</v>
      </c>
      <c r="T105" s="8">
        <f t="shared" si="179"/>
        <v>1.9381950399477066</v>
      </c>
      <c r="U105" s="8">
        <f t="shared" ref="U105:AI105" si="180">U67</f>
        <v>1.9245657873294166</v>
      </c>
      <c r="V105" s="8">
        <f t="shared" si="180"/>
        <v>1.9517812104998657</v>
      </c>
      <c r="W105" s="8">
        <f t="shared" si="180"/>
        <v>1.9480194537794764</v>
      </c>
      <c r="X105" s="8">
        <f t="shared" si="180"/>
        <v>1.9005277091564128</v>
      </c>
      <c r="Y105" s="8">
        <f t="shared" si="180"/>
        <v>2.6233567665288371</v>
      </c>
      <c r="Z105" s="8">
        <f t="shared" si="180"/>
        <v>2.0927073028503611</v>
      </c>
      <c r="AA105" s="8">
        <f t="shared" si="180"/>
        <v>2.1417476099034576</v>
      </c>
      <c r="AB105" s="8">
        <f t="shared" si="180"/>
        <v>1.7875007640804443</v>
      </c>
      <c r="AC105" s="8">
        <f t="shared" si="180"/>
        <v>1.7905387400542274</v>
      </c>
      <c r="AD105" s="8">
        <f t="shared" si="180"/>
        <v>1.8292849898223094</v>
      </c>
      <c r="AE105" s="8">
        <f t="shared" si="180"/>
        <v>1.7746137321649686</v>
      </c>
      <c r="AF105" s="8">
        <f t="shared" si="180"/>
        <v>1.7882901184708782</v>
      </c>
      <c r="AG105" s="8">
        <f t="shared" si="180"/>
        <v>1.7879836658499981</v>
      </c>
      <c r="AH105" s="8">
        <f t="shared" si="180"/>
        <v>1.7602647335059398</v>
      </c>
      <c r="AI105" s="8">
        <f t="shared" si="180"/>
        <v>1.8069254351590331</v>
      </c>
      <c r="AJ105" s="8">
        <f t="shared" ref="AJ105:BJ105" si="181">AJ67</f>
        <v>1.7558833833943615</v>
      </c>
      <c r="AK105" s="8">
        <f t="shared" si="181"/>
        <v>1.7723745076980613</v>
      </c>
      <c r="AL105" s="8">
        <f t="shared" si="181"/>
        <v>1.7601034129659225</v>
      </c>
      <c r="AM105" s="8">
        <f t="shared" si="181"/>
        <v>1.7339571922979311</v>
      </c>
      <c r="AN105" s="8">
        <f t="shared" si="181"/>
        <v>1.721806048237567</v>
      </c>
      <c r="AO105" s="8">
        <f t="shared" si="181"/>
        <v>1.7457482514334348</v>
      </c>
      <c r="AP105" s="8">
        <f t="shared" si="181"/>
        <v>1.9004143773009596</v>
      </c>
      <c r="AQ105" s="8">
        <f t="shared" si="181"/>
        <v>1.8819479358021998</v>
      </c>
      <c r="AR105" s="8">
        <f t="shared" si="181"/>
        <v>1.910949703935845</v>
      </c>
      <c r="AS105" s="8">
        <f t="shared" si="181"/>
        <v>1.8979291179483633</v>
      </c>
      <c r="AT105" s="8">
        <f t="shared" si="181"/>
        <v>1.857867350086819</v>
      </c>
      <c r="AU105" s="8">
        <f t="shared" si="181"/>
        <v>1.8893847483030148</v>
      </c>
      <c r="AV105" s="8">
        <f t="shared" si="181"/>
        <v>1.8517304427122512</v>
      </c>
      <c r="AW105" s="8">
        <f t="shared" si="181"/>
        <v>1.9023604095990643</v>
      </c>
      <c r="AX105" s="8">
        <f t="shared" si="181"/>
        <v>2.3502931310574757</v>
      </c>
      <c r="AY105" s="8">
        <f t="shared" si="181"/>
        <v>1.8672769018028756</v>
      </c>
      <c r="AZ105" s="8">
        <f t="shared" si="181"/>
        <v>1.890968468026111</v>
      </c>
      <c r="BA105" s="8">
        <f t="shared" si="181"/>
        <v>1.9259687672591692</v>
      </c>
      <c r="BB105" s="8">
        <f t="shared" si="181"/>
        <v>1.8974416112710499</v>
      </c>
      <c r="BC105" s="8">
        <f t="shared" si="181"/>
        <v>1.9373324363793829</v>
      </c>
      <c r="BD105" s="8">
        <f t="shared" si="181"/>
        <v>1.9205413451484155</v>
      </c>
      <c r="BE105" s="8">
        <f t="shared" si="181"/>
        <v>1.9147886913214887</v>
      </c>
      <c r="BF105" s="8">
        <f t="shared" si="181"/>
        <v>1.8928493416087702</v>
      </c>
      <c r="BG105" s="8">
        <f t="shared" si="181"/>
        <v>1.8600251187257906</v>
      </c>
      <c r="BH105" s="8">
        <f t="shared" si="181"/>
        <v>1.9007126801768881</v>
      </c>
      <c r="BI105" s="8">
        <f t="shared" si="181"/>
        <v>1.8708252319838774</v>
      </c>
      <c r="BJ105" s="8">
        <f t="shared" si="181"/>
        <v>1.957310543165367</v>
      </c>
      <c r="BK105" s="8"/>
      <c r="BL105" s="8"/>
      <c r="BM105" s="8"/>
      <c r="BN105" s="8">
        <f t="shared" si="172"/>
        <v>1.6934283078591217</v>
      </c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</row>
    <row r="106" spans="1:79" s="5" customFormat="1">
      <c r="A106" s="4" t="s">
        <v>125</v>
      </c>
      <c r="B106" s="54">
        <f t="shared" si="168"/>
        <v>0.39252894522275983</v>
      </c>
      <c r="C106" s="8">
        <f t="shared" ref="C106:T106" si="182">C68</f>
        <v>0.40115272722834699</v>
      </c>
      <c r="D106" s="8">
        <f t="shared" si="182"/>
        <v>0.43228955191115565</v>
      </c>
      <c r="E106" s="8">
        <f t="shared" si="182"/>
        <v>0.40445016038159048</v>
      </c>
      <c r="F106" s="8">
        <f t="shared" si="182"/>
        <v>0.3993986921397884</v>
      </c>
      <c r="G106" s="8">
        <f t="shared" si="182"/>
        <v>0.42252932597911136</v>
      </c>
      <c r="H106" s="8">
        <f t="shared" si="182"/>
        <v>0.3932769546816271</v>
      </c>
      <c r="I106" s="8">
        <f t="shared" si="182"/>
        <v>0.40228049443378033</v>
      </c>
      <c r="J106" s="8">
        <f t="shared" si="182"/>
        <v>0.40355853584198875</v>
      </c>
      <c r="K106" s="54">
        <f t="shared" si="182"/>
        <v>0.39058543823748787</v>
      </c>
      <c r="L106" s="8">
        <f t="shared" si="182"/>
        <v>0.43566799284592356</v>
      </c>
      <c r="M106" s="8">
        <f t="shared" si="182"/>
        <v>0.41716625453069955</v>
      </c>
      <c r="N106" s="8">
        <f t="shared" si="182"/>
        <v>0.47008393440268598</v>
      </c>
      <c r="O106" s="8">
        <f t="shared" si="182"/>
        <v>0.43188345591574112</v>
      </c>
      <c r="P106" s="8">
        <f t="shared" si="182"/>
        <v>0.40201571946512926</v>
      </c>
      <c r="Q106" s="8">
        <f t="shared" si="182"/>
        <v>0.20804346305477056</v>
      </c>
      <c r="R106" s="8">
        <f t="shared" si="182"/>
        <v>0.48625787891631828</v>
      </c>
      <c r="S106" s="8">
        <f t="shared" si="182"/>
        <v>0.45651161825855296</v>
      </c>
      <c r="T106" s="8">
        <f t="shared" si="182"/>
        <v>0.46492468480353327</v>
      </c>
      <c r="U106" s="8">
        <f t="shared" ref="U106:AI106" si="183">U68</f>
        <v>0.48116973748590064</v>
      </c>
      <c r="V106" s="8">
        <f t="shared" si="183"/>
        <v>0.4907796296860234</v>
      </c>
      <c r="W106" s="8">
        <f t="shared" si="183"/>
        <v>0.36274408779703743</v>
      </c>
      <c r="X106" s="8">
        <f t="shared" si="183"/>
        <v>0.44188113832417486</v>
      </c>
      <c r="Y106" s="8">
        <f t="shared" si="183"/>
        <v>0.3069255523578116</v>
      </c>
      <c r="Z106" s="8">
        <f t="shared" si="183"/>
        <v>0.3642337240613534</v>
      </c>
      <c r="AA106" s="8">
        <f t="shared" si="183"/>
        <v>0.33390797950120227</v>
      </c>
      <c r="AB106" s="8">
        <f t="shared" si="183"/>
        <v>0.59329259990322358</v>
      </c>
      <c r="AC106" s="8">
        <f t="shared" si="183"/>
        <v>0.7088578417230007</v>
      </c>
      <c r="AD106" s="8">
        <f t="shared" si="183"/>
        <v>0.7237450711929182</v>
      </c>
      <c r="AE106" s="8">
        <f t="shared" si="183"/>
        <v>0.74505986855755046</v>
      </c>
      <c r="AF106" s="8">
        <f t="shared" si="183"/>
        <v>0.75988543012866994</v>
      </c>
      <c r="AG106" s="8">
        <f t="shared" si="183"/>
        <v>0.76196368975324569</v>
      </c>
      <c r="AH106" s="8">
        <f t="shared" si="183"/>
        <v>0.73857906591382527</v>
      </c>
      <c r="AI106" s="8">
        <f t="shared" si="183"/>
        <v>0.74179946436487643</v>
      </c>
      <c r="AJ106" s="8">
        <f t="shared" ref="AJ106:BJ106" si="184">AJ68</f>
        <v>0.73878952686575827</v>
      </c>
      <c r="AK106" s="8">
        <f t="shared" si="184"/>
        <v>0.70819924288562452</v>
      </c>
      <c r="AL106" s="8">
        <f t="shared" si="184"/>
        <v>0.75541869015896479</v>
      </c>
      <c r="AM106" s="8">
        <f t="shared" si="184"/>
        <v>0.71298139225881418</v>
      </c>
      <c r="AN106" s="8">
        <f t="shared" si="184"/>
        <v>0.72438011544948477</v>
      </c>
      <c r="AO106" s="8">
        <f t="shared" si="184"/>
        <v>0.74910870057566081</v>
      </c>
      <c r="AP106" s="8">
        <f t="shared" si="184"/>
        <v>0.41126905177303613</v>
      </c>
      <c r="AQ106" s="8">
        <f t="shared" si="184"/>
        <v>0.37871182036575035</v>
      </c>
      <c r="AR106" s="8">
        <f t="shared" si="184"/>
        <v>0.42020944839785368</v>
      </c>
      <c r="AS106" s="8">
        <f t="shared" si="184"/>
        <v>0.43440356596345453</v>
      </c>
      <c r="AT106" s="8">
        <f t="shared" si="184"/>
        <v>0.46513401514832403</v>
      </c>
      <c r="AU106" s="8">
        <f t="shared" si="184"/>
        <v>0.33781794251308533</v>
      </c>
      <c r="AV106" s="8">
        <f t="shared" si="184"/>
        <v>0.45107097010243746</v>
      </c>
      <c r="AW106" s="8">
        <f t="shared" si="184"/>
        <v>0.45132125682114788</v>
      </c>
      <c r="AX106" s="8">
        <f t="shared" si="184"/>
        <v>0.29637566754449052</v>
      </c>
      <c r="AY106" s="8">
        <f t="shared" si="184"/>
        <v>0.46798978774673311</v>
      </c>
      <c r="AZ106" s="8">
        <f t="shared" si="184"/>
        <v>0.41971172052957451</v>
      </c>
      <c r="BA106" s="8">
        <f t="shared" si="184"/>
        <v>0.57119370623394328</v>
      </c>
      <c r="BB106" s="8">
        <f t="shared" si="184"/>
        <v>0.57806468092712504</v>
      </c>
      <c r="BC106" s="8">
        <f t="shared" si="184"/>
        <v>0.56173783564198221</v>
      </c>
      <c r="BD106" s="8">
        <f t="shared" si="184"/>
        <v>0.56710409336021317</v>
      </c>
      <c r="BE106" s="8">
        <f t="shared" si="184"/>
        <v>0.56593700758888554</v>
      </c>
      <c r="BF106" s="8">
        <f t="shared" si="184"/>
        <v>0.70336699316796059</v>
      </c>
      <c r="BG106" s="8">
        <f t="shared" si="184"/>
        <v>0.71827960564731408</v>
      </c>
      <c r="BH106" s="8">
        <f t="shared" si="184"/>
        <v>0.66199833005608588</v>
      </c>
      <c r="BI106" s="8">
        <f t="shared" si="184"/>
        <v>0.65925549240225367</v>
      </c>
      <c r="BJ106" s="8">
        <f t="shared" si="184"/>
        <v>0.64451321418253316</v>
      </c>
      <c r="BK106" s="8"/>
      <c r="BL106" s="8"/>
      <c r="BM106" s="8"/>
      <c r="BN106" s="8">
        <f t="shared" si="172"/>
        <v>0.40601549380110263</v>
      </c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</row>
    <row r="107" spans="1:79" s="5" customFormat="1">
      <c r="A107" s="4" t="s">
        <v>126</v>
      </c>
      <c r="B107" s="54">
        <f t="shared" si="168"/>
        <v>4.5915978453025898E-2</v>
      </c>
      <c r="C107" s="8">
        <f t="shared" ref="C107:T107" si="185">C69</f>
        <v>2.6395168088181962E-2</v>
      </c>
      <c r="D107" s="8">
        <f t="shared" si="185"/>
        <v>5.0859986303415712E-2</v>
      </c>
      <c r="E107" s="8">
        <f t="shared" si="185"/>
        <v>4.7863549620377088E-2</v>
      </c>
      <c r="F107" s="8">
        <f t="shared" si="185"/>
        <v>6.4281416474291989E-2</v>
      </c>
      <c r="G107" s="8">
        <f t="shared" si="185"/>
        <v>4.917309601468646E-2</v>
      </c>
      <c r="H107" s="8">
        <f t="shared" si="185"/>
        <v>3.9665406442776573E-2</v>
      </c>
      <c r="I107" s="8">
        <f t="shared" si="185"/>
        <v>4.3176991834024118E-2</v>
      </c>
      <c r="J107" s="8">
        <f t="shared" si="185"/>
        <v>3.0131592860891298E-2</v>
      </c>
      <c r="K107" s="54">
        <f t="shared" si="185"/>
        <v>5.3790401346843375E-2</v>
      </c>
      <c r="L107" s="8">
        <f t="shared" si="185"/>
        <v>2.6230522560541782E-2</v>
      </c>
      <c r="M107" s="8">
        <f t="shared" si="185"/>
        <v>4.1646502184865659E-2</v>
      </c>
      <c r="N107" s="8">
        <f t="shared" si="185"/>
        <v>4.743976141050122E-2</v>
      </c>
      <c r="O107" s="8">
        <f t="shared" si="185"/>
        <v>4.7048340793453165E-2</v>
      </c>
      <c r="P107" s="8">
        <f t="shared" si="185"/>
        <v>0.13992698987998076</v>
      </c>
      <c r="Q107" s="8">
        <f t="shared" si="185"/>
        <v>4.8096157988119087E-2</v>
      </c>
      <c r="R107" s="8">
        <f t="shared" si="185"/>
        <v>0.18967061731620408</v>
      </c>
      <c r="S107" s="8">
        <f t="shared" si="185"/>
        <v>0.19514931765561591</v>
      </c>
      <c r="T107" s="8">
        <f t="shared" si="185"/>
        <v>0.17972362065209022</v>
      </c>
      <c r="U107" s="8">
        <f t="shared" ref="U107:AI107" si="186">U69</f>
        <v>0.19498020102234223</v>
      </c>
      <c r="V107" s="8">
        <f t="shared" si="186"/>
        <v>0.20567225392846425</v>
      </c>
      <c r="W107" s="8">
        <f t="shared" si="186"/>
        <v>0.13473839835358178</v>
      </c>
      <c r="X107" s="8">
        <f t="shared" si="186"/>
        <v>0.14537514180259559</v>
      </c>
      <c r="Y107" s="8">
        <f t="shared" si="186"/>
        <v>0.12886448208252005</v>
      </c>
      <c r="Z107" s="8">
        <f t="shared" si="186"/>
        <v>0.131242164025308</v>
      </c>
      <c r="AA107" s="8">
        <f t="shared" si="186"/>
        <v>7.5113086850830289E-3</v>
      </c>
      <c r="AB107" s="8">
        <f t="shared" si="186"/>
        <v>1.8768098729790142E-2</v>
      </c>
      <c r="AC107" s="8">
        <f t="shared" si="186"/>
        <v>2.8324883793854286E-2</v>
      </c>
      <c r="AD107" s="8">
        <f t="shared" si="186"/>
        <v>2.6561623486415806E-2</v>
      </c>
      <c r="AE107" s="8">
        <f t="shared" si="186"/>
        <v>2.6601993565606632E-2</v>
      </c>
      <c r="AF107" s="8">
        <f t="shared" si="186"/>
        <v>2.2813309791593916E-2</v>
      </c>
      <c r="AG107" s="8">
        <f t="shared" si="186"/>
        <v>2.6587228489352098E-2</v>
      </c>
      <c r="AH107" s="8">
        <f t="shared" si="186"/>
        <v>2.2516099482807819E-2</v>
      </c>
      <c r="AI107" s="8">
        <f t="shared" si="186"/>
        <v>3.4453513975469287E-2</v>
      </c>
      <c r="AJ107" s="8">
        <f t="shared" ref="AJ107:BJ107" si="187">AJ69</f>
        <v>2.2786451261043703E-2</v>
      </c>
      <c r="AK107" s="8">
        <f t="shared" si="187"/>
        <v>8.5939501160077744E-2</v>
      </c>
      <c r="AL107" s="8">
        <f t="shared" si="187"/>
        <v>6.1411912553994814E-2</v>
      </c>
      <c r="AM107" s="8">
        <f t="shared" si="187"/>
        <v>7.2173791695224254E-2</v>
      </c>
      <c r="AN107" s="8">
        <f t="shared" si="187"/>
        <v>7.082451025691848E-2</v>
      </c>
      <c r="AO107" s="8">
        <f t="shared" si="187"/>
        <v>5.349311021471128E-2</v>
      </c>
      <c r="AP107" s="8">
        <f t="shared" si="187"/>
        <v>2.494967842457968E-2</v>
      </c>
      <c r="AQ107" s="8">
        <f t="shared" si="187"/>
        <v>3.4502669353125827E-2</v>
      </c>
      <c r="AR107" s="8">
        <f t="shared" si="187"/>
        <v>2.8801112471907916E-2</v>
      </c>
      <c r="AS107" s="8">
        <f t="shared" si="187"/>
        <v>3.0693172402623963E-2</v>
      </c>
      <c r="AT107" s="8">
        <f t="shared" si="187"/>
        <v>7.7481083949913782E-3</v>
      </c>
      <c r="AU107" s="8">
        <f t="shared" si="187"/>
        <v>3.065909907437742E-2</v>
      </c>
      <c r="AV107" s="8">
        <f t="shared" si="187"/>
        <v>2.6981548802247908E-2</v>
      </c>
      <c r="AW107" s="8">
        <f t="shared" si="187"/>
        <v>3.2995746803831549E-2</v>
      </c>
      <c r="AX107" s="8">
        <f t="shared" si="187"/>
        <v>1.3650710868386231E-2</v>
      </c>
      <c r="AY107" s="8">
        <f t="shared" si="187"/>
        <v>1.5493299696413632E-2</v>
      </c>
      <c r="AZ107" s="8">
        <f t="shared" si="187"/>
        <v>3.2602598022211125E-2</v>
      </c>
      <c r="BA107" s="8">
        <f t="shared" si="187"/>
        <v>7.6311828811778115E-3</v>
      </c>
      <c r="BB107" s="8">
        <f t="shared" si="187"/>
        <v>5.7340212292713673E-3</v>
      </c>
      <c r="BC107" s="8">
        <f t="shared" si="187"/>
        <v>7.7406063802673026E-3</v>
      </c>
      <c r="BD107" s="8">
        <f t="shared" si="187"/>
        <v>1.3394943731426273E-2</v>
      </c>
      <c r="BE107" s="8">
        <f t="shared" si="187"/>
        <v>1.7098941052437752E-2</v>
      </c>
      <c r="BF107" s="8">
        <f t="shared" si="187"/>
        <v>1.7500974001981692E-2</v>
      </c>
      <c r="BG107" s="8">
        <f t="shared" si="187"/>
        <v>2.7341408785652364E-2</v>
      </c>
      <c r="BH107" s="8">
        <f t="shared" si="187"/>
        <v>1.5487418917116798E-2</v>
      </c>
      <c r="BI107" s="8">
        <f t="shared" si="187"/>
        <v>9.7697954156568557E-3</v>
      </c>
      <c r="BJ107" s="8">
        <f t="shared" si="187"/>
        <v>2.3343784281810186E-2</v>
      </c>
      <c r="BK107" s="8"/>
      <c r="BL107" s="8"/>
      <c r="BM107" s="8"/>
      <c r="BN107" s="8">
        <f t="shared" si="172"/>
        <v>4.5905537596310629E-2</v>
      </c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</row>
    <row r="108" spans="1:79" s="5" customFormat="1">
      <c r="A108" s="4" t="s">
        <v>89</v>
      </c>
      <c r="B108" s="54">
        <f t="shared" ref="B108:T108" si="188">2-B109-B110</f>
        <v>2</v>
      </c>
      <c r="C108" s="8">
        <f t="shared" si="188"/>
        <v>2</v>
      </c>
      <c r="D108" s="8">
        <f t="shared" si="188"/>
        <v>2</v>
      </c>
      <c r="E108" s="8">
        <f t="shared" si="188"/>
        <v>2</v>
      </c>
      <c r="F108" s="8">
        <f t="shared" si="188"/>
        <v>2</v>
      </c>
      <c r="G108" s="8">
        <f t="shared" si="188"/>
        <v>2</v>
      </c>
      <c r="H108" s="8">
        <f t="shared" si="188"/>
        <v>2</v>
      </c>
      <c r="I108" s="8">
        <f t="shared" si="188"/>
        <v>2</v>
      </c>
      <c r="J108" s="8">
        <f t="shared" si="188"/>
        <v>2</v>
      </c>
      <c r="K108" s="54">
        <f t="shared" si="188"/>
        <v>2</v>
      </c>
      <c r="L108" s="8">
        <f t="shared" si="188"/>
        <v>2</v>
      </c>
      <c r="M108" s="8">
        <f t="shared" si="188"/>
        <v>2</v>
      </c>
      <c r="N108" s="8">
        <f t="shared" si="188"/>
        <v>2</v>
      </c>
      <c r="O108" s="8">
        <f t="shared" si="188"/>
        <v>2</v>
      </c>
      <c r="P108" s="8">
        <f t="shared" si="188"/>
        <v>2</v>
      </c>
      <c r="Q108" s="8">
        <f t="shared" si="188"/>
        <v>2</v>
      </c>
      <c r="R108" s="8">
        <f t="shared" si="188"/>
        <v>2</v>
      </c>
      <c r="S108" s="8">
        <f t="shared" si="188"/>
        <v>2</v>
      </c>
      <c r="T108" s="8">
        <f t="shared" si="188"/>
        <v>2</v>
      </c>
      <c r="U108" s="8">
        <f t="shared" ref="U108:AI108" si="189">2-U109-U110</f>
        <v>2</v>
      </c>
      <c r="V108" s="8">
        <f t="shared" si="189"/>
        <v>2</v>
      </c>
      <c r="W108" s="8">
        <f t="shared" si="189"/>
        <v>2</v>
      </c>
      <c r="X108" s="8">
        <f t="shared" si="189"/>
        <v>2</v>
      </c>
      <c r="Y108" s="8">
        <f t="shared" si="189"/>
        <v>2</v>
      </c>
      <c r="Z108" s="8">
        <f t="shared" si="189"/>
        <v>2</v>
      </c>
      <c r="AA108" s="8">
        <f t="shared" si="189"/>
        <v>2</v>
      </c>
      <c r="AB108" s="8">
        <f t="shared" si="189"/>
        <v>2</v>
      </c>
      <c r="AC108" s="8">
        <f t="shared" si="189"/>
        <v>2</v>
      </c>
      <c r="AD108" s="8">
        <f t="shared" si="189"/>
        <v>2</v>
      </c>
      <c r="AE108" s="8">
        <f t="shared" si="189"/>
        <v>2</v>
      </c>
      <c r="AF108" s="8">
        <f t="shared" si="189"/>
        <v>2</v>
      </c>
      <c r="AG108" s="8">
        <f t="shared" si="189"/>
        <v>2</v>
      </c>
      <c r="AH108" s="8">
        <f t="shared" si="189"/>
        <v>2</v>
      </c>
      <c r="AI108" s="8">
        <f t="shared" si="189"/>
        <v>2</v>
      </c>
      <c r="AJ108" s="8">
        <f t="shared" ref="AJ108:BJ108" si="190">2-AJ109-AJ110</f>
        <v>2</v>
      </c>
      <c r="AK108" s="8">
        <f t="shared" si="190"/>
        <v>2</v>
      </c>
      <c r="AL108" s="8">
        <f t="shared" si="190"/>
        <v>2</v>
      </c>
      <c r="AM108" s="8">
        <f t="shared" si="190"/>
        <v>2</v>
      </c>
      <c r="AN108" s="8">
        <f t="shared" si="190"/>
        <v>2</v>
      </c>
      <c r="AO108" s="8">
        <f t="shared" si="190"/>
        <v>2</v>
      </c>
      <c r="AP108" s="8">
        <f t="shared" si="190"/>
        <v>2</v>
      </c>
      <c r="AQ108" s="8">
        <f t="shared" si="190"/>
        <v>2</v>
      </c>
      <c r="AR108" s="8">
        <f t="shared" si="190"/>
        <v>2</v>
      </c>
      <c r="AS108" s="8">
        <f t="shared" si="190"/>
        <v>2</v>
      </c>
      <c r="AT108" s="8">
        <f t="shared" si="190"/>
        <v>2</v>
      </c>
      <c r="AU108" s="8">
        <f t="shared" si="190"/>
        <v>2</v>
      </c>
      <c r="AV108" s="8">
        <f t="shared" si="190"/>
        <v>2</v>
      </c>
      <c r="AW108" s="8">
        <f t="shared" si="190"/>
        <v>2</v>
      </c>
      <c r="AX108" s="8">
        <f t="shared" si="190"/>
        <v>2</v>
      </c>
      <c r="AY108" s="8">
        <f t="shared" si="190"/>
        <v>2</v>
      </c>
      <c r="AZ108" s="8">
        <f t="shared" si="190"/>
        <v>2</v>
      </c>
      <c r="BA108" s="8">
        <f t="shared" si="190"/>
        <v>2</v>
      </c>
      <c r="BB108" s="8">
        <f t="shared" si="190"/>
        <v>2</v>
      </c>
      <c r="BC108" s="8">
        <f t="shared" si="190"/>
        <v>2</v>
      </c>
      <c r="BD108" s="8">
        <f t="shared" si="190"/>
        <v>2</v>
      </c>
      <c r="BE108" s="8">
        <f t="shared" si="190"/>
        <v>2</v>
      </c>
      <c r="BF108" s="8">
        <f t="shared" si="190"/>
        <v>2</v>
      </c>
      <c r="BG108" s="8">
        <f t="shared" si="190"/>
        <v>2</v>
      </c>
      <c r="BH108" s="8">
        <f t="shared" si="190"/>
        <v>2</v>
      </c>
      <c r="BI108" s="8">
        <f t="shared" si="190"/>
        <v>2</v>
      </c>
      <c r="BJ108" s="8">
        <f t="shared" si="190"/>
        <v>2</v>
      </c>
      <c r="BK108" s="8"/>
      <c r="BL108" s="8"/>
      <c r="BM108" s="8"/>
      <c r="BN108" s="8">
        <f>2-BN109-BN110</f>
        <v>2</v>
      </c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</row>
    <row r="109" spans="1:79" s="5" customFormat="1">
      <c r="A109" s="4" t="s">
        <v>86</v>
      </c>
      <c r="B109" s="54">
        <f t="shared" ref="B109:T109" si="191">B71</f>
        <v>0</v>
      </c>
      <c r="C109" s="8">
        <f t="shared" si="191"/>
        <v>0</v>
      </c>
      <c r="D109" s="8">
        <f t="shared" si="191"/>
        <v>0</v>
      </c>
      <c r="E109" s="8">
        <f t="shared" si="191"/>
        <v>0</v>
      </c>
      <c r="F109" s="8">
        <f t="shared" si="191"/>
        <v>0</v>
      </c>
      <c r="G109" s="8">
        <f t="shared" si="191"/>
        <v>0</v>
      </c>
      <c r="H109" s="8">
        <f t="shared" si="191"/>
        <v>0</v>
      </c>
      <c r="I109" s="8">
        <f t="shared" si="191"/>
        <v>0</v>
      </c>
      <c r="J109" s="8">
        <f t="shared" si="191"/>
        <v>0</v>
      </c>
      <c r="K109" s="54">
        <f t="shared" si="191"/>
        <v>0</v>
      </c>
      <c r="L109" s="8">
        <f t="shared" si="191"/>
        <v>0</v>
      </c>
      <c r="M109" s="8">
        <f t="shared" si="191"/>
        <v>0</v>
      </c>
      <c r="N109" s="8">
        <f t="shared" si="191"/>
        <v>0</v>
      </c>
      <c r="O109" s="8">
        <f t="shared" si="191"/>
        <v>0</v>
      </c>
      <c r="P109" s="8">
        <f t="shared" si="191"/>
        <v>0</v>
      </c>
      <c r="Q109" s="8">
        <f t="shared" si="191"/>
        <v>0</v>
      </c>
      <c r="R109" s="8">
        <f t="shared" si="191"/>
        <v>0</v>
      </c>
      <c r="S109" s="8">
        <f t="shared" si="191"/>
        <v>0</v>
      </c>
      <c r="T109" s="8">
        <f t="shared" si="191"/>
        <v>0</v>
      </c>
      <c r="U109" s="8">
        <f t="shared" ref="U109:AI109" si="192">U71</f>
        <v>0</v>
      </c>
      <c r="V109" s="8">
        <f t="shared" si="192"/>
        <v>0</v>
      </c>
      <c r="W109" s="8">
        <f t="shared" si="192"/>
        <v>0</v>
      </c>
      <c r="X109" s="8">
        <f t="shared" si="192"/>
        <v>0</v>
      </c>
      <c r="Y109" s="8">
        <f t="shared" si="192"/>
        <v>0</v>
      </c>
      <c r="Z109" s="8">
        <f t="shared" si="192"/>
        <v>0</v>
      </c>
      <c r="AA109" s="8">
        <f t="shared" si="192"/>
        <v>0</v>
      </c>
      <c r="AB109" s="8">
        <f t="shared" si="192"/>
        <v>0</v>
      </c>
      <c r="AC109" s="8">
        <f t="shared" si="192"/>
        <v>0</v>
      </c>
      <c r="AD109" s="8">
        <f t="shared" si="192"/>
        <v>0</v>
      </c>
      <c r="AE109" s="8">
        <f t="shared" si="192"/>
        <v>0</v>
      </c>
      <c r="AF109" s="8">
        <f t="shared" si="192"/>
        <v>0</v>
      </c>
      <c r="AG109" s="8">
        <f t="shared" si="192"/>
        <v>0</v>
      </c>
      <c r="AH109" s="8">
        <f t="shared" si="192"/>
        <v>0</v>
      </c>
      <c r="AI109" s="8">
        <f t="shared" si="192"/>
        <v>0</v>
      </c>
      <c r="AJ109" s="8">
        <f t="shared" ref="AJ109:BJ109" si="193">AJ71</f>
        <v>0</v>
      </c>
      <c r="AK109" s="8">
        <f t="shared" si="193"/>
        <v>0</v>
      </c>
      <c r="AL109" s="8">
        <f t="shared" si="193"/>
        <v>0</v>
      </c>
      <c r="AM109" s="8">
        <f t="shared" si="193"/>
        <v>0</v>
      </c>
      <c r="AN109" s="8">
        <f t="shared" si="193"/>
        <v>0</v>
      </c>
      <c r="AO109" s="8">
        <f t="shared" si="193"/>
        <v>0</v>
      </c>
      <c r="AP109" s="8">
        <f t="shared" si="193"/>
        <v>0</v>
      </c>
      <c r="AQ109" s="8">
        <f t="shared" si="193"/>
        <v>0</v>
      </c>
      <c r="AR109" s="8">
        <f t="shared" si="193"/>
        <v>0</v>
      </c>
      <c r="AS109" s="8">
        <f t="shared" si="193"/>
        <v>0</v>
      </c>
      <c r="AT109" s="8">
        <f t="shared" si="193"/>
        <v>0</v>
      </c>
      <c r="AU109" s="8">
        <f t="shared" si="193"/>
        <v>0</v>
      </c>
      <c r="AV109" s="8">
        <f t="shared" si="193"/>
        <v>0</v>
      </c>
      <c r="AW109" s="8">
        <f t="shared" si="193"/>
        <v>0</v>
      </c>
      <c r="AX109" s="8">
        <f t="shared" si="193"/>
        <v>0</v>
      </c>
      <c r="AY109" s="8">
        <f t="shared" si="193"/>
        <v>0</v>
      </c>
      <c r="AZ109" s="8">
        <f t="shared" si="193"/>
        <v>0</v>
      </c>
      <c r="BA109" s="8">
        <f t="shared" si="193"/>
        <v>0</v>
      </c>
      <c r="BB109" s="8">
        <f t="shared" si="193"/>
        <v>0</v>
      </c>
      <c r="BC109" s="8">
        <f t="shared" si="193"/>
        <v>0</v>
      </c>
      <c r="BD109" s="8">
        <f t="shared" si="193"/>
        <v>0</v>
      </c>
      <c r="BE109" s="8">
        <f t="shared" si="193"/>
        <v>0</v>
      </c>
      <c r="BF109" s="8">
        <f t="shared" si="193"/>
        <v>0</v>
      </c>
      <c r="BG109" s="8">
        <f t="shared" si="193"/>
        <v>0</v>
      </c>
      <c r="BH109" s="8">
        <f t="shared" si="193"/>
        <v>0</v>
      </c>
      <c r="BI109" s="8">
        <f t="shared" si="193"/>
        <v>0</v>
      </c>
      <c r="BJ109" s="8">
        <f t="shared" si="193"/>
        <v>0</v>
      </c>
      <c r="BK109" s="8"/>
      <c r="BL109" s="8"/>
      <c r="BM109" s="8"/>
      <c r="BN109" s="8">
        <f>BN71</f>
        <v>0</v>
      </c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</row>
    <row r="110" spans="1:79" s="5" customFormat="1">
      <c r="A110" s="4" t="s">
        <v>87</v>
      </c>
      <c r="B110" s="54">
        <f t="shared" ref="B110:T110" si="194">B72</f>
        <v>0</v>
      </c>
      <c r="C110" s="8">
        <f t="shared" si="194"/>
        <v>0</v>
      </c>
      <c r="D110" s="8">
        <f t="shared" si="194"/>
        <v>0</v>
      </c>
      <c r="E110" s="8">
        <f t="shared" si="194"/>
        <v>0</v>
      </c>
      <c r="F110" s="8">
        <f t="shared" si="194"/>
        <v>0</v>
      </c>
      <c r="G110" s="8">
        <f t="shared" si="194"/>
        <v>0</v>
      </c>
      <c r="H110" s="8">
        <f t="shared" si="194"/>
        <v>0</v>
      </c>
      <c r="I110" s="8">
        <f t="shared" si="194"/>
        <v>0</v>
      </c>
      <c r="J110" s="8">
        <f t="shared" si="194"/>
        <v>0</v>
      </c>
      <c r="K110" s="54">
        <f t="shared" si="194"/>
        <v>0</v>
      </c>
      <c r="L110" s="8">
        <f t="shared" si="194"/>
        <v>0</v>
      </c>
      <c r="M110" s="8">
        <f t="shared" si="194"/>
        <v>0</v>
      </c>
      <c r="N110" s="8">
        <f t="shared" si="194"/>
        <v>0</v>
      </c>
      <c r="O110" s="8">
        <f t="shared" si="194"/>
        <v>0</v>
      </c>
      <c r="P110" s="8">
        <f t="shared" si="194"/>
        <v>0</v>
      </c>
      <c r="Q110" s="8">
        <f t="shared" si="194"/>
        <v>0</v>
      </c>
      <c r="R110" s="8">
        <f t="shared" si="194"/>
        <v>0</v>
      </c>
      <c r="S110" s="8">
        <f t="shared" si="194"/>
        <v>0</v>
      </c>
      <c r="T110" s="8">
        <f t="shared" si="194"/>
        <v>0</v>
      </c>
      <c r="U110" s="8">
        <f t="shared" ref="U110:AI110" si="195">U72</f>
        <v>0</v>
      </c>
      <c r="V110" s="8">
        <f t="shared" si="195"/>
        <v>0</v>
      </c>
      <c r="W110" s="8">
        <f t="shared" si="195"/>
        <v>0</v>
      </c>
      <c r="X110" s="8">
        <f t="shared" si="195"/>
        <v>0</v>
      </c>
      <c r="Y110" s="8">
        <f t="shared" si="195"/>
        <v>0</v>
      </c>
      <c r="Z110" s="8">
        <f t="shared" si="195"/>
        <v>0</v>
      </c>
      <c r="AA110" s="8">
        <f t="shared" si="195"/>
        <v>0</v>
      </c>
      <c r="AB110" s="8">
        <f t="shared" si="195"/>
        <v>0</v>
      </c>
      <c r="AC110" s="8">
        <f t="shared" si="195"/>
        <v>0</v>
      </c>
      <c r="AD110" s="8">
        <f t="shared" si="195"/>
        <v>0</v>
      </c>
      <c r="AE110" s="8">
        <f t="shared" si="195"/>
        <v>0</v>
      </c>
      <c r="AF110" s="8">
        <f t="shared" si="195"/>
        <v>0</v>
      </c>
      <c r="AG110" s="8">
        <f t="shared" si="195"/>
        <v>0</v>
      </c>
      <c r="AH110" s="8">
        <f t="shared" si="195"/>
        <v>0</v>
      </c>
      <c r="AI110" s="8">
        <f t="shared" si="195"/>
        <v>0</v>
      </c>
      <c r="AJ110" s="8">
        <f t="shared" ref="AJ110:BJ110" si="196">AJ72</f>
        <v>0</v>
      </c>
      <c r="AK110" s="8">
        <f t="shared" si="196"/>
        <v>0</v>
      </c>
      <c r="AL110" s="8">
        <f t="shared" si="196"/>
        <v>0</v>
      </c>
      <c r="AM110" s="8">
        <f t="shared" si="196"/>
        <v>0</v>
      </c>
      <c r="AN110" s="8">
        <f t="shared" si="196"/>
        <v>0</v>
      </c>
      <c r="AO110" s="8">
        <f t="shared" si="196"/>
        <v>0</v>
      </c>
      <c r="AP110" s="8">
        <f t="shared" si="196"/>
        <v>0</v>
      </c>
      <c r="AQ110" s="8">
        <f t="shared" si="196"/>
        <v>0</v>
      </c>
      <c r="AR110" s="8">
        <f t="shared" si="196"/>
        <v>0</v>
      </c>
      <c r="AS110" s="8">
        <f t="shared" si="196"/>
        <v>0</v>
      </c>
      <c r="AT110" s="8">
        <f t="shared" si="196"/>
        <v>0</v>
      </c>
      <c r="AU110" s="8">
        <f t="shared" si="196"/>
        <v>0</v>
      </c>
      <c r="AV110" s="8">
        <f t="shared" si="196"/>
        <v>0</v>
      </c>
      <c r="AW110" s="8">
        <f t="shared" si="196"/>
        <v>0</v>
      </c>
      <c r="AX110" s="8">
        <f t="shared" si="196"/>
        <v>0</v>
      </c>
      <c r="AY110" s="8">
        <f t="shared" si="196"/>
        <v>0</v>
      </c>
      <c r="AZ110" s="8">
        <f t="shared" si="196"/>
        <v>0</v>
      </c>
      <c r="BA110" s="8">
        <f t="shared" si="196"/>
        <v>0</v>
      </c>
      <c r="BB110" s="8">
        <f t="shared" si="196"/>
        <v>0</v>
      </c>
      <c r="BC110" s="8">
        <f t="shared" si="196"/>
        <v>0</v>
      </c>
      <c r="BD110" s="8">
        <f t="shared" si="196"/>
        <v>0</v>
      </c>
      <c r="BE110" s="8">
        <f t="shared" si="196"/>
        <v>0</v>
      </c>
      <c r="BF110" s="8">
        <f t="shared" si="196"/>
        <v>0</v>
      </c>
      <c r="BG110" s="8">
        <f t="shared" si="196"/>
        <v>0</v>
      </c>
      <c r="BH110" s="8">
        <f t="shared" si="196"/>
        <v>0</v>
      </c>
      <c r="BI110" s="8">
        <f t="shared" si="196"/>
        <v>0</v>
      </c>
      <c r="BJ110" s="8">
        <f t="shared" si="196"/>
        <v>0</v>
      </c>
      <c r="BK110" s="8"/>
      <c r="BL110" s="8"/>
      <c r="BM110" s="8"/>
      <c r="BN110" s="8">
        <f>BN72</f>
        <v>0</v>
      </c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</row>
    <row r="111" spans="1:79" s="5" customFormat="1">
      <c r="A111" s="4" t="s">
        <v>115</v>
      </c>
      <c r="B111" s="54">
        <f t="shared" ref="B111:T111" si="197">SUM(B96:B107)</f>
        <v>15.438444923675785</v>
      </c>
      <c r="C111" s="8">
        <f t="shared" si="197"/>
        <v>15.427547895316527</v>
      </c>
      <c r="D111" s="8">
        <f t="shared" si="197"/>
        <v>15.483149538214567</v>
      </c>
      <c r="E111" s="8">
        <f t="shared" si="197"/>
        <v>15.45231371000197</v>
      </c>
      <c r="F111" s="8">
        <f t="shared" si="197"/>
        <v>15.46368010861408</v>
      </c>
      <c r="G111" s="8">
        <f t="shared" si="197"/>
        <v>15.471702421993797</v>
      </c>
      <c r="H111" s="8">
        <f t="shared" si="197"/>
        <v>15.432942361124404</v>
      </c>
      <c r="I111" s="8">
        <f t="shared" si="197"/>
        <v>15.445457486267804</v>
      </c>
      <c r="J111" s="8">
        <f t="shared" si="197"/>
        <v>15.43369012870288</v>
      </c>
      <c r="K111" s="54">
        <f t="shared" si="197"/>
        <v>15.444375839584328</v>
      </c>
      <c r="L111" s="8">
        <f t="shared" si="197"/>
        <v>15.461898515406466</v>
      </c>
      <c r="M111" s="8">
        <f t="shared" si="197"/>
        <v>15.458812756715565</v>
      </c>
      <c r="N111" s="8">
        <f t="shared" si="197"/>
        <v>15.517523695813184</v>
      </c>
      <c r="O111" s="8">
        <f t="shared" si="197"/>
        <v>15.478931796709192</v>
      </c>
      <c r="P111" s="8">
        <f t="shared" si="197"/>
        <v>15.541942709345111</v>
      </c>
      <c r="Q111" s="8">
        <f t="shared" si="197"/>
        <v>15.256139621042889</v>
      </c>
      <c r="R111" s="8">
        <f t="shared" si="197"/>
        <v>15.675928496232519</v>
      </c>
      <c r="S111" s="8">
        <f t="shared" si="197"/>
        <v>15.651660935914167</v>
      </c>
      <c r="T111" s="8">
        <f t="shared" si="197"/>
        <v>15.644648305455624</v>
      </c>
      <c r="U111" s="8">
        <f t="shared" ref="U111:AI111" si="198">SUM(U96:U107)</f>
        <v>15.676149938508244</v>
      </c>
      <c r="V111" s="8">
        <f t="shared" si="198"/>
        <v>15.696451883614486</v>
      </c>
      <c r="W111" s="8">
        <f t="shared" si="198"/>
        <v>15.497482486150618</v>
      </c>
      <c r="X111" s="8">
        <f t="shared" si="198"/>
        <v>15.587256280126772</v>
      </c>
      <c r="Y111" s="8">
        <f t="shared" si="198"/>
        <v>15.435790034440334</v>
      </c>
      <c r="Z111" s="8">
        <f t="shared" si="198"/>
        <v>15.495475888086661</v>
      </c>
      <c r="AA111" s="8">
        <f t="shared" si="198"/>
        <v>15.341419288186286</v>
      </c>
      <c r="AB111" s="8">
        <f t="shared" si="198"/>
        <v>15.612060698633011</v>
      </c>
      <c r="AC111" s="8">
        <f t="shared" si="198"/>
        <v>15.737182725516856</v>
      </c>
      <c r="AD111" s="8">
        <f t="shared" si="198"/>
        <v>15.750306694679335</v>
      </c>
      <c r="AE111" s="8">
        <f t="shared" si="198"/>
        <v>15.771661862123151</v>
      </c>
      <c r="AF111" s="8">
        <f t="shared" si="198"/>
        <v>15.78269873992026</v>
      </c>
      <c r="AG111" s="8">
        <f t="shared" si="198"/>
        <v>15.788550918242596</v>
      </c>
      <c r="AH111" s="8">
        <f t="shared" si="198"/>
        <v>15.761095165396636</v>
      </c>
      <c r="AI111" s="8">
        <f t="shared" si="198"/>
        <v>15.776252978340345</v>
      </c>
      <c r="AJ111" s="8">
        <f t="shared" ref="AJ111:BJ111" si="199">SUM(AJ96:AJ107)</f>
        <v>15.761575978126803</v>
      </c>
      <c r="AK111" s="8">
        <f t="shared" si="199"/>
        <v>15.794138744045702</v>
      </c>
      <c r="AL111" s="8">
        <f t="shared" si="199"/>
        <v>15.816830602712956</v>
      </c>
      <c r="AM111" s="8">
        <f t="shared" si="199"/>
        <v>15.785155183954039</v>
      </c>
      <c r="AN111" s="8">
        <f t="shared" si="199"/>
        <v>15.7952046257064</v>
      </c>
      <c r="AO111" s="8">
        <f t="shared" si="199"/>
        <v>15.802601810790371</v>
      </c>
      <c r="AP111" s="8">
        <f t="shared" si="199"/>
        <v>15.436218730197615</v>
      </c>
      <c r="AQ111" s="8">
        <f t="shared" si="199"/>
        <v>15.413214489718873</v>
      </c>
      <c r="AR111" s="8">
        <f t="shared" si="199"/>
        <v>15.449010560869763</v>
      </c>
      <c r="AS111" s="8">
        <f t="shared" si="199"/>
        <v>15.465096738366077</v>
      </c>
      <c r="AT111" s="8">
        <f t="shared" si="199"/>
        <v>15.472882123543318</v>
      </c>
      <c r="AU111" s="8">
        <f t="shared" si="199"/>
        <v>15.368477041587463</v>
      </c>
      <c r="AV111" s="8">
        <f t="shared" si="199"/>
        <v>15.478052518904683</v>
      </c>
      <c r="AW111" s="8">
        <f t="shared" si="199"/>
        <v>15.484317003624977</v>
      </c>
      <c r="AX111" s="8">
        <f t="shared" si="199"/>
        <v>15.310026378412873</v>
      </c>
      <c r="AY111" s="8">
        <f t="shared" si="199"/>
        <v>15.483483087443149</v>
      </c>
      <c r="AZ111" s="8">
        <f t="shared" si="199"/>
        <v>15.452314318551787</v>
      </c>
      <c r="BA111" s="8">
        <f t="shared" si="199"/>
        <v>15.578824889115124</v>
      </c>
      <c r="BB111" s="8">
        <f t="shared" si="199"/>
        <v>15.583798702156397</v>
      </c>
      <c r="BC111" s="8">
        <f t="shared" si="199"/>
        <v>15.569478442022248</v>
      </c>
      <c r="BD111" s="8">
        <f t="shared" si="199"/>
        <v>15.580499037091636</v>
      </c>
      <c r="BE111" s="8">
        <f t="shared" si="199"/>
        <v>15.583035948641323</v>
      </c>
      <c r="BF111" s="8">
        <f t="shared" si="199"/>
        <v>15.720867967169941</v>
      </c>
      <c r="BG111" s="8">
        <f t="shared" si="199"/>
        <v>15.745621014432963</v>
      </c>
      <c r="BH111" s="8">
        <f t="shared" si="199"/>
        <v>15.677485748973202</v>
      </c>
      <c r="BI111" s="8">
        <f t="shared" si="199"/>
        <v>15.669025287817913</v>
      </c>
      <c r="BJ111" s="8">
        <f t="shared" si="199"/>
        <v>15.667856998464339</v>
      </c>
      <c r="BK111" s="8"/>
      <c r="BL111" s="8"/>
      <c r="BM111" s="8"/>
      <c r="BN111" s="8">
        <f>SUM(BN96:BN107)</f>
        <v>15.451921031397418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</row>
    <row r="112" spans="1:79" s="5" customFormat="1">
      <c r="A112" s="4"/>
      <c r="B112" s="54"/>
      <c r="C112" s="8"/>
      <c r="D112" s="8"/>
      <c r="E112" s="8"/>
      <c r="F112" s="8"/>
      <c r="G112" s="8"/>
      <c r="H112" s="8"/>
      <c r="I112" s="8"/>
      <c r="J112" s="8"/>
      <c r="K112" s="54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</row>
    <row r="113" spans="1:79" s="5" customFormat="1">
      <c r="A113" s="4" t="s">
        <v>132</v>
      </c>
      <c r="B113" s="54"/>
      <c r="C113" s="8"/>
      <c r="D113" s="8"/>
      <c r="E113" s="8"/>
      <c r="F113" s="8"/>
      <c r="G113" s="8"/>
      <c r="H113" s="8"/>
      <c r="I113" s="8"/>
      <c r="J113" s="8"/>
      <c r="K113" s="54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</row>
    <row r="114" spans="1:79" s="5" customFormat="1">
      <c r="A114" s="4"/>
      <c r="B114" s="54"/>
      <c r="C114" s="8"/>
      <c r="D114" s="8"/>
      <c r="E114" s="8"/>
      <c r="F114" s="8"/>
      <c r="G114" s="8"/>
      <c r="H114" s="8"/>
      <c r="I114" s="8"/>
      <c r="J114" s="8"/>
      <c r="K114" s="54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</row>
    <row r="115" spans="1:79" s="5" customFormat="1">
      <c r="A115" s="4" t="s">
        <v>264</v>
      </c>
      <c r="B115" s="54">
        <f t="shared" ref="B115:T115" si="200">(B96/15)*$B4*B$56/$C4</f>
        <v>46.44</v>
      </c>
      <c r="C115" s="8">
        <f t="shared" si="200"/>
        <v>45.219999999999992</v>
      </c>
      <c r="D115" s="8">
        <f t="shared" si="200"/>
        <v>44.98</v>
      </c>
      <c r="E115" s="8">
        <f t="shared" si="200"/>
        <v>44.03</v>
      </c>
      <c r="F115" s="8">
        <f t="shared" si="200"/>
        <v>44.949999999999996</v>
      </c>
      <c r="G115" s="8">
        <f t="shared" si="200"/>
        <v>44.22999999999999</v>
      </c>
      <c r="H115" s="8">
        <f t="shared" si="200"/>
        <v>44.959999999999994</v>
      </c>
      <c r="I115" s="8">
        <f t="shared" si="200"/>
        <v>45.33</v>
      </c>
      <c r="J115" s="8">
        <f t="shared" si="200"/>
        <v>45.95</v>
      </c>
      <c r="K115" s="54">
        <f t="shared" si="200"/>
        <v>44.19</v>
      </c>
      <c r="L115" s="8">
        <f t="shared" si="200"/>
        <v>45.63</v>
      </c>
      <c r="M115" s="8">
        <f t="shared" si="200"/>
        <v>44.730000000000004</v>
      </c>
      <c r="N115" s="8">
        <f t="shared" si="200"/>
        <v>45.72</v>
      </c>
      <c r="O115" s="8">
        <f t="shared" si="200"/>
        <v>44.31</v>
      </c>
      <c r="P115" s="8">
        <f t="shared" si="200"/>
        <v>44.699999999999996</v>
      </c>
      <c r="Q115" s="8">
        <f t="shared" si="200"/>
        <v>51.09</v>
      </c>
      <c r="R115" s="8">
        <f t="shared" si="200"/>
        <v>42.909999999999989</v>
      </c>
      <c r="S115" s="8">
        <f t="shared" si="200"/>
        <v>42.890000000000008</v>
      </c>
      <c r="T115" s="8">
        <f t="shared" si="200"/>
        <v>42.61</v>
      </c>
      <c r="U115" s="8">
        <f t="shared" ref="U115:AI115" si="201">(U96/15)*$B4*U$56/$C4</f>
        <v>42.07</v>
      </c>
      <c r="V115" s="8">
        <f t="shared" si="201"/>
        <v>42.23</v>
      </c>
      <c r="W115" s="8">
        <f t="shared" si="201"/>
        <v>45.550000000000004</v>
      </c>
      <c r="X115" s="8">
        <f t="shared" si="201"/>
        <v>44.27</v>
      </c>
      <c r="Y115" s="8">
        <f t="shared" si="201"/>
        <v>41.03</v>
      </c>
      <c r="Z115" s="8">
        <f t="shared" si="201"/>
        <v>44.42</v>
      </c>
      <c r="AA115" s="8">
        <f t="shared" si="201"/>
        <v>46.989999999999995</v>
      </c>
      <c r="AB115" s="8">
        <f t="shared" si="201"/>
        <v>44.27</v>
      </c>
      <c r="AC115" s="8">
        <f t="shared" si="201"/>
        <v>43.54</v>
      </c>
      <c r="AD115" s="8">
        <f t="shared" si="201"/>
        <v>42.810000000000009</v>
      </c>
      <c r="AE115" s="8">
        <f t="shared" si="201"/>
        <v>42.5</v>
      </c>
      <c r="AF115" s="8">
        <f t="shared" si="201"/>
        <v>43.06</v>
      </c>
      <c r="AG115" s="8">
        <f t="shared" si="201"/>
        <v>42.37</v>
      </c>
      <c r="AH115" s="8">
        <f t="shared" si="201"/>
        <v>43.38</v>
      </c>
      <c r="AI115" s="8">
        <f t="shared" si="201"/>
        <v>42.26</v>
      </c>
      <c r="AJ115" s="8">
        <f t="shared" ref="AJ115:BJ115" si="202">(AJ96/15)*$B4*AJ$56/$C4</f>
        <v>43.27</v>
      </c>
      <c r="AK115" s="8">
        <f t="shared" si="202"/>
        <v>43.92</v>
      </c>
      <c r="AL115" s="8">
        <f t="shared" si="202"/>
        <v>43.51</v>
      </c>
      <c r="AM115" s="8">
        <f t="shared" si="202"/>
        <v>44.27</v>
      </c>
      <c r="AN115" s="8">
        <f t="shared" si="202"/>
        <v>44.189999999999991</v>
      </c>
      <c r="AO115" s="8">
        <f t="shared" si="202"/>
        <v>44.27</v>
      </c>
      <c r="AP115" s="8">
        <f t="shared" si="202"/>
        <v>44.29</v>
      </c>
      <c r="AQ115" s="8">
        <f t="shared" si="202"/>
        <v>44.560000000000009</v>
      </c>
      <c r="AR115" s="8">
        <f t="shared" si="202"/>
        <v>44.18</v>
      </c>
      <c r="AS115" s="8">
        <f t="shared" si="202"/>
        <v>44.010000000000005</v>
      </c>
      <c r="AT115" s="8">
        <f t="shared" si="202"/>
        <v>43.910000000000004</v>
      </c>
      <c r="AU115" s="8">
        <f t="shared" si="202"/>
        <v>45.760000000000005</v>
      </c>
      <c r="AV115" s="8">
        <f t="shared" si="202"/>
        <v>43.949999999999996</v>
      </c>
      <c r="AW115" s="8">
        <f t="shared" si="202"/>
        <v>42.920000000000009</v>
      </c>
      <c r="AX115" s="8">
        <f t="shared" si="202"/>
        <v>43.269999999999996</v>
      </c>
      <c r="AY115" s="8">
        <f t="shared" si="202"/>
        <v>43.810000000000009</v>
      </c>
      <c r="AZ115" s="8">
        <f t="shared" si="202"/>
        <v>44.319999999999993</v>
      </c>
      <c r="BA115" s="8">
        <f t="shared" si="202"/>
        <v>43.24</v>
      </c>
      <c r="BB115" s="8">
        <f t="shared" si="202"/>
        <v>43.13000000000001</v>
      </c>
      <c r="BC115" s="8">
        <f t="shared" si="202"/>
        <v>42.3</v>
      </c>
      <c r="BD115" s="8">
        <f t="shared" si="202"/>
        <v>42.86</v>
      </c>
      <c r="BE115" s="8">
        <f t="shared" si="202"/>
        <v>42.82</v>
      </c>
      <c r="BF115" s="8">
        <f t="shared" si="202"/>
        <v>41.75</v>
      </c>
      <c r="BG115" s="8">
        <f t="shared" si="202"/>
        <v>41.259999999999991</v>
      </c>
      <c r="BH115" s="8">
        <f t="shared" si="202"/>
        <v>42.62</v>
      </c>
      <c r="BI115" s="8">
        <f t="shared" si="202"/>
        <v>41.5</v>
      </c>
      <c r="BJ115" s="8">
        <f t="shared" si="202"/>
        <v>41.82</v>
      </c>
      <c r="BK115" s="8"/>
      <c r="BL115" s="8"/>
      <c r="BM115" s="8"/>
      <c r="BN115" s="8">
        <f>(BN96/15)*$B4*BN$56/$C4</f>
        <v>45.017499999999998</v>
      </c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</row>
    <row r="116" spans="1:79" s="5" customFormat="1">
      <c r="A116" s="4" t="s">
        <v>265</v>
      </c>
      <c r="B116" s="54">
        <f t="shared" ref="B116:T116" si="203">(B97/15)*$B5*B$56/$C5</f>
        <v>0.44000000000000011</v>
      </c>
      <c r="C116" s="8">
        <f t="shared" si="203"/>
        <v>0.55000000000000004</v>
      </c>
      <c r="D116" s="8">
        <f t="shared" si="203"/>
        <v>0.56999999999999995</v>
      </c>
      <c r="E116" s="8">
        <f t="shared" si="203"/>
        <v>0.38999999999999996</v>
      </c>
      <c r="F116" s="8">
        <f t="shared" si="203"/>
        <v>0.62</v>
      </c>
      <c r="G116" s="8">
        <f t="shared" si="203"/>
        <v>0.57999999999999996</v>
      </c>
      <c r="H116" s="8">
        <f t="shared" si="203"/>
        <v>0.6</v>
      </c>
      <c r="I116" s="8">
        <f t="shared" si="203"/>
        <v>0.61</v>
      </c>
      <c r="J116" s="8">
        <f t="shared" si="203"/>
        <v>0.48999999999999994</v>
      </c>
      <c r="K116" s="54">
        <f t="shared" si="203"/>
        <v>0.44</v>
      </c>
      <c r="L116" s="8">
        <f t="shared" si="203"/>
        <v>0.59999999999999987</v>
      </c>
      <c r="M116" s="8">
        <f t="shared" si="203"/>
        <v>0.63</v>
      </c>
      <c r="N116" s="8">
        <f t="shared" si="203"/>
        <v>0.62999999999999989</v>
      </c>
      <c r="O116" s="8">
        <f t="shared" si="203"/>
        <v>0.79</v>
      </c>
      <c r="P116" s="8">
        <f t="shared" si="203"/>
        <v>1.37</v>
      </c>
      <c r="Q116" s="8">
        <f t="shared" si="203"/>
        <v>0.08</v>
      </c>
      <c r="R116" s="8">
        <f t="shared" si="203"/>
        <v>1.63</v>
      </c>
      <c r="S116" s="8">
        <f t="shared" si="203"/>
        <v>1.59</v>
      </c>
      <c r="T116" s="8">
        <f t="shared" si="203"/>
        <v>1.59</v>
      </c>
      <c r="U116" s="8">
        <f t="shared" ref="U116:AI116" si="204">(U97/15)*$B5*U$56/$C5</f>
        <v>1.55</v>
      </c>
      <c r="V116" s="8">
        <f t="shared" si="204"/>
        <v>1.4899999999999998</v>
      </c>
      <c r="W116" s="8">
        <f t="shared" si="204"/>
        <v>0.85</v>
      </c>
      <c r="X116" s="8">
        <f t="shared" si="204"/>
        <v>0.85999999999999988</v>
      </c>
      <c r="Y116" s="8">
        <f t="shared" si="204"/>
        <v>1.2400000000000002</v>
      </c>
      <c r="Z116" s="8">
        <f t="shared" si="204"/>
        <v>0.63</v>
      </c>
      <c r="AA116" s="8">
        <f t="shared" si="204"/>
        <v>0.91999999999999993</v>
      </c>
      <c r="AB116" s="8">
        <f t="shared" si="204"/>
        <v>2.2400000000000002</v>
      </c>
      <c r="AC116" s="8">
        <f t="shared" si="204"/>
        <v>2.48</v>
      </c>
      <c r="AD116" s="8">
        <f t="shared" si="204"/>
        <v>2.52</v>
      </c>
      <c r="AE116" s="8">
        <f t="shared" si="204"/>
        <v>2.5300000000000002</v>
      </c>
      <c r="AF116" s="8">
        <f t="shared" si="204"/>
        <v>2.5</v>
      </c>
      <c r="AG116" s="8">
        <f t="shared" si="204"/>
        <v>2.6300000000000003</v>
      </c>
      <c r="AH116" s="8">
        <f t="shared" si="204"/>
        <v>2.34</v>
      </c>
      <c r="AI116" s="8">
        <f t="shared" si="204"/>
        <v>2.6299999999999994</v>
      </c>
      <c r="AJ116" s="8">
        <f t="shared" ref="AJ116:BJ116" si="205">(AJ97/15)*$B5*AJ$56/$C5</f>
        <v>2.36</v>
      </c>
      <c r="AK116" s="8">
        <f t="shared" si="205"/>
        <v>0.77</v>
      </c>
      <c r="AL116" s="8">
        <f t="shared" si="205"/>
        <v>0.89999999999999991</v>
      </c>
      <c r="AM116" s="8">
        <f t="shared" si="205"/>
        <v>0.77999999999999992</v>
      </c>
      <c r="AN116" s="8">
        <f t="shared" si="205"/>
        <v>0.72000000000000008</v>
      </c>
      <c r="AO116" s="8">
        <f t="shared" si="205"/>
        <v>0.77999999999999992</v>
      </c>
      <c r="AP116" s="8">
        <f t="shared" si="205"/>
        <v>0.87</v>
      </c>
      <c r="AQ116" s="8">
        <f t="shared" si="205"/>
        <v>0.95000000000000007</v>
      </c>
      <c r="AR116" s="8">
        <f t="shared" si="205"/>
        <v>0.88</v>
      </c>
      <c r="AS116" s="8">
        <f t="shared" si="205"/>
        <v>0.97</v>
      </c>
      <c r="AT116" s="8">
        <f t="shared" si="205"/>
        <v>0.92999999999999983</v>
      </c>
      <c r="AU116" s="8">
        <f t="shared" si="205"/>
        <v>0.6</v>
      </c>
      <c r="AV116" s="8">
        <f t="shared" si="205"/>
        <v>1.05</v>
      </c>
      <c r="AW116" s="8">
        <f t="shared" si="205"/>
        <v>0.80000000000000016</v>
      </c>
      <c r="AX116" s="8">
        <f t="shared" si="205"/>
        <v>0.76000000000000012</v>
      </c>
      <c r="AY116" s="8">
        <f t="shared" si="205"/>
        <v>1.0399999999999998</v>
      </c>
      <c r="AZ116" s="8">
        <f t="shared" si="205"/>
        <v>0.92</v>
      </c>
      <c r="BA116" s="8">
        <f t="shared" si="205"/>
        <v>1.49</v>
      </c>
      <c r="BB116" s="8">
        <f t="shared" si="205"/>
        <v>1.5100000000000002</v>
      </c>
      <c r="BC116" s="8">
        <f t="shared" si="205"/>
        <v>1.44</v>
      </c>
      <c r="BD116" s="8">
        <f t="shared" si="205"/>
        <v>1.38</v>
      </c>
      <c r="BE116" s="8">
        <f t="shared" si="205"/>
        <v>1.56</v>
      </c>
      <c r="BF116" s="8">
        <f t="shared" si="205"/>
        <v>1.82</v>
      </c>
      <c r="BG116" s="8">
        <f t="shared" si="205"/>
        <v>1.87</v>
      </c>
      <c r="BH116" s="8">
        <f t="shared" si="205"/>
        <v>1.57</v>
      </c>
      <c r="BI116" s="8">
        <f t="shared" si="205"/>
        <v>1.9800000000000002</v>
      </c>
      <c r="BJ116" s="8">
        <f t="shared" si="205"/>
        <v>1.9399999999999997</v>
      </c>
      <c r="BK116" s="8"/>
      <c r="BL116" s="8"/>
      <c r="BM116" s="8"/>
      <c r="BN116" s="8">
        <f>(BN97/15)*$B5*BN$56/$C5</f>
        <v>0.54500000000000015</v>
      </c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</row>
    <row r="117" spans="1:79" s="5" customFormat="1">
      <c r="A117" s="4" t="s">
        <v>113</v>
      </c>
      <c r="B117" s="54">
        <f t="shared" ref="B117:T117" si="206">(B98/15)*$B6*B$56/$C6</f>
        <v>0.05</v>
      </c>
      <c r="C117" s="8">
        <f t="shared" si="206"/>
        <v>4.0000000000000008E-2</v>
      </c>
      <c r="D117" s="8">
        <f t="shared" si="206"/>
        <v>2.9999999999999995E-2</v>
      </c>
      <c r="E117" s="8">
        <f t="shared" si="206"/>
        <v>0.05</v>
      </c>
      <c r="F117" s="8">
        <f t="shared" si="206"/>
        <v>0.03</v>
      </c>
      <c r="G117" s="8">
        <f t="shared" si="206"/>
        <v>0.02</v>
      </c>
      <c r="H117" s="8">
        <f t="shared" si="206"/>
        <v>7.0000000000000007E-2</v>
      </c>
      <c r="I117" s="8">
        <f t="shared" si="206"/>
        <v>5.000000000000001E-2</v>
      </c>
      <c r="J117" s="8">
        <f t="shared" si="206"/>
        <v>6.0000000000000005E-2</v>
      </c>
      <c r="K117" s="54">
        <f t="shared" si="206"/>
        <v>0.01</v>
      </c>
      <c r="L117" s="8">
        <f t="shared" si="206"/>
        <v>0.05</v>
      </c>
      <c r="M117" s="8">
        <f t="shared" si="206"/>
        <v>4.0000000000000008E-2</v>
      </c>
      <c r="N117" s="8">
        <f t="shared" si="206"/>
        <v>0.06</v>
      </c>
      <c r="O117" s="8">
        <f t="shared" si="206"/>
        <v>3.9999999999999994E-2</v>
      </c>
      <c r="P117" s="8">
        <f t="shared" si="206"/>
        <v>0.09</v>
      </c>
      <c r="Q117" s="8">
        <f t="shared" si="206"/>
        <v>0.02</v>
      </c>
      <c r="R117" s="8">
        <f t="shared" si="206"/>
        <v>0.10999999999999999</v>
      </c>
      <c r="S117" s="8">
        <f t="shared" si="206"/>
        <v>0.11</v>
      </c>
      <c r="T117" s="8">
        <f t="shared" si="206"/>
        <v>0.10000000000000002</v>
      </c>
      <c r="U117" s="8">
        <f t="shared" ref="U117:AI117" si="207">(U98/15)*$B6*U$56/$C6</f>
        <v>0.11</v>
      </c>
      <c r="V117" s="8">
        <f t="shared" si="207"/>
        <v>0.10000000000000002</v>
      </c>
      <c r="W117" s="8">
        <f t="shared" si="207"/>
        <v>7.0000000000000021E-2</v>
      </c>
      <c r="X117" s="8">
        <f t="shared" si="207"/>
        <v>7.0000000000000007E-2</v>
      </c>
      <c r="Y117" s="8">
        <f t="shared" si="207"/>
        <v>0.17</v>
      </c>
      <c r="Z117" s="8">
        <f t="shared" si="207"/>
        <v>0.09</v>
      </c>
      <c r="AA117" s="8">
        <f t="shared" si="207"/>
        <v>0.09</v>
      </c>
      <c r="AB117" s="8">
        <f t="shared" si="207"/>
        <v>0.11</v>
      </c>
      <c r="AC117" s="8">
        <f t="shared" si="207"/>
        <v>0.25</v>
      </c>
      <c r="AD117" s="8">
        <f t="shared" si="207"/>
        <v>0.23</v>
      </c>
      <c r="AE117" s="8">
        <f t="shared" si="207"/>
        <v>0.11</v>
      </c>
      <c r="AF117" s="8">
        <f t="shared" si="207"/>
        <v>0.15</v>
      </c>
      <c r="AG117" s="8">
        <f t="shared" si="207"/>
        <v>5.9999999999999991E-2</v>
      </c>
      <c r="AH117" s="8">
        <f t="shared" si="207"/>
        <v>0.02</v>
      </c>
      <c r="AI117" s="8">
        <f t="shared" si="207"/>
        <v>5.000000000000001E-2</v>
      </c>
      <c r="AJ117" s="8">
        <f t="shared" ref="AJ117:BJ117" si="208">(AJ98/15)*$B6*AJ$56/$C6</f>
        <v>3.9999999999999994E-2</v>
      </c>
      <c r="AK117" s="8">
        <f t="shared" si="208"/>
        <v>0.02</v>
      </c>
      <c r="AL117" s="8">
        <f t="shared" si="208"/>
        <v>0.02</v>
      </c>
      <c r="AM117" s="8">
        <f t="shared" si="208"/>
        <v>0.06</v>
      </c>
      <c r="AN117" s="8">
        <f t="shared" si="208"/>
        <v>7.0000000000000007E-2</v>
      </c>
      <c r="AO117" s="8">
        <f t="shared" si="208"/>
        <v>6.9999999999999993E-2</v>
      </c>
      <c r="AP117" s="8">
        <f t="shared" si="208"/>
        <v>5.000000000000001E-2</v>
      </c>
      <c r="AQ117" s="8">
        <f t="shared" si="208"/>
        <v>0.05</v>
      </c>
      <c r="AR117" s="8">
        <f t="shared" si="208"/>
        <v>0.03</v>
      </c>
      <c r="AS117" s="8">
        <f t="shared" si="208"/>
        <v>2.9999999999999992E-2</v>
      </c>
      <c r="AT117" s="8">
        <f t="shared" si="208"/>
        <v>2.0000000000000004E-2</v>
      </c>
      <c r="AU117" s="8">
        <f t="shared" si="208"/>
        <v>0.03</v>
      </c>
      <c r="AV117" s="8">
        <f t="shared" si="208"/>
        <v>1.9999999999999997E-2</v>
      </c>
      <c r="AW117" s="8">
        <f t="shared" si="208"/>
        <v>0</v>
      </c>
      <c r="AX117" s="8">
        <f t="shared" si="208"/>
        <v>3.0000000000000002E-2</v>
      </c>
      <c r="AY117" s="8">
        <f t="shared" si="208"/>
        <v>5.000000000000001E-2</v>
      </c>
      <c r="AZ117" s="8">
        <f t="shared" si="208"/>
        <v>0.02</v>
      </c>
      <c r="BA117" s="8">
        <f t="shared" si="208"/>
        <v>0.02</v>
      </c>
      <c r="BB117" s="8">
        <f t="shared" si="208"/>
        <v>0.02</v>
      </c>
      <c r="BC117" s="8">
        <f t="shared" si="208"/>
        <v>0.03</v>
      </c>
      <c r="BD117" s="8">
        <f t="shared" si="208"/>
        <v>2.0000000000000004E-2</v>
      </c>
      <c r="BE117" s="8">
        <f t="shared" si="208"/>
        <v>9.9999999999999985E-3</v>
      </c>
      <c r="BF117" s="8">
        <f t="shared" si="208"/>
        <v>2.9999999999999995E-2</v>
      </c>
      <c r="BG117" s="8">
        <f t="shared" si="208"/>
        <v>0</v>
      </c>
      <c r="BH117" s="8">
        <f t="shared" si="208"/>
        <v>0.03</v>
      </c>
      <c r="BI117" s="8">
        <f t="shared" si="208"/>
        <v>0.02</v>
      </c>
      <c r="BJ117" s="8">
        <f t="shared" si="208"/>
        <v>0.01</v>
      </c>
      <c r="BK117" s="8"/>
      <c r="BL117" s="8"/>
      <c r="BM117" s="8"/>
      <c r="BN117" s="8">
        <f>(BN98/15)*$B6*BN$56/$C6</f>
        <v>4.2499999999999996E-2</v>
      </c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</row>
    <row r="118" spans="1:79" s="5" customFormat="1">
      <c r="A118" s="4" t="s">
        <v>266</v>
      </c>
      <c r="B118" s="54">
        <f t="shared" ref="B118:T118" si="209">(B99/15)*$B7*B$56/$C7</f>
        <v>9.5599999999999987</v>
      </c>
      <c r="C118" s="8">
        <f t="shared" si="209"/>
        <v>11.210000000000003</v>
      </c>
      <c r="D118" s="8">
        <f t="shared" si="209"/>
        <v>11.779999999999998</v>
      </c>
      <c r="E118" s="8">
        <f t="shared" si="209"/>
        <v>11.73</v>
      </c>
      <c r="F118" s="8">
        <f t="shared" si="209"/>
        <v>11.48</v>
      </c>
      <c r="G118" s="8">
        <f t="shared" si="209"/>
        <v>11.909999999999998</v>
      </c>
      <c r="H118" s="8">
        <f t="shared" si="209"/>
        <v>11.54</v>
      </c>
      <c r="I118" s="8">
        <f t="shared" si="209"/>
        <v>11.439999999999998</v>
      </c>
      <c r="J118" s="8">
        <f t="shared" si="209"/>
        <v>10.87</v>
      </c>
      <c r="K118" s="54">
        <f t="shared" si="209"/>
        <v>9.2700000000000014</v>
      </c>
      <c r="L118" s="8">
        <f t="shared" si="209"/>
        <v>11.37</v>
      </c>
      <c r="M118" s="8">
        <f t="shared" si="209"/>
        <v>11.74</v>
      </c>
      <c r="N118" s="8">
        <f t="shared" si="209"/>
        <v>11.6</v>
      </c>
      <c r="O118" s="8">
        <f t="shared" si="209"/>
        <v>12.23</v>
      </c>
      <c r="P118" s="8">
        <f t="shared" si="209"/>
        <v>9.49</v>
      </c>
      <c r="Q118" s="8">
        <f t="shared" si="209"/>
        <v>4.8100000000000005</v>
      </c>
      <c r="R118" s="8">
        <f t="shared" si="209"/>
        <v>11.31</v>
      </c>
      <c r="S118" s="8">
        <f t="shared" si="209"/>
        <v>11.45</v>
      </c>
      <c r="T118" s="8">
        <f t="shared" si="209"/>
        <v>11.289999999999997</v>
      </c>
      <c r="U118" s="8">
        <f t="shared" ref="U118:AI118" si="210">(U99/15)*$B7*U$56/$C7</f>
        <v>11.81</v>
      </c>
      <c r="V118" s="8">
        <f t="shared" si="210"/>
        <v>11.960000000000003</v>
      </c>
      <c r="W118" s="8">
        <f t="shared" si="210"/>
        <v>8.3499999999999979</v>
      </c>
      <c r="X118" s="8">
        <f t="shared" si="210"/>
        <v>10.17</v>
      </c>
      <c r="Y118" s="8">
        <f t="shared" si="210"/>
        <v>15.09</v>
      </c>
      <c r="Z118" s="8">
        <f t="shared" si="210"/>
        <v>11.219999999999999</v>
      </c>
      <c r="AA118" s="8">
        <f t="shared" si="210"/>
        <v>9.44</v>
      </c>
      <c r="AB118" s="8">
        <f t="shared" si="210"/>
        <v>11.109999999999998</v>
      </c>
      <c r="AC118" s="8">
        <f t="shared" si="210"/>
        <v>12.360000000000001</v>
      </c>
      <c r="AD118" s="8">
        <f t="shared" si="210"/>
        <v>12.320000000000002</v>
      </c>
      <c r="AE118" s="8">
        <f t="shared" si="210"/>
        <v>12.530000000000001</v>
      </c>
      <c r="AF118" s="8">
        <f t="shared" si="210"/>
        <v>11.910000000000002</v>
      </c>
      <c r="AG118" s="8">
        <f t="shared" si="210"/>
        <v>12.98</v>
      </c>
      <c r="AH118" s="8">
        <f t="shared" si="210"/>
        <v>12.959999999999999</v>
      </c>
      <c r="AI118" s="8">
        <f t="shared" si="210"/>
        <v>12.61</v>
      </c>
      <c r="AJ118" s="8">
        <f t="shared" ref="AJ118:BJ118" si="211">(AJ99/15)*$B7*AJ$56/$C7</f>
        <v>12.26</v>
      </c>
      <c r="AK118" s="8">
        <f t="shared" si="211"/>
        <v>12.929999999999998</v>
      </c>
      <c r="AL118" s="8">
        <f t="shared" si="211"/>
        <v>13.26</v>
      </c>
      <c r="AM118" s="8">
        <f t="shared" si="211"/>
        <v>12.939999999999998</v>
      </c>
      <c r="AN118" s="8">
        <f t="shared" si="211"/>
        <v>12.749999999999998</v>
      </c>
      <c r="AO118" s="8">
        <f t="shared" si="211"/>
        <v>12.69</v>
      </c>
      <c r="AP118" s="8">
        <f t="shared" si="211"/>
        <v>10.06</v>
      </c>
      <c r="AQ118" s="8">
        <f t="shared" si="211"/>
        <v>10.339999999999998</v>
      </c>
      <c r="AR118" s="8">
        <f t="shared" si="211"/>
        <v>10.36</v>
      </c>
      <c r="AS118" s="8">
        <f t="shared" si="211"/>
        <v>10.38</v>
      </c>
      <c r="AT118" s="8">
        <f t="shared" si="211"/>
        <v>10.18</v>
      </c>
      <c r="AU118" s="8">
        <f t="shared" si="211"/>
        <v>8.58</v>
      </c>
      <c r="AV118" s="8">
        <f t="shared" si="211"/>
        <v>10.35</v>
      </c>
      <c r="AW118" s="8">
        <f t="shared" si="211"/>
        <v>10.96</v>
      </c>
      <c r="AX118" s="8">
        <f t="shared" si="211"/>
        <v>11.959999999999999</v>
      </c>
      <c r="AY118" s="8">
        <f t="shared" si="211"/>
        <v>10.31</v>
      </c>
      <c r="AZ118" s="8">
        <f t="shared" si="211"/>
        <v>10.250000000000002</v>
      </c>
      <c r="BA118" s="8">
        <f t="shared" si="211"/>
        <v>11.51</v>
      </c>
      <c r="BB118" s="8">
        <f t="shared" si="211"/>
        <v>11.739999999999998</v>
      </c>
      <c r="BC118" s="8">
        <f t="shared" si="211"/>
        <v>11.150000000000002</v>
      </c>
      <c r="BD118" s="8">
        <f t="shared" si="211"/>
        <v>11.969999999999997</v>
      </c>
      <c r="BE118" s="8">
        <f t="shared" si="211"/>
        <v>11.789999999999997</v>
      </c>
      <c r="BF118" s="8">
        <f t="shared" si="211"/>
        <v>12.130000000000003</v>
      </c>
      <c r="BG118" s="8">
        <f t="shared" si="211"/>
        <v>12.220000000000002</v>
      </c>
      <c r="BH118" s="8">
        <f t="shared" si="211"/>
        <v>11.66</v>
      </c>
      <c r="BI118" s="8">
        <f t="shared" si="211"/>
        <v>12.08</v>
      </c>
      <c r="BJ118" s="8">
        <f t="shared" si="211"/>
        <v>11.730000000000004</v>
      </c>
      <c r="BK118" s="8"/>
      <c r="BL118" s="8"/>
      <c r="BM118" s="8"/>
      <c r="BN118" s="8">
        <f>(BN99/15)*$B7*BN$56/$C7</f>
        <v>11.331250000000001</v>
      </c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</row>
    <row r="119" spans="1:79" s="5" customFormat="1">
      <c r="A119" s="4" t="s">
        <v>133</v>
      </c>
      <c r="B119" s="54">
        <f t="shared" ref="B119:T119" si="212">(B100/15)*$B15*B$56/$C15</f>
        <v>0</v>
      </c>
      <c r="C119" s="8">
        <f t="shared" si="212"/>
        <v>1.124537530834625</v>
      </c>
      <c r="D119" s="8">
        <f t="shared" si="212"/>
        <v>0.46351741969649868</v>
      </c>
      <c r="E119" s="8">
        <f t="shared" si="212"/>
        <v>1.4293655297887409</v>
      </c>
      <c r="F119" s="8">
        <f t="shared" si="212"/>
        <v>0.57624161018721709</v>
      </c>
      <c r="G119" s="8">
        <f t="shared" si="212"/>
        <v>1.7875592046625608</v>
      </c>
      <c r="H119" s="8">
        <f t="shared" si="212"/>
        <v>0.86231992665679447</v>
      </c>
      <c r="I119" s="8">
        <f t="shared" si="212"/>
        <v>0.78450840358043805</v>
      </c>
      <c r="J119" s="8">
        <f t="shared" si="212"/>
        <v>0</v>
      </c>
      <c r="K119" s="54">
        <f t="shared" si="212"/>
        <v>0</v>
      </c>
      <c r="L119" s="8">
        <f t="shared" si="212"/>
        <v>0.2417713822000476</v>
      </c>
      <c r="M119" s="8">
        <f t="shared" si="212"/>
        <v>0.59070117003086497</v>
      </c>
      <c r="N119" s="8">
        <f t="shared" si="212"/>
        <v>0</v>
      </c>
      <c r="O119" s="8">
        <f t="shared" si="212"/>
        <v>1.2585174463924005</v>
      </c>
      <c r="P119" s="8">
        <f t="shared" si="212"/>
        <v>0.20140175507018554</v>
      </c>
      <c r="Q119" s="8">
        <f t="shared" si="212"/>
        <v>0.76751300836681324</v>
      </c>
      <c r="R119" s="8">
        <f t="shared" si="212"/>
        <v>0.44919799618639278</v>
      </c>
      <c r="S119" s="8">
        <f t="shared" si="212"/>
        <v>0.7648478658556076</v>
      </c>
      <c r="T119" s="8">
        <f t="shared" si="212"/>
        <v>1.9231106913650351</v>
      </c>
      <c r="U119" s="8">
        <f t="shared" ref="U119:AI119" si="213">(U100/15)*$B15*U$56/$C15</f>
        <v>1.0288496081105807</v>
      </c>
      <c r="V119" s="8">
        <f t="shared" si="213"/>
        <v>0.90287283172654287</v>
      </c>
      <c r="W119" s="8">
        <f t="shared" si="213"/>
        <v>0.60976847663666744</v>
      </c>
      <c r="X119" s="8">
        <f t="shared" si="213"/>
        <v>1.2020846291662457</v>
      </c>
      <c r="Y119" s="8">
        <f t="shared" si="213"/>
        <v>1.830013789484165</v>
      </c>
      <c r="Z119" s="8">
        <f t="shared" si="213"/>
        <v>1.1886890288349168</v>
      </c>
      <c r="AA119" s="8">
        <f t="shared" si="213"/>
        <v>0</v>
      </c>
      <c r="AB119" s="8">
        <f t="shared" si="213"/>
        <v>0</v>
      </c>
      <c r="AC119" s="8">
        <f t="shared" si="213"/>
        <v>0</v>
      </c>
      <c r="AD119" s="8">
        <f t="shared" si="213"/>
        <v>0</v>
      </c>
      <c r="AE119" s="8">
        <f t="shared" si="213"/>
        <v>0</v>
      </c>
      <c r="AF119" s="8">
        <f t="shared" si="213"/>
        <v>0</v>
      </c>
      <c r="AG119" s="8">
        <f t="shared" si="213"/>
        <v>0</v>
      </c>
      <c r="AH119" s="8">
        <f t="shared" si="213"/>
        <v>0</v>
      </c>
      <c r="AI119" s="8">
        <f t="shared" si="213"/>
        <v>0</v>
      </c>
      <c r="AJ119" s="8">
        <f t="shared" ref="AJ119:BJ119" si="214">(AJ100/15)*$B15*AJ$56/$C15</f>
        <v>0</v>
      </c>
      <c r="AK119" s="8">
        <f t="shared" si="214"/>
        <v>0</v>
      </c>
      <c r="AL119" s="8">
        <f t="shared" si="214"/>
        <v>0</v>
      </c>
      <c r="AM119" s="8">
        <f t="shared" si="214"/>
        <v>0</v>
      </c>
      <c r="AN119" s="8">
        <f t="shared" si="214"/>
        <v>0</v>
      </c>
      <c r="AO119" s="8">
        <f t="shared" si="214"/>
        <v>0</v>
      </c>
      <c r="AP119" s="8">
        <f t="shared" si="214"/>
        <v>2.2026436065555504</v>
      </c>
      <c r="AQ119" s="8">
        <f t="shared" si="214"/>
        <v>1.261412897232792</v>
      </c>
      <c r="AR119" s="8">
        <f t="shared" si="214"/>
        <v>1.8509954376458728</v>
      </c>
      <c r="AS119" s="8">
        <f t="shared" si="214"/>
        <v>2.0748046928309241</v>
      </c>
      <c r="AT119" s="8">
        <f t="shared" si="214"/>
        <v>1.3506269211980728</v>
      </c>
      <c r="AU119" s="8">
        <f t="shared" si="214"/>
        <v>1.9899365119349386</v>
      </c>
      <c r="AV119" s="8">
        <f t="shared" si="214"/>
        <v>1.3818137545798681</v>
      </c>
      <c r="AW119" s="8">
        <f t="shared" si="214"/>
        <v>2.6681049974476325</v>
      </c>
      <c r="AX119" s="8">
        <f t="shared" si="214"/>
        <v>1.0972312536999644</v>
      </c>
      <c r="AY119" s="8">
        <f t="shared" si="214"/>
        <v>1.0941979572428968</v>
      </c>
      <c r="AZ119" s="8">
        <f t="shared" si="214"/>
        <v>1.7153751302336007</v>
      </c>
      <c r="BA119" s="8">
        <f t="shared" si="214"/>
        <v>1.0694754938833766</v>
      </c>
      <c r="BB119" s="8">
        <f t="shared" si="214"/>
        <v>0.6633362060213327</v>
      </c>
      <c r="BC119" s="8">
        <f t="shared" si="214"/>
        <v>2.3661246287550539</v>
      </c>
      <c r="BD119" s="8">
        <f t="shared" si="214"/>
        <v>1.1509032148210361</v>
      </c>
      <c r="BE119" s="8">
        <f t="shared" si="214"/>
        <v>2.1509821306392931</v>
      </c>
      <c r="BF119" s="8">
        <f t="shared" si="214"/>
        <v>0</v>
      </c>
      <c r="BG119" s="8">
        <f t="shared" si="214"/>
        <v>0</v>
      </c>
      <c r="BH119" s="8">
        <f t="shared" si="214"/>
        <v>0</v>
      </c>
      <c r="BI119" s="8">
        <f t="shared" si="214"/>
        <v>0</v>
      </c>
      <c r="BJ119" s="8">
        <f t="shared" si="214"/>
        <v>0.19149957678901292</v>
      </c>
      <c r="BK119" s="8"/>
      <c r="BL119" s="8"/>
      <c r="BM119" s="8"/>
      <c r="BN119" s="8">
        <f>(BN100/15)*$B15*BN$56/$C15</f>
        <v>0.69662945533669962</v>
      </c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</row>
    <row r="120" spans="1:79" s="5" customFormat="1">
      <c r="A120" s="4" t="s">
        <v>268</v>
      </c>
      <c r="B120" s="54">
        <f t="shared" ref="B120:B126" si="215">(B101/15)*$B8*B$56/$C8</f>
        <v>13.78</v>
      </c>
      <c r="C120" s="8">
        <f t="shared" ref="C120:T120" si="216">(C101/15)*$B8*C$56/$C8</f>
        <v>12.428070441158638</v>
      </c>
      <c r="D120" s="8">
        <f t="shared" si="216"/>
        <v>14.082897888983181</v>
      </c>
      <c r="E120" s="8">
        <f t="shared" si="216"/>
        <v>13.323767046166397</v>
      </c>
      <c r="F120" s="8">
        <f t="shared" si="216"/>
        <v>13.381461576520261</v>
      </c>
      <c r="G120" s="8">
        <f t="shared" si="216"/>
        <v>13.041441861407282</v>
      </c>
      <c r="H120" s="8">
        <f t="shared" si="216"/>
        <v>12.704030324435431</v>
      </c>
      <c r="I120" s="8">
        <f t="shared" si="216"/>
        <v>13.404050024143444</v>
      </c>
      <c r="J120" s="8">
        <f t="shared" si="216"/>
        <v>13.8</v>
      </c>
      <c r="K120" s="54">
        <f t="shared" si="216"/>
        <v>14.590000000000003</v>
      </c>
      <c r="L120" s="8">
        <f t="shared" si="216"/>
        <v>13.502438912511371</v>
      </c>
      <c r="M120" s="8">
        <f t="shared" si="216"/>
        <v>13.358449955642866</v>
      </c>
      <c r="N120" s="8">
        <f t="shared" si="216"/>
        <v>13.889999999999999</v>
      </c>
      <c r="O120" s="8">
        <f t="shared" si="216"/>
        <v>13.317506891142342</v>
      </c>
      <c r="P120" s="8">
        <f t="shared" si="216"/>
        <v>13.248766040643583</v>
      </c>
      <c r="Q120" s="8">
        <f t="shared" si="216"/>
        <v>9.3593435490897363</v>
      </c>
      <c r="R120" s="8">
        <f t="shared" si="216"/>
        <v>13.925783406378665</v>
      </c>
      <c r="S120" s="8">
        <f t="shared" si="216"/>
        <v>13.581741811852574</v>
      </c>
      <c r="T120" s="8">
        <f t="shared" si="216"/>
        <v>12.949464112885789</v>
      </c>
      <c r="U120" s="8">
        <f t="shared" ref="U120:AI120" si="217">(U101/15)*$B8*U$56/$C8</f>
        <v>13.854176448982781</v>
      </c>
      <c r="V120" s="8">
        <f t="shared" si="217"/>
        <v>13.71753827129203</v>
      </c>
      <c r="W120" s="8">
        <f t="shared" si="217"/>
        <v>13.871291994585235</v>
      </c>
      <c r="X120" s="8">
        <f t="shared" si="217"/>
        <v>12.96828868745772</v>
      </c>
      <c r="Y120" s="8">
        <f t="shared" si="217"/>
        <v>12.183238557283287</v>
      </c>
      <c r="Z120" s="8">
        <f t="shared" si="217"/>
        <v>12.700342890685276</v>
      </c>
      <c r="AA120" s="8">
        <f t="shared" si="217"/>
        <v>11.559999999999999</v>
      </c>
      <c r="AB120" s="8">
        <f t="shared" si="217"/>
        <v>13.27</v>
      </c>
      <c r="AC120" s="8">
        <f t="shared" si="217"/>
        <v>12.170000000000002</v>
      </c>
      <c r="AD120" s="8">
        <f t="shared" si="217"/>
        <v>12.750000000000002</v>
      </c>
      <c r="AE120" s="8">
        <f t="shared" si="217"/>
        <v>13.48</v>
      </c>
      <c r="AF120" s="8">
        <f t="shared" si="217"/>
        <v>13.12</v>
      </c>
      <c r="AG120" s="8">
        <f t="shared" si="217"/>
        <v>13.32</v>
      </c>
      <c r="AH120" s="8">
        <f t="shared" si="217"/>
        <v>13.09</v>
      </c>
      <c r="AI120" s="8">
        <f t="shared" si="217"/>
        <v>12.99</v>
      </c>
      <c r="AJ120" s="8">
        <f t="shared" ref="AJ120:BJ120" si="218">(AJ101/15)*$B8*AJ$56/$C8</f>
        <v>12.810000000000002</v>
      </c>
      <c r="AK120" s="8">
        <f t="shared" si="218"/>
        <v>13.82</v>
      </c>
      <c r="AL120" s="8">
        <f t="shared" si="218"/>
        <v>13.699999999999998</v>
      </c>
      <c r="AM120" s="8">
        <f t="shared" si="218"/>
        <v>13.659999999999998</v>
      </c>
      <c r="AN120" s="8">
        <f t="shared" si="218"/>
        <v>13.61</v>
      </c>
      <c r="AO120" s="8">
        <f t="shared" si="218"/>
        <v>13.31</v>
      </c>
      <c r="AP120" s="8">
        <f t="shared" si="218"/>
        <v>16.237922824316762</v>
      </c>
      <c r="AQ120" s="8">
        <f t="shared" si="218"/>
        <v>16.594901382467693</v>
      </c>
      <c r="AR120" s="8">
        <f t="shared" si="218"/>
        <v>16.254357951357864</v>
      </c>
      <c r="AS120" s="8">
        <f t="shared" si="218"/>
        <v>16.612960314859301</v>
      </c>
      <c r="AT120" s="8">
        <f t="shared" si="218"/>
        <v>17.084620995696916</v>
      </c>
      <c r="AU120" s="8">
        <f t="shared" si="218"/>
        <v>15.689330038855974</v>
      </c>
      <c r="AV120" s="8">
        <f t="shared" si="218"/>
        <v>17.356557122611001</v>
      </c>
      <c r="AW120" s="8">
        <f t="shared" si="218"/>
        <v>15.989071405819832</v>
      </c>
      <c r="AX120" s="8">
        <f t="shared" si="218"/>
        <v>14.97264234580105</v>
      </c>
      <c r="AY120" s="8">
        <f t="shared" si="218"/>
        <v>17.385371896626587</v>
      </c>
      <c r="AZ120" s="8">
        <f t="shared" si="218"/>
        <v>16.44639762908011</v>
      </c>
      <c r="BA120" s="8">
        <f t="shared" si="218"/>
        <v>13.867618723215205</v>
      </c>
      <c r="BB120" s="8">
        <f t="shared" si="218"/>
        <v>14.283088384409483</v>
      </c>
      <c r="BC120" s="8">
        <f t="shared" si="218"/>
        <v>12.820812324100284</v>
      </c>
      <c r="BD120" s="8">
        <f t="shared" si="218"/>
        <v>13.944344941356855</v>
      </c>
      <c r="BE120" s="8">
        <f t="shared" si="218"/>
        <v>13.24441106779426</v>
      </c>
      <c r="BF120" s="8">
        <f t="shared" si="218"/>
        <v>16.999999999999996</v>
      </c>
      <c r="BG120" s="8">
        <f t="shared" si="218"/>
        <v>17.29</v>
      </c>
      <c r="BH120" s="8">
        <f t="shared" si="218"/>
        <v>16.649999999999999</v>
      </c>
      <c r="BI120" s="8">
        <f t="shared" si="218"/>
        <v>17.2</v>
      </c>
      <c r="BJ120" s="8">
        <f t="shared" si="218"/>
        <v>16.217676643113379</v>
      </c>
      <c r="BK120" s="8"/>
      <c r="BL120" s="8"/>
      <c r="BM120" s="8"/>
      <c r="BN120" s="8">
        <f t="shared" ref="BN120:BN126" si="219">(BN101/15)*$B8*BN$56/$C8</f>
        <v>13.431879025856915</v>
      </c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</row>
    <row r="121" spans="1:79" s="5" customFormat="1">
      <c r="A121" s="4" t="s">
        <v>269</v>
      </c>
      <c r="B121" s="54">
        <f t="shared" si="215"/>
        <v>0.67999999999999994</v>
      </c>
      <c r="C121" s="8">
        <f t="shared" ref="C121:T121" si="220">(C102/15)*$B9*C$56/$C9</f>
        <v>0.84</v>
      </c>
      <c r="D121" s="8">
        <f t="shared" si="220"/>
        <v>1.0100000000000002</v>
      </c>
      <c r="E121" s="8">
        <f t="shared" si="220"/>
        <v>1.1100000000000003</v>
      </c>
      <c r="F121" s="8">
        <f t="shared" si="220"/>
        <v>0.84999999999999987</v>
      </c>
      <c r="G121" s="8">
        <f t="shared" si="220"/>
        <v>0.84</v>
      </c>
      <c r="H121" s="8">
        <f t="shared" si="220"/>
        <v>0.81</v>
      </c>
      <c r="I121" s="8">
        <f t="shared" si="220"/>
        <v>0.85</v>
      </c>
      <c r="J121" s="8">
        <f t="shared" si="220"/>
        <v>0.8899999999999999</v>
      </c>
      <c r="K121" s="54">
        <f t="shared" si="220"/>
        <v>0.8899999999999999</v>
      </c>
      <c r="L121" s="8">
        <f t="shared" si="220"/>
        <v>0.89999999999999991</v>
      </c>
      <c r="M121" s="8">
        <f t="shared" si="220"/>
        <v>0.77</v>
      </c>
      <c r="N121" s="8">
        <f t="shared" si="220"/>
        <v>0.69000000000000006</v>
      </c>
      <c r="O121" s="8">
        <f t="shared" si="220"/>
        <v>0.70000000000000007</v>
      </c>
      <c r="P121" s="8">
        <f t="shared" si="220"/>
        <v>0.22</v>
      </c>
      <c r="Q121" s="8">
        <f t="shared" si="220"/>
        <v>0.23</v>
      </c>
      <c r="R121" s="8">
        <f t="shared" si="220"/>
        <v>0.18000000000000002</v>
      </c>
      <c r="S121" s="8">
        <f t="shared" si="220"/>
        <v>0.20000000000000004</v>
      </c>
      <c r="T121" s="8">
        <f t="shared" si="220"/>
        <v>0.21</v>
      </c>
      <c r="U121" s="8">
        <f t="shared" ref="U121:AI121" si="221">(U102/15)*$B9*U$56/$C9</f>
        <v>0.19</v>
      </c>
      <c r="V121" s="8">
        <f t="shared" si="221"/>
        <v>0.26</v>
      </c>
      <c r="W121" s="8">
        <f t="shared" si="221"/>
        <v>0.25</v>
      </c>
      <c r="X121" s="8">
        <f t="shared" si="221"/>
        <v>0.23000000000000004</v>
      </c>
      <c r="Y121" s="8">
        <f t="shared" si="221"/>
        <v>0.15</v>
      </c>
      <c r="Z121" s="8">
        <f t="shared" si="221"/>
        <v>0.21</v>
      </c>
      <c r="AA121" s="8">
        <f t="shared" si="221"/>
        <v>0.18000000000000002</v>
      </c>
      <c r="AB121" s="8">
        <f t="shared" si="221"/>
        <v>0.26</v>
      </c>
      <c r="AC121" s="8">
        <f t="shared" si="221"/>
        <v>0.13999999999999999</v>
      </c>
      <c r="AD121" s="8">
        <f t="shared" si="221"/>
        <v>0.20999999999999996</v>
      </c>
      <c r="AE121" s="8">
        <f t="shared" si="221"/>
        <v>0.23999999999999996</v>
      </c>
      <c r="AF121" s="8">
        <f t="shared" si="221"/>
        <v>0.22</v>
      </c>
      <c r="AG121" s="8">
        <f t="shared" si="221"/>
        <v>0.24</v>
      </c>
      <c r="AH121" s="8">
        <f t="shared" si="221"/>
        <v>0.21</v>
      </c>
      <c r="AI121" s="8">
        <f t="shared" si="221"/>
        <v>0.25</v>
      </c>
      <c r="AJ121" s="8">
        <f t="shared" ref="AJ121:BJ121" si="222">(AJ102/15)*$B9*AJ$56/$C9</f>
        <v>0.24000000000000002</v>
      </c>
      <c r="AK121" s="8">
        <f t="shared" si="222"/>
        <v>0.25</v>
      </c>
      <c r="AL121" s="8">
        <f t="shared" si="222"/>
        <v>0.20000000000000004</v>
      </c>
      <c r="AM121" s="8">
        <f t="shared" si="222"/>
        <v>0.18</v>
      </c>
      <c r="AN121" s="8">
        <f t="shared" si="222"/>
        <v>0.21</v>
      </c>
      <c r="AO121" s="8">
        <f t="shared" si="222"/>
        <v>0.28000000000000008</v>
      </c>
      <c r="AP121" s="8">
        <f t="shared" si="222"/>
        <v>0.31</v>
      </c>
      <c r="AQ121" s="8">
        <f t="shared" si="222"/>
        <v>0.26999999999999996</v>
      </c>
      <c r="AR121" s="8">
        <f t="shared" si="222"/>
        <v>0.34</v>
      </c>
      <c r="AS121" s="8">
        <f t="shared" si="222"/>
        <v>0.33999999999999997</v>
      </c>
      <c r="AT121" s="8">
        <f t="shared" si="222"/>
        <v>0.32999999999999996</v>
      </c>
      <c r="AU121" s="8">
        <f t="shared" si="222"/>
        <v>0.27000000000000007</v>
      </c>
      <c r="AV121" s="8">
        <f t="shared" si="222"/>
        <v>0.28000000000000003</v>
      </c>
      <c r="AW121" s="8">
        <f t="shared" si="222"/>
        <v>0.26</v>
      </c>
      <c r="AX121" s="8">
        <f t="shared" si="222"/>
        <v>0.25000000000000006</v>
      </c>
      <c r="AY121" s="8">
        <f t="shared" si="222"/>
        <v>0.29999999999999993</v>
      </c>
      <c r="AZ121" s="8">
        <f t="shared" si="222"/>
        <v>0.29999999999999993</v>
      </c>
      <c r="BA121" s="8">
        <f t="shared" si="222"/>
        <v>0.20000000000000004</v>
      </c>
      <c r="BB121" s="8">
        <f t="shared" si="222"/>
        <v>0.23999999999999996</v>
      </c>
      <c r="BC121" s="8">
        <f t="shared" si="222"/>
        <v>0.18</v>
      </c>
      <c r="BD121" s="8">
        <f t="shared" si="222"/>
        <v>0.20000000000000004</v>
      </c>
      <c r="BE121" s="8">
        <f t="shared" si="222"/>
        <v>0.18000000000000002</v>
      </c>
      <c r="BF121" s="8">
        <f t="shared" si="222"/>
        <v>0.16000000000000003</v>
      </c>
      <c r="BG121" s="8">
        <f t="shared" si="222"/>
        <v>0.25</v>
      </c>
      <c r="BH121" s="8">
        <f t="shared" si="222"/>
        <v>0.2</v>
      </c>
      <c r="BI121" s="8">
        <f t="shared" si="222"/>
        <v>0.21</v>
      </c>
      <c r="BJ121" s="8">
        <f t="shared" si="222"/>
        <v>0.24</v>
      </c>
      <c r="BK121" s="8"/>
      <c r="BL121" s="8"/>
      <c r="BM121" s="8"/>
      <c r="BN121" s="8">
        <f t="shared" si="219"/>
        <v>0.87375000000000003</v>
      </c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</row>
    <row r="122" spans="1:79" s="5" customFormat="1">
      <c r="A122" s="4" t="s">
        <v>114</v>
      </c>
      <c r="B122" s="54">
        <f t="shared" si="215"/>
        <v>2.9999999999999995E-2</v>
      </c>
      <c r="C122" s="8">
        <f t="shared" ref="C122:T122" si="223">(C103/15)*$B10*C$56/$C10</f>
        <v>0</v>
      </c>
      <c r="D122" s="8">
        <f t="shared" si="223"/>
        <v>0</v>
      </c>
      <c r="E122" s="8">
        <f t="shared" si="223"/>
        <v>0.03</v>
      </c>
      <c r="F122" s="8">
        <f t="shared" si="223"/>
        <v>0</v>
      </c>
      <c r="G122" s="8">
        <f t="shared" si="223"/>
        <v>0</v>
      </c>
      <c r="H122" s="8">
        <f t="shared" si="223"/>
        <v>0</v>
      </c>
      <c r="I122" s="8">
        <f t="shared" si="223"/>
        <v>0</v>
      </c>
      <c r="J122" s="8">
        <f t="shared" si="223"/>
        <v>0</v>
      </c>
      <c r="K122" s="54">
        <f t="shared" si="223"/>
        <v>0</v>
      </c>
      <c r="L122" s="8">
        <f t="shared" si="223"/>
        <v>0</v>
      </c>
      <c r="M122" s="8">
        <f t="shared" si="223"/>
        <v>0</v>
      </c>
      <c r="N122" s="8">
        <f t="shared" si="223"/>
        <v>0</v>
      </c>
      <c r="O122" s="8">
        <f t="shared" si="223"/>
        <v>0</v>
      </c>
      <c r="P122" s="8">
        <f t="shared" si="223"/>
        <v>0</v>
      </c>
      <c r="Q122" s="8">
        <f t="shared" si="223"/>
        <v>0</v>
      </c>
      <c r="R122" s="8">
        <f t="shared" si="223"/>
        <v>0</v>
      </c>
      <c r="S122" s="8">
        <f t="shared" si="223"/>
        <v>0</v>
      </c>
      <c r="T122" s="8">
        <f t="shared" si="223"/>
        <v>0</v>
      </c>
      <c r="U122" s="8">
        <f t="shared" ref="U122:AI122" si="224">(U103/15)*$B10*U$56/$C10</f>
        <v>0</v>
      </c>
      <c r="V122" s="8">
        <f t="shared" si="224"/>
        <v>0</v>
      </c>
      <c r="W122" s="8">
        <f t="shared" si="224"/>
        <v>0</v>
      </c>
      <c r="X122" s="8">
        <f t="shared" si="224"/>
        <v>0</v>
      </c>
      <c r="Y122" s="8">
        <f t="shared" si="224"/>
        <v>0</v>
      </c>
      <c r="Z122" s="8">
        <f t="shared" si="224"/>
        <v>0</v>
      </c>
      <c r="AA122" s="8">
        <f t="shared" si="224"/>
        <v>0</v>
      </c>
      <c r="AB122" s="8">
        <f t="shared" si="224"/>
        <v>0</v>
      </c>
      <c r="AC122" s="8">
        <f t="shared" si="224"/>
        <v>0</v>
      </c>
      <c r="AD122" s="8">
        <f t="shared" si="224"/>
        <v>0</v>
      </c>
      <c r="AE122" s="8">
        <f t="shared" si="224"/>
        <v>0</v>
      </c>
      <c r="AF122" s="8">
        <f t="shared" si="224"/>
        <v>0</v>
      </c>
      <c r="AG122" s="8">
        <f t="shared" si="224"/>
        <v>0</v>
      </c>
      <c r="AH122" s="8">
        <f t="shared" si="224"/>
        <v>0</v>
      </c>
      <c r="AI122" s="8">
        <f t="shared" si="224"/>
        <v>0</v>
      </c>
      <c r="AJ122" s="8">
        <f t="shared" ref="AJ122:BJ122" si="225">(AJ103/15)*$B10*AJ$56/$C10</f>
        <v>0</v>
      </c>
      <c r="AK122" s="8">
        <f t="shared" si="225"/>
        <v>0</v>
      </c>
      <c r="AL122" s="8">
        <f t="shared" si="225"/>
        <v>0</v>
      </c>
      <c r="AM122" s="8">
        <f t="shared" si="225"/>
        <v>0</v>
      </c>
      <c r="AN122" s="8">
        <f t="shared" si="225"/>
        <v>0</v>
      </c>
      <c r="AO122" s="8">
        <f t="shared" si="225"/>
        <v>0</v>
      </c>
      <c r="AP122" s="8">
        <f t="shared" si="225"/>
        <v>0</v>
      </c>
      <c r="AQ122" s="8">
        <f t="shared" si="225"/>
        <v>0</v>
      </c>
      <c r="AR122" s="8">
        <f t="shared" si="225"/>
        <v>0</v>
      </c>
      <c r="AS122" s="8">
        <f t="shared" si="225"/>
        <v>0</v>
      </c>
      <c r="AT122" s="8">
        <f t="shared" si="225"/>
        <v>0</v>
      </c>
      <c r="AU122" s="8">
        <f t="shared" si="225"/>
        <v>0</v>
      </c>
      <c r="AV122" s="8">
        <f t="shared" si="225"/>
        <v>0</v>
      </c>
      <c r="AW122" s="8">
        <f t="shared" si="225"/>
        <v>0</v>
      </c>
      <c r="AX122" s="8">
        <f t="shared" si="225"/>
        <v>0</v>
      </c>
      <c r="AY122" s="8">
        <f t="shared" si="225"/>
        <v>0</v>
      </c>
      <c r="AZ122" s="8">
        <f t="shared" si="225"/>
        <v>0</v>
      </c>
      <c r="BA122" s="8">
        <f t="shared" si="225"/>
        <v>0</v>
      </c>
      <c r="BB122" s="8">
        <f t="shared" si="225"/>
        <v>0</v>
      </c>
      <c r="BC122" s="8">
        <f t="shared" si="225"/>
        <v>0</v>
      </c>
      <c r="BD122" s="8">
        <f t="shared" si="225"/>
        <v>0</v>
      </c>
      <c r="BE122" s="8">
        <f t="shared" si="225"/>
        <v>0</v>
      </c>
      <c r="BF122" s="8">
        <f t="shared" si="225"/>
        <v>0</v>
      </c>
      <c r="BG122" s="8">
        <f t="shared" si="225"/>
        <v>0</v>
      </c>
      <c r="BH122" s="8">
        <f t="shared" si="225"/>
        <v>0</v>
      </c>
      <c r="BI122" s="8">
        <f t="shared" si="225"/>
        <v>0</v>
      </c>
      <c r="BJ122" s="8">
        <f t="shared" si="225"/>
        <v>0</v>
      </c>
      <c r="BK122" s="8"/>
      <c r="BL122" s="8"/>
      <c r="BM122" s="8"/>
      <c r="BN122" s="8">
        <f t="shared" si="219"/>
        <v>7.5000000000000006E-3</v>
      </c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</row>
    <row r="123" spans="1:79" s="5" customFormat="1">
      <c r="A123" s="4" t="s">
        <v>270</v>
      </c>
      <c r="B123" s="54">
        <f t="shared" si="215"/>
        <v>12.46</v>
      </c>
      <c r="C123" s="8">
        <f t="shared" ref="C123:T123" si="226">(C104/15)*$B11*C$56/$C11</f>
        <v>13.000000000000002</v>
      </c>
      <c r="D123" s="8">
        <f t="shared" si="226"/>
        <v>12.06</v>
      </c>
      <c r="E123" s="8">
        <f t="shared" si="226"/>
        <v>11.980000000000002</v>
      </c>
      <c r="F123" s="8">
        <f t="shared" si="226"/>
        <v>12.24</v>
      </c>
      <c r="G123" s="8">
        <f t="shared" si="226"/>
        <v>11.92</v>
      </c>
      <c r="H123" s="8">
        <f t="shared" si="226"/>
        <v>12.390000000000002</v>
      </c>
      <c r="I123" s="8">
        <f t="shared" si="226"/>
        <v>12.42</v>
      </c>
      <c r="J123" s="8">
        <f t="shared" si="226"/>
        <v>12.840000000000002</v>
      </c>
      <c r="K123" s="54">
        <f t="shared" si="226"/>
        <v>11.100000000000001</v>
      </c>
      <c r="L123" s="8">
        <f t="shared" si="226"/>
        <v>12.839999999999998</v>
      </c>
      <c r="M123" s="8">
        <f t="shared" si="226"/>
        <v>12.179999999999996</v>
      </c>
      <c r="N123" s="8">
        <f t="shared" si="226"/>
        <v>11.800000000000002</v>
      </c>
      <c r="O123" s="8">
        <f t="shared" si="226"/>
        <v>12.090000000000002</v>
      </c>
      <c r="P123" s="8">
        <f t="shared" si="226"/>
        <v>12.36</v>
      </c>
      <c r="Q123" s="8">
        <f t="shared" si="226"/>
        <v>16.409999999999997</v>
      </c>
      <c r="R123" s="8">
        <f t="shared" si="226"/>
        <v>11.659999999999998</v>
      </c>
      <c r="S123" s="8">
        <f t="shared" si="226"/>
        <v>11.64</v>
      </c>
      <c r="T123" s="8">
        <f t="shared" si="226"/>
        <v>11.74</v>
      </c>
      <c r="U123" s="8">
        <f t="shared" ref="U123:AI123" si="227">(U104/15)*$B11*U$56/$C11</f>
        <v>11.16</v>
      </c>
      <c r="V123" s="8">
        <f t="shared" si="227"/>
        <v>11.200000000000001</v>
      </c>
      <c r="W123" s="8">
        <f t="shared" si="227"/>
        <v>12.169999999999998</v>
      </c>
      <c r="X123" s="8">
        <f t="shared" si="227"/>
        <v>12.380000000000003</v>
      </c>
      <c r="Y123" s="8">
        <f t="shared" si="227"/>
        <v>7.0499999999999989</v>
      </c>
      <c r="Z123" s="8">
        <f t="shared" si="227"/>
        <v>11.19</v>
      </c>
      <c r="AA123" s="8">
        <f t="shared" si="227"/>
        <v>12.510000000000002</v>
      </c>
      <c r="AB123" s="8">
        <f t="shared" si="227"/>
        <v>12.98</v>
      </c>
      <c r="AC123" s="8">
        <f t="shared" si="227"/>
        <v>12.59</v>
      </c>
      <c r="AD123" s="8">
        <f t="shared" si="227"/>
        <v>12.28</v>
      </c>
      <c r="AE123" s="8">
        <f t="shared" si="227"/>
        <v>12.109999999999998</v>
      </c>
      <c r="AF123" s="8">
        <f t="shared" si="227"/>
        <v>12.339999999999998</v>
      </c>
      <c r="AG123" s="8">
        <f t="shared" si="227"/>
        <v>11.88</v>
      </c>
      <c r="AH123" s="8">
        <f t="shared" si="227"/>
        <v>12.38</v>
      </c>
      <c r="AI123" s="8">
        <f t="shared" si="227"/>
        <v>11.88</v>
      </c>
      <c r="AJ123" s="8">
        <f t="shared" ref="AJ123:BJ123" si="228">(AJ104/15)*$B11*AJ$56/$C11</f>
        <v>12.43</v>
      </c>
      <c r="AK123" s="8">
        <f t="shared" si="228"/>
        <v>11.29</v>
      </c>
      <c r="AL123" s="8">
        <f t="shared" si="228"/>
        <v>11.1</v>
      </c>
      <c r="AM123" s="8">
        <f t="shared" si="228"/>
        <v>11.65</v>
      </c>
      <c r="AN123" s="8">
        <f t="shared" si="228"/>
        <v>11.48</v>
      </c>
      <c r="AO123" s="8">
        <f t="shared" si="228"/>
        <v>11.580000000000002</v>
      </c>
      <c r="AP123" s="8">
        <f t="shared" si="228"/>
        <v>9.8800000000000008</v>
      </c>
      <c r="AQ123" s="8">
        <f t="shared" si="228"/>
        <v>9.89</v>
      </c>
      <c r="AR123" s="8">
        <f t="shared" si="228"/>
        <v>9.8000000000000007</v>
      </c>
      <c r="AS123" s="8">
        <f t="shared" si="228"/>
        <v>9.6500000000000021</v>
      </c>
      <c r="AT123" s="8">
        <f t="shared" si="228"/>
        <v>9.6199999999999974</v>
      </c>
      <c r="AU123" s="8">
        <f t="shared" si="228"/>
        <v>10.789999999999997</v>
      </c>
      <c r="AV123" s="8">
        <f t="shared" si="228"/>
        <v>9.58</v>
      </c>
      <c r="AW123" s="8">
        <f t="shared" si="228"/>
        <v>9.42</v>
      </c>
      <c r="AX123" s="8">
        <f t="shared" si="228"/>
        <v>7.53</v>
      </c>
      <c r="AY123" s="8">
        <f t="shared" si="228"/>
        <v>9.4600000000000009</v>
      </c>
      <c r="AZ123" s="8">
        <f t="shared" si="228"/>
        <v>9.92</v>
      </c>
      <c r="BA123" s="8">
        <f t="shared" si="228"/>
        <v>11.34</v>
      </c>
      <c r="BB123" s="8">
        <f t="shared" si="228"/>
        <v>11.19</v>
      </c>
      <c r="BC123" s="8">
        <f t="shared" si="228"/>
        <v>11.34</v>
      </c>
      <c r="BD123" s="8">
        <f t="shared" si="228"/>
        <v>11.049999999999999</v>
      </c>
      <c r="BE123" s="8">
        <f t="shared" si="228"/>
        <v>11.48</v>
      </c>
      <c r="BF123" s="8">
        <f t="shared" si="228"/>
        <v>9.5199999999999978</v>
      </c>
      <c r="BG123" s="8">
        <f t="shared" si="228"/>
        <v>9.4499999999999993</v>
      </c>
      <c r="BH123" s="8">
        <f t="shared" si="228"/>
        <v>9.8300000000000018</v>
      </c>
      <c r="BI123" s="8">
        <f t="shared" si="228"/>
        <v>9.33</v>
      </c>
      <c r="BJ123" s="8">
        <f t="shared" si="228"/>
        <v>9.73</v>
      </c>
      <c r="BK123" s="8"/>
      <c r="BL123" s="8"/>
      <c r="BM123" s="8"/>
      <c r="BN123" s="8">
        <f t="shared" si="219"/>
        <v>12.30875</v>
      </c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</row>
    <row r="124" spans="1:79" s="5" customFormat="1">
      <c r="A124" s="4" t="s">
        <v>271</v>
      </c>
      <c r="B124" s="54">
        <f t="shared" si="215"/>
        <v>10.49</v>
      </c>
      <c r="C124" s="8">
        <f t="shared" ref="C124:T124" si="229">(C105/15)*$B12*C$56/$C12</f>
        <v>10.529999999999998</v>
      </c>
      <c r="D124" s="8">
        <f t="shared" si="229"/>
        <v>10.549999999999999</v>
      </c>
      <c r="E124" s="8">
        <f t="shared" si="229"/>
        <v>10</v>
      </c>
      <c r="F124" s="8">
        <f t="shared" si="229"/>
        <v>10.870000000000001</v>
      </c>
      <c r="G124" s="8">
        <f t="shared" si="229"/>
        <v>10.940000000000001</v>
      </c>
      <c r="H124" s="8">
        <f t="shared" si="229"/>
        <v>11.02</v>
      </c>
      <c r="I124" s="8">
        <f t="shared" si="229"/>
        <v>10.809999999999999</v>
      </c>
      <c r="J124" s="8">
        <f t="shared" si="229"/>
        <v>10.26</v>
      </c>
      <c r="K124" s="54">
        <f t="shared" si="229"/>
        <v>10.350000000000001</v>
      </c>
      <c r="L124" s="8">
        <f t="shared" si="229"/>
        <v>10.480000000000002</v>
      </c>
      <c r="M124" s="8">
        <f t="shared" si="229"/>
        <v>10.809999999999999</v>
      </c>
      <c r="N124" s="8">
        <f t="shared" si="229"/>
        <v>10.39</v>
      </c>
      <c r="O124" s="8">
        <f t="shared" si="229"/>
        <v>10.849999999999998</v>
      </c>
      <c r="P124" s="8">
        <f t="shared" si="229"/>
        <v>12.129999999999999</v>
      </c>
      <c r="Q124" s="8">
        <f t="shared" si="229"/>
        <v>12.64</v>
      </c>
      <c r="R124" s="8">
        <f t="shared" si="229"/>
        <v>11.949999999999998</v>
      </c>
      <c r="S124" s="8">
        <f t="shared" si="229"/>
        <v>12.03</v>
      </c>
      <c r="T124" s="8">
        <f t="shared" si="229"/>
        <v>12.07</v>
      </c>
      <c r="U124" s="8">
        <f t="shared" ref="U124:AI124" si="230">(U105/15)*$B12*U$56/$C12</f>
        <v>11.87</v>
      </c>
      <c r="V124" s="8">
        <f t="shared" si="230"/>
        <v>12.09</v>
      </c>
      <c r="W124" s="8">
        <f t="shared" si="230"/>
        <v>12.05</v>
      </c>
      <c r="X124" s="8">
        <f t="shared" si="230"/>
        <v>11.83</v>
      </c>
      <c r="Y124" s="8">
        <f t="shared" si="230"/>
        <v>16.239999999999998</v>
      </c>
      <c r="Z124" s="8">
        <f t="shared" si="230"/>
        <v>13.1</v>
      </c>
      <c r="AA124" s="8">
        <f t="shared" si="230"/>
        <v>13.579999999999998</v>
      </c>
      <c r="AB124" s="8">
        <f t="shared" si="230"/>
        <v>11.34</v>
      </c>
      <c r="AC124" s="8">
        <f t="shared" si="230"/>
        <v>11.289999999999997</v>
      </c>
      <c r="AD124" s="8">
        <f t="shared" si="230"/>
        <v>11.479999999999999</v>
      </c>
      <c r="AE124" s="8">
        <f t="shared" si="230"/>
        <v>11.12</v>
      </c>
      <c r="AF124" s="8">
        <f t="shared" si="230"/>
        <v>11.199999999999998</v>
      </c>
      <c r="AG124" s="8">
        <f t="shared" si="230"/>
        <v>11.21</v>
      </c>
      <c r="AH124" s="8">
        <f t="shared" si="230"/>
        <v>11.169999999999998</v>
      </c>
      <c r="AI124" s="8">
        <f t="shared" si="230"/>
        <v>11.24</v>
      </c>
      <c r="AJ124" s="8">
        <f t="shared" ref="AJ124:BJ124" si="231">(AJ105/15)*$B12*AJ$56/$C12</f>
        <v>11.009999999999998</v>
      </c>
      <c r="AK124" s="8">
        <f t="shared" si="231"/>
        <v>11.050000000000002</v>
      </c>
      <c r="AL124" s="8">
        <f t="shared" si="231"/>
        <v>10.92</v>
      </c>
      <c r="AM124" s="8">
        <f t="shared" si="231"/>
        <v>10.870000000000001</v>
      </c>
      <c r="AN124" s="8">
        <f t="shared" si="231"/>
        <v>10.71</v>
      </c>
      <c r="AO124" s="8">
        <f t="shared" si="231"/>
        <v>10.88</v>
      </c>
      <c r="AP124" s="8">
        <f t="shared" si="231"/>
        <v>11.79</v>
      </c>
      <c r="AQ124" s="8">
        <f t="shared" si="231"/>
        <v>11.69</v>
      </c>
      <c r="AR124" s="8">
        <f t="shared" si="231"/>
        <v>11.850000000000001</v>
      </c>
      <c r="AS124" s="8">
        <f t="shared" si="231"/>
        <v>11.780000000000001</v>
      </c>
      <c r="AT124" s="8">
        <f t="shared" si="231"/>
        <v>11.42</v>
      </c>
      <c r="AU124" s="8">
        <f t="shared" si="231"/>
        <v>11.74</v>
      </c>
      <c r="AV124" s="8">
        <f t="shared" si="231"/>
        <v>11.44</v>
      </c>
      <c r="AW124" s="8">
        <f t="shared" si="231"/>
        <v>11.669999999999998</v>
      </c>
      <c r="AX124" s="8">
        <f t="shared" si="231"/>
        <v>14.35</v>
      </c>
      <c r="AY124" s="8">
        <f t="shared" si="231"/>
        <v>11.479999999999999</v>
      </c>
      <c r="AZ124" s="8">
        <f t="shared" si="231"/>
        <v>11.74</v>
      </c>
      <c r="BA124" s="8">
        <f t="shared" si="231"/>
        <v>12.02</v>
      </c>
      <c r="BB124" s="8">
        <f t="shared" si="231"/>
        <v>11.82</v>
      </c>
      <c r="BC124" s="8">
        <f t="shared" si="231"/>
        <v>11.919999999999998</v>
      </c>
      <c r="BD124" s="8">
        <f t="shared" si="231"/>
        <v>11.949999999999998</v>
      </c>
      <c r="BE124" s="8">
        <f t="shared" si="231"/>
        <v>11.999999999999998</v>
      </c>
      <c r="BF124" s="8">
        <f t="shared" si="231"/>
        <v>11.589999999999998</v>
      </c>
      <c r="BG124" s="8">
        <f t="shared" si="231"/>
        <v>11.34</v>
      </c>
      <c r="BH124" s="8">
        <f t="shared" si="231"/>
        <v>11.69</v>
      </c>
      <c r="BI124" s="8">
        <f t="shared" si="231"/>
        <v>11.4</v>
      </c>
      <c r="BJ124" s="8">
        <f t="shared" si="231"/>
        <v>11.98</v>
      </c>
      <c r="BK124" s="8"/>
      <c r="BL124" s="8"/>
      <c r="BM124" s="8"/>
      <c r="BN124" s="8">
        <f t="shared" si="219"/>
        <v>10.651249999999999</v>
      </c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</row>
    <row r="125" spans="1:79" s="5" customFormat="1">
      <c r="A125" s="4" t="s">
        <v>272</v>
      </c>
      <c r="B125" s="54">
        <f t="shared" si="215"/>
        <v>1.3499999999999999</v>
      </c>
      <c r="C125" s="8">
        <f t="shared" ref="C125:T125" si="232">(C106/15)*$B13*C$56/$C13</f>
        <v>1.3999999999999997</v>
      </c>
      <c r="D125" s="8">
        <f t="shared" si="232"/>
        <v>1.51</v>
      </c>
      <c r="E125" s="8">
        <f t="shared" si="232"/>
        <v>1.39</v>
      </c>
      <c r="F125" s="8">
        <f t="shared" si="232"/>
        <v>1.3900000000000001</v>
      </c>
      <c r="G125" s="8">
        <f t="shared" si="232"/>
        <v>1.4699999999999998</v>
      </c>
      <c r="H125" s="8">
        <f t="shared" si="232"/>
        <v>1.37</v>
      </c>
      <c r="I125" s="8">
        <f t="shared" si="232"/>
        <v>1.41</v>
      </c>
      <c r="J125" s="8">
        <f t="shared" si="232"/>
        <v>1.41</v>
      </c>
      <c r="K125" s="54">
        <f t="shared" si="232"/>
        <v>1.29</v>
      </c>
      <c r="L125" s="8">
        <f t="shared" si="232"/>
        <v>1.53</v>
      </c>
      <c r="M125" s="8">
        <f t="shared" si="232"/>
        <v>1.45</v>
      </c>
      <c r="N125" s="8">
        <f t="shared" si="232"/>
        <v>1.63</v>
      </c>
      <c r="O125" s="8">
        <f t="shared" si="232"/>
        <v>1.51</v>
      </c>
      <c r="P125" s="8">
        <f t="shared" si="232"/>
        <v>1.38</v>
      </c>
      <c r="Q125" s="8">
        <f t="shared" si="232"/>
        <v>0.74</v>
      </c>
      <c r="R125" s="8">
        <f t="shared" si="232"/>
        <v>1.6700000000000002</v>
      </c>
      <c r="S125" s="8">
        <f t="shared" si="232"/>
        <v>1.57</v>
      </c>
      <c r="T125" s="8">
        <f t="shared" si="232"/>
        <v>1.6000000000000003</v>
      </c>
      <c r="U125" s="8">
        <f t="shared" ref="U125:AI125" si="233">(U106/15)*$B13*U$56/$C13</f>
        <v>1.64</v>
      </c>
      <c r="V125" s="8">
        <f t="shared" si="233"/>
        <v>1.6800000000000004</v>
      </c>
      <c r="W125" s="8">
        <f t="shared" si="233"/>
        <v>1.24</v>
      </c>
      <c r="X125" s="8">
        <f t="shared" si="233"/>
        <v>1.52</v>
      </c>
      <c r="Y125" s="8">
        <f t="shared" si="233"/>
        <v>1.05</v>
      </c>
      <c r="Z125" s="8">
        <f t="shared" si="233"/>
        <v>1.26</v>
      </c>
      <c r="AA125" s="8">
        <f t="shared" si="233"/>
        <v>1.17</v>
      </c>
      <c r="AB125" s="8">
        <f t="shared" si="233"/>
        <v>2.0799999999999996</v>
      </c>
      <c r="AC125" s="8">
        <f t="shared" si="233"/>
        <v>2.4700000000000006</v>
      </c>
      <c r="AD125" s="8">
        <f t="shared" si="233"/>
        <v>2.5099999999999993</v>
      </c>
      <c r="AE125" s="8">
        <f t="shared" si="233"/>
        <v>2.58</v>
      </c>
      <c r="AF125" s="8">
        <f t="shared" si="233"/>
        <v>2.63</v>
      </c>
      <c r="AG125" s="8">
        <f t="shared" si="233"/>
        <v>2.64</v>
      </c>
      <c r="AH125" s="8">
        <f t="shared" si="233"/>
        <v>2.59</v>
      </c>
      <c r="AI125" s="8">
        <f t="shared" si="233"/>
        <v>2.5500000000000003</v>
      </c>
      <c r="AJ125" s="8">
        <f t="shared" ref="AJ125:BJ125" si="234">(AJ106/15)*$B13*AJ$56/$C13</f>
        <v>2.56</v>
      </c>
      <c r="AK125" s="8">
        <f t="shared" si="234"/>
        <v>2.44</v>
      </c>
      <c r="AL125" s="8">
        <f t="shared" si="234"/>
        <v>2.59</v>
      </c>
      <c r="AM125" s="8">
        <f t="shared" si="234"/>
        <v>2.4700000000000002</v>
      </c>
      <c r="AN125" s="8">
        <f t="shared" si="234"/>
        <v>2.4900000000000002</v>
      </c>
      <c r="AO125" s="8">
        <f t="shared" si="234"/>
        <v>2.5800000000000005</v>
      </c>
      <c r="AP125" s="8">
        <f t="shared" si="234"/>
        <v>1.4100000000000001</v>
      </c>
      <c r="AQ125" s="8">
        <f t="shared" si="234"/>
        <v>1.2999999999999998</v>
      </c>
      <c r="AR125" s="8">
        <f t="shared" si="234"/>
        <v>1.44</v>
      </c>
      <c r="AS125" s="8">
        <f t="shared" si="234"/>
        <v>1.49</v>
      </c>
      <c r="AT125" s="8">
        <f t="shared" si="234"/>
        <v>1.5800000000000003</v>
      </c>
      <c r="AU125" s="8">
        <f t="shared" si="234"/>
        <v>1.1599999999999999</v>
      </c>
      <c r="AV125" s="8">
        <f t="shared" si="234"/>
        <v>1.5399999999999998</v>
      </c>
      <c r="AW125" s="8">
        <f t="shared" si="234"/>
        <v>1.53</v>
      </c>
      <c r="AX125" s="8">
        <f t="shared" si="234"/>
        <v>0.99999999999999978</v>
      </c>
      <c r="AY125" s="8">
        <f t="shared" si="234"/>
        <v>1.5899999999999999</v>
      </c>
      <c r="AZ125" s="8">
        <f t="shared" si="234"/>
        <v>1.44</v>
      </c>
      <c r="BA125" s="8">
        <f t="shared" si="234"/>
        <v>1.9699999999999998</v>
      </c>
      <c r="BB125" s="8">
        <f t="shared" si="234"/>
        <v>1.99</v>
      </c>
      <c r="BC125" s="8">
        <f t="shared" si="234"/>
        <v>1.9100000000000004</v>
      </c>
      <c r="BD125" s="8">
        <f t="shared" si="234"/>
        <v>1.9499999999999995</v>
      </c>
      <c r="BE125" s="8">
        <f t="shared" si="234"/>
        <v>1.96</v>
      </c>
      <c r="BF125" s="8">
        <f t="shared" si="234"/>
        <v>2.38</v>
      </c>
      <c r="BG125" s="8">
        <f t="shared" si="234"/>
        <v>2.42</v>
      </c>
      <c r="BH125" s="8">
        <f t="shared" si="234"/>
        <v>2.25</v>
      </c>
      <c r="BI125" s="8">
        <f t="shared" si="234"/>
        <v>2.2200000000000002</v>
      </c>
      <c r="BJ125" s="8">
        <f t="shared" si="234"/>
        <v>2.1799999999999997</v>
      </c>
      <c r="BK125" s="8"/>
      <c r="BL125" s="8"/>
      <c r="BM125" s="8"/>
      <c r="BN125" s="8">
        <f t="shared" si="219"/>
        <v>1.4112499999999999</v>
      </c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</row>
    <row r="126" spans="1:79" s="5" customFormat="1">
      <c r="A126" s="4" t="s">
        <v>273</v>
      </c>
      <c r="B126" s="54">
        <f t="shared" si="215"/>
        <v>0.24000000000000002</v>
      </c>
      <c r="C126" s="8">
        <f t="shared" ref="C126:T126" si="235">(C107/15)*$B14*C$56/$C14</f>
        <v>0.14000000000000001</v>
      </c>
      <c r="D126" s="8">
        <f t="shared" si="235"/>
        <v>0.27</v>
      </c>
      <c r="E126" s="8">
        <f t="shared" si="235"/>
        <v>0.25</v>
      </c>
      <c r="F126" s="8">
        <f t="shared" si="235"/>
        <v>0.34000000000000008</v>
      </c>
      <c r="G126" s="8">
        <f t="shared" si="235"/>
        <v>0.26</v>
      </c>
      <c r="H126" s="8">
        <f t="shared" si="235"/>
        <v>0.21</v>
      </c>
      <c r="I126" s="8">
        <f t="shared" si="235"/>
        <v>0.22999999999999998</v>
      </c>
      <c r="J126" s="8">
        <f t="shared" si="235"/>
        <v>0.16000000000000003</v>
      </c>
      <c r="K126" s="54">
        <f t="shared" si="235"/>
        <v>0.27000000000000007</v>
      </c>
      <c r="L126" s="8">
        <f t="shared" si="235"/>
        <v>0.14000000000000001</v>
      </c>
      <c r="M126" s="8">
        <f t="shared" si="235"/>
        <v>0.22</v>
      </c>
      <c r="N126" s="8">
        <f t="shared" si="235"/>
        <v>0.25</v>
      </c>
      <c r="O126" s="8">
        <f t="shared" si="235"/>
        <v>0.24999999999999997</v>
      </c>
      <c r="P126" s="8">
        <f t="shared" si="235"/>
        <v>0.73</v>
      </c>
      <c r="Q126" s="8">
        <f t="shared" si="235"/>
        <v>0.26000000000000006</v>
      </c>
      <c r="R126" s="8">
        <f t="shared" si="235"/>
        <v>0.9900000000000001</v>
      </c>
      <c r="S126" s="8">
        <f t="shared" si="235"/>
        <v>1.02</v>
      </c>
      <c r="T126" s="8">
        <f t="shared" si="235"/>
        <v>0.94</v>
      </c>
      <c r="U126" s="8">
        <f t="shared" ref="U126:AI126" si="236">(U107/15)*$B14*U$56/$C14</f>
        <v>1.01</v>
      </c>
      <c r="V126" s="8">
        <f t="shared" si="236"/>
        <v>1.07</v>
      </c>
      <c r="W126" s="8">
        <f t="shared" si="236"/>
        <v>0.7</v>
      </c>
      <c r="X126" s="8">
        <f t="shared" si="236"/>
        <v>0.76000000000000012</v>
      </c>
      <c r="Y126" s="8">
        <f t="shared" si="236"/>
        <v>0.67</v>
      </c>
      <c r="Z126" s="8">
        <f t="shared" si="236"/>
        <v>0.69000000000000006</v>
      </c>
      <c r="AA126" s="8">
        <f t="shared" si="236"/>
        <v>0.04</v>
      </c>
      <c r="AB126" s="8">
        <f t="shared" si="236"/>
        <v>0.1</v>
      </c>
      <c r="AC126" s="8">
        <f t="shared" si="236"/>
        <v>0.15</v>
      </c>
      <c r="AD126" s="8">
        <f t="shared" si="236"/>
        <v>0.14000000000000004</v>
      </c>
      <c r="AE126" s="8">
        <f t="shared" si="236"/>
        <v>0.14000000000000001</v>
      </c>
      <c r="AF126" s="8">
        <f t="shared" si="236"/>
        <v>0.12000000000000001</v>
      </c>
      <c r="AG126" s="8">
        <f t="shared" si="236"/>
        <v>0.14000000000000001</v>
      </c>
      <c r="AH126" s="8">
        <f t="shared" si="236"/>
        <v>0.12</v>
      </c>
      <c r="AI126" s="8">
        <f t="shared" si="236"/>
        <v>0.18</v>
      </c>
      <c r="AJ126" s="8">
        <f t="shared" ref="AJ126:BJ126" si="237">(AJ107/15)*$B14*AJ$56/$C14</f>
        <v>0.12000000000000001</v>
      </c>
      <c r="AK126" s="8">
        <f t="shared" si="237"/>
        <v>0.45000000000000007</v>
      </c>
      <c r="AL126" s="8">
        <f t="shared" si="237"/>
        <v>0.32000000000000006</v>
      </c>
      <c r="AM126" s="8">
        <f t="shared" si="237"/>
        <v>0.38</v>
      </c>
      <c r="AN126" s="8">
        <f t="shared" si="237"/>
        <v>0.37</v>
      </c>
      <c r="AO126" s="8">
        <f t="shared" si="237"/>
        <v>0.28000000000000008</v>
      </c>
      <c r="AP126" s="8">
        <f t="shared" si="237"/>
        <v>0.13</v>
      </c>
      <c r="AQ126" s="8">
        <f t="shared" si="237"/>
        <v>0.18</v>
      </c>
      <c r="AR126" s="8">
        <f t="shared" si="237"/>
        <v>0.14999999999999997</v>
      </c>
      <c r="AS126" s="8">
        <f t="shared" si="237"/>
        <v>0.16</v>
      </c>
      <c r="AT126" s="8">
        <f t="shared" si="237"/>
        <v>4.0000000000000008E-2</v>
      </c>
      <c r="AU126" s="8">
        <f t="shared" si="237"/>
        <v>0.16000000000000003</v>
      </c>
      <c r="AV126" s="8">
        <f t="shared" si="237"/>
        <v>0.14000000000000001</v>
      </c>
      <c r="AW126" s="8">
        <f t="shared" si="237"/>
        <v>0.16999999999999998</v>
      </c>
      <c r="AX126" s="8">
        <f t="shared" si="237"/>
        <v>7.0000000000000007E-2</v>
      </c>
      <c r="AY126" s="8">
        <f t="shared" si="237"/>
        <v>8.0000000000000016E-2</v>
      </c>
      <c r="AZ126" s="8">
        <f t="shared" si="237"/>
        <v>0.16999999999999998</v>
      </c>
      <c r="BA126" s="8">
        <f t="shared" si="237"/>
        <v>4.0000000000000008E-2</v>
      </c>
      <c r="BB126" s="8">
        <f t="shared" si="237"/>
        <v>3.0000000000000002E-2</v>
      </c>
      <c r="BC126" s="8">
        <f t="shared" si="237"/>
        <v>4.0000000000000008E-2</v>
      </c>
      <c r="BD126" s="8">
        <f t="shared" si="237"/>
        <v>7.0000000000000007E-2</v>
      </c>
      <c r="BE126" s="8">
        <f t="shared" si="237"/>
        <v>8.9999999999999983E-2</v>
      </c>
      <c r="BF126" s="8">
        <f t="shared" si="237"/>
        <v>8.9999999999999983E-2</v>
      </c>
      <c r="BG126" s="8">
        <f t="shared" si="237"/>
        <v>0.14000000000000001</v>
      </c>
      <c r="BH126" s="8">
        <f t="shared" si="237"/>
        <v>8.0000000000000016E-2</v>
      </c>
      <c r="BI126" s="8">
        <f t="shared" si="237"/>
        <v>5.000000000000001E-2</v>
      </c>
      <c r="BJ126" s="8">
        <f t="shared" si="237"/>
        <v>0.12</v>
      </c>
      <c r="BK126" s="8"/>
      <c r="BL126" s="8"/>
      <c r="BM126" s="8"/>
      <c r="BN126" s="8">
        <f t="shared" si="219"/>
        <v>0.24249999999999999</v>
      </c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</row>
    <row r="127" spans="1:79" s="5" customFormat="1">
      <c r="A127" s="4" t="s">
        <v>85</v>
      </c>
      <c r="B127" s="54">
        <f t="shared" ref="B127:T127" si="238">(B108/15)*$B16*B$56/$C16</f>
        <v>1.9992585135028504</v>
      </c>
      <c r="C127" s="8">
        <f t="shared" si="238"/>
        <v>2.0287342417161516</v>
      </c>
      <c r="D127" s="8">
        <f t="shared" si="238"/>
        <v>2.0305284603388296</v>
      </c>
      <c r="E127" s="8">
        <f t="shared" si="238"/>
        <v>1.9978214014132252</v>
      </c>
      <c r="F127" s="8">
        <f t="shared" si="238"/>
        <v>2.0230892141543326</v>
      </c>
      <c r="G127" s="8">
        <f t="shared" si="238"/>
        <v>2.0224013696566718</v>
      </c>
      <c r="H127" s="8">
        <f t="shared" si="238"/>
        <v>2.0250182508630226</v>
      </c>
      <c r="I127" s="8">
        <f t="shared" si="238"/>
        <v>2.0374971516087346</v>
      </c>
      <c r="J127" s="8">
        <f t="shared" si="238"/>
        <v>2.0310445418939391</v>
      </c>
      <c r="K127" s="54">
        <f t="shared" si="238"/>
        <v>1.9199085170534631</v>
      </c>
      <c r="L127" s="8">
        <f t="shared" si="238"/>
        <v>2.0414683387551302</v>
      </c>
      <c r="M127" s="8">
        <f t="shared" si="238"/>
        <v>2.0205318696913142</v>
      </c>
      <c r="N127" s="8">
        <f t="shared" si="238"/>
        <v>2.0156683114773468</v>
      </c>
      <c r="O127" s="8">
        <f t="shared" si="238"/>
        <v>2.0324377473583346</v>
      </c>
      <c r="P127" s="8">
        <f t="shared" si="238"/>
        <v>1.9954595298214997</v>
      </c>
      <c r="Q127" s="8">
        <f t="shared" si="238"/>
        <v>2.0676856715858034</v>
      </c>
      <c r="R127" s="8">
        <f t="shared" si="238"/>
        <v>1.9964419767470993</v>
      </c>
      <c r="S127" s="8">
        <f t="shared" si="238"/>
        <v>1.9991928524577187</v>
      </c>
      <c r="T127" s="8">
        <f t="shared" si="238"/>
        <v>2.0005262308050709</v>
      </c>
      <c r="U127" s="8">
        <f t="shared" ref="U127:AI127" si="239">(U108/15)*$B16*U$56/$C16</f>
        <v>1.9813099280971285</v>
      </c>
      <c r="V127" s="8">
        <f t="shared" si="239"/>
        <v>1.9898925497130759</v>
      </c>
      <c r="W127" s="8">
        <f t="shared" si="239"/>
        <v>1.9871388546502149</v>
      </c>
      <c r="X127" s="8">
        <f t="shared" si="239"/>
        <v>1.9996086035360769</v>
      </c>
      <c r="Y127" s="8">
        <f t="shared" si="239"/>
        <v>1.9886718480281671</v>
      </c>
      <c r="Z127" s="8">
        <f t="shared" si="239"/>
        <v>2.0109314380070766</v>
      </c>
      <c r="AA127" s="8">
        <f t="shared" si="239"/>
        <v>2.0368823125396283</v>
      </c>
      <c r="AB127" s="8">
        <f t="shared" si="239"/>
        <v>2.0379863758370673</v>
      </c>
      <c r="AC127" s="8">
        <f t="shared" si="239"/>
        <v>2.0255579752798285</v>
      </c>
      <c r="AD127" s="8">
        <f t="shared" si="239"/>
        <v>2.0160206451135871</v>
      </c>
      <c r="AE127" s="8">
        <f t="shared" si="239"/>
        <v>2.0129612160188142</v>
      </c>
      <c r="AF127" s="8">
        <f t="shared" si="239"/>
        <v>2.0119375852654775</v>
      </c>
      <c r="AG127" s="8">
        <f t="shared" si="239"/>
        <v>2.0140791033482075</v>
      </c>
      <c r="AH127" s="8">
        <f t="shared" si="239"/>
        <v>2.0384949644168566</v>
      </c>
      <c r="AI127" s="8">
        <f t="shared" si="239"/>
        <v>1.9982993075840916</v>
      </c>
      <c r="AJ127" s="8">
        <f t="shared" ref="AJ127:BJ127" si="240">(AJ108/15)*$B16*AJ$56/$C16</f>
        <v>2.0143090684982066</v>
      </c>
      <c r="AK127" s="8">
        <f t="shared" si="240"/>
        <v>2.0028168709280889</v>
      </c>
      <c r="AL127" s="8">
        <f t="shared" si="240"/>
        <v>1.9930532912446386</v>
      </c>
      <c r="AM127" s="8">
        <f t="shared" si="240"/>
        <v>2.0138430963713834</v>
      </c>
      <c r="AN127" s="8">
        <f t="shared" si="240"/>
        <v>1.9982034281611061</v>
      </c>
      <c r="AO127" s="8">
        <f t="shared" si="240"/>
        <v>2.0020814307268155</v>
      </c>
      <c r="AP127" s="8">
        <f t="shared" si="240"/>
        <v>1.9929663027718221</v>
      </c>
      <c r="AQ127" s="8">
        <f t="shared" si="240"/>
        <v>1.9954523638844675</v>
      </c>
      <c r="AR127" s="8">
        <f t="shared" si="240"/>
        <v>1.9920652135738568</v>
      </c>
      <c r="AS127" s="8">
        <f t="shared" si="240"/>
        <v>1.9938834088538782</v>
      </c>
      <c r="AT127" s="8">
        <f t="shared" si="240"/>
        <v>1.9746305839708038</v>
      </c>
      <c r="AU127" s="8">
        <f t="shared" si="240"/>
        <v>1.9960993331936769</v>
      </c>
      <c r="AV127" s="8">
        <f t="shared" si="240"/>
        <v>1.9846444586563874</v>
      </c>
      <c r="AW127" s="8">
        <f t="shared" si="240"/>
        <v>1.9706636905790742</v>
      </c>
      <c r="AX127" s="8">
        <f t="shared" si="240"/>
        <v>1.9613916752263123</v>
      </c>
      <c r="AY127" s="8">
        <f t="shared" si="240"/>
        <v>1.9750023693419492</v>
      </c>
      <c r="AZ127" s="8">
        <f t="shared" si="240"/>
        <v>1.9944275645012368</v>
      </c>
      <c r="BA127" s="8">
        <f t="shared" si="240"/>
        <v>2.0048860108446958</v>
      </c>
      <c r="BB127" s="8">
        <f t="shared" si="240"/>
        <v>2.0011678357461018</v>
      </c>
      <c r="BC127" s="8">
        <f t="shared" si="240"/>
        <v>1.9765443497648278</v>
      </c>
      <c r="BD127" s="8">
        <f t="shared" si="240"/>
        <v>1.998843085496351</v>
      </c>
      <c r="BE127" s="8">
        <f t="shared" si="240"/>
        <v>2.013236752787201</v>
      </c>
      <c r="BF127" s="8">
        <f t="shared" si="240"/>
        <v>1.9669886119830577</v>
      </c>
      <c r="BG127" s="8">
        <f t="shared" si="240"/>
        <v>1.9585231227897946</v>
      </c>
      <c r="BH127" s="8">
        <f t="shared" si="240"/>
        <v>1.9757523040539229</v>
      </c>
      <c r="BI127" s="8">
        <f t="shared" si="240"/>
        <v>1.9575194712051023</v>
      </c>
      <c r="BJ127" s="8">
        <f t="shared" si="240"/>
        <v>1.9662174247291115</v>
      </c>
      <c r="BK127" s="8"/>
      <c r="BL127" s="8"/>
      <c r="BM127" s="8"/>
      <c r="BN127" s="8">
        <f>(BN108/15)*$B16*BN$56/$C16</f>
        <v>2.0205435754067267</v>
      </c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</row>
    <row r="128" spans="1:79" s="5" customFormat="1">
      <c r="A128" s="4" t="s">
        <v>86</v>
      </c>
      <c r="B128" s="54">
        <f t="shared" ref="B128:T128" si="241">(B109/15)*$B17*B$56/$C17</f>
        <v>0</v>
      </c>
      <c r="C128" s="8">
        <f t="shared" si="241"/>
        <v>0</v>
      </c>
      <c r="D128" s="8">
        <f t="shared" si="241"/>
        <v>0</v>
      </c>
      <c r="E128" s="8">
        <f t="shared" si="241"/>
        <v>0</v>
      </c>
      <c r="F128" s="8">
        <f t="shared" si="241"/>
        <v>0</v>
      </c>
      <c r="G128" s="8">
        <f t="shared" si="241"/>
        <v>0</v>
      </c>
      <c r="H128" s="8">
        <f t="shared" si="241"/>
        <v>0</v>
      </c>
      <c r="I128" s="8">
        <f t="shared" si="241"/>
        <v>0</v>
      </c>
      <c r="J128" s="8">
        <f t="shared" si="241"/>
        <v>0</v>
      </c>
      <c r="K128" s="54">
        <f t="shared" si="241"/>
        <v>0</v>
      </c>
      <c r="L128" s="8">
        <f t="shared" si="241"/>
        <v>0</v>
      </c>
      <c r="M128" s="8">
        <f t="shared" si="241"/>
        <v>0</v>
      </c>
      <c r="N128" s="8">
        <f t="shared" si="241"/>
        <v>0</v>
      </c>
      <c r="O128" s="8">
        <f t="shared" si="241"/>
        <v>0</v>
      </c>
      <c r="P128" s="8">
        <f t="shared" si="241"/>
        <v>0</v>
      </c>
      <c r="Q128" s="8">
        <f t="shared" si="241"/>
        <v>0</v>
      </c>
      <c r="R128" s="8">
        <f t="shared" si="241"/>
        <v>0</v>
      </c>
      <c r="S128" s="8">
        <f t="shared" si="241"/>
        <v>0</v>
      </c>
      <c r="T128" s="8">
        <f t="shared" si="241"/>
        <v>0</v>
      </c>
      <c r="U128" s="8">
        <f t="shared" ref="U128:AI128" si="242">(U109/15)*$B17*U$56/$C17</f>
        <v>0</v>
      </c>
      <c r="V128" s="8">
        <f t="shared" si="242"/>
        <v>0</v>
      </c>
      <c r="W128" s="8">
        <f t="shared" si="242"/>
        <v>0</v>
      </c>
      <c r="X128" s="8">
        <f t="shared" si="242"/>
        <v>0</v>
      </c>
      <c r="Y128" s="8">
        <f t="shared" si="242"/>
        <v>0</v>
      </c>
      <c r="Z128" s="8">
        <f t="shared" si="242"/>
        <v>0</v>
      </c>
      <c r="AA128" s="8">
        <f t="shared" si="242"/>
        <v>0</v>
      </c>
      <c r="AB128" s="8">
        <f t="shared" si="242"/>
        <v>0</v>
      </c>
      <c r="AC128" s="8">
        <f t="shared" si="242"/>
        <v>0</v>
      </c>
      <c r="AD128" s="8">
        <f t="shared" si="242"/>
        <v>0</v>
      </c>
      <c r="AE128" s="8">
        <f t="shared" si="242"/>
        <v>0</v>
      </c>
      <c r="AF128" s="8">
        <f t="shared" si="242"/>
        <v>0</v>
      </c>
      <c r="AG128" s="8">
        <f t="shared" si="242"/>
        <v>0</v>
      </c>
      <c r="AH128" s="8">
        <f t="shared" si="242"/>
        <v>0</v>
      </c>
      <c r="AI128" s="8">
        <f t="shared" si="242"/>
        <v>0</v>
      </c>
      <c r="AJ128" s="8">
        <f t="shared" ref="AJ128:BJ128" si="243">(AJ109/15)*$B17*AJ$56/$C17</f>
        <v>0</v>
      </c>
      <c r="AK128" s="8">
        <f t="shared" si="243"/>
        <v>0</v>
      </c>
      <c r="AL128" s="8">
        <f t="shared" si="243"/>
        <v>0</v>
      </c>
      <c r="AM128" s="8">
        <f t="shared" si="243"/>
        <v>0</v>
      </c>
      <c r="AN128" s="8">
        <f t="shared" si="243"/>
        <v>0</v>
      </c>
      <c r="AO128" s="8">
        <f t="shared" si="243"/>
        <v>0</v>
      </c>
      <c r="AP128" s="8">
        <f t="shared" si="243"/>
        <v>0</v>
      </c>
      <c r="AQ128" s="8">
        <f t="shared" si="243"/>
        <v>0</v>
      </c>
      <c r="AR128" s="8">
        <f t="shared" si="243"/>
        <v>0</v>
      </c>
      <c r="AS128" s="8">
        <f t="shared" si="243"/>
        <v>0</v>
      </c>
      <c r="AT128" s="8">
        <f t="shared" si="243"/>
        <v>0</v>
      </c>
      <c r="AU128" s="8">
        <f t="shared" si="243"/>
        <v>0</v>
      </c>
      <c r="AV128" s="8">
        <f t="shared" si="243"/>
        <v>0</v>
      </c>
      <c r="AW128" s="8">
        <f t="shared" si="243"/>
        <v>0</v>
      </c>
      <c r="AX128" s="8">
        <f t="shared" si="243"/>
        <v>0</v>
      </c>
      <c r="AY128" s="8">
        <f t="shared" si="243"/>
        <v>0</v>
      </c>
      <c r="AZ128" s="8">
        <f t="shared" si="243"/>
        <v>0</v>
      </c>
      <c r="BA128" s="8">
        <f t="shared" si="243"/>
        <v>0</v>
      </c>
      <c r="BB128" s="8">
        <f t="shared" si="243"/>
        <v>0</v>
      </c>
      <c r="BC128" s="8">
        <f t="shared" si="243"/>
        <v>0</v>
      </c>
      <c r="BD128" s="8">
        <f t="shared" si="243"/>
        <v>0</v>
      </c>
      <c r="BE128" s="8">
        <f t="shared" si="243"/>
        <v>0</v>
      </c>
      <c r="BF128" s="8">
        <f t="shared" si="243"/>
        <v>0</v>
      </c>
      <c r="BG128" s="8">
        <f t="shared" si="243"/>
        <v>0</v>
      </c>
      <c r="BH128" s="8">
        <f t="shared" si="243"/>
        <v>0</v>
      </c>
      <c r="BI128" s="8">
        <f t="shared" si="243"/>
        <v>0</v>
      </c>
      <c r="BJ128" s="8">
        <f t="shared" si="243"/>
        <v>0</v>
      </c>
      <c r="BK128" s="8"/>
      <c r="BL128" s="8"/>
      <c r="BM128" s="8"/>
      <c r="BN128" s="8">
        <f>(BN109/15)*$B17*BN$56/$C17</f>
        <v>0</v>
      </c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</row>
    <row r="129" spans="1:79" s="5" customFormat="1">
      <c r="A129" s="4" t="s">
        <v>87</v>
      </c>
      <c r="B129" s="54">
        <f t="shared" ref="B129:T129" si="244">(B110/15)*$B18*B$56/$C18</f>
        <v>0</v>
      </c>
      <c r="C129" s="8">
        <f t="shared" si="244"/>
        <v>0</v>
      </c>
      <c r="D129" s="8">
        <f t="shared" si="244"/>
        <v>0</v>
      </c>
      <c r="E129" s="8">
        <f t="shared" si="244"/>
        <v>0</v>
      </c>
      <c r="F129" s="8">
        <f t="shared" si="244"/>
        <v>0</v>
      </c>
      <c r="G129" s="8">
        <f t="shared" si="244"/>
        <v>0</v>
      </c>
      <c r="H129" s="8">
        <f t="shared" si="244"/>
        <v>0</v>
      </c>
      <c r="I129" s="8">
        <f t="shared" si="244"/>
        <v>0</v>
      </c>
      <c r="J129" s="8">
        <f t="shared" si="244"/>
        <v>0</v>
      </c>
      <c r="K129" s="54">
        <f t="shared" si="244"/>
        <v>0</v>
      </c>
      <c r="L129" s="8">
        <f t="shared" si="244"/>
        <v>0</v>
      </c>
      <c r="M129" s="8">
        <f t="shared" si="244"/>
        <v>0</v>
      </c>
      <c r="N129" s="8">
        <f t="shared" si="244"/>
        <v>0</v>
      </c>
      <c r="O129" s="8">
        <f t="shared" si="244"/>
        <v>0</v>
      </c>
      <c r="P129" s="8">
        <f t="shared" si="244"/>
        <v>0</v>
      </c>
      <c r="Q129" s="8">
        <f t="shared" si="244"/>
        <v>0</v>
      </c>
      <c r="R129" s="8">
        <f t="shared" si="244"/>
        <v>0</v>
      </c>
      <c r="S129" s="8">
        <f t="shared" si="244"/>
        <v>0</v>
      </c>
      <c r="T129" s="8">
        <f t="shared" si="244"/>
        <v>0</v>
      </c>
      <c r="U129" s="8">
        <f t="shared" ref="U129:AI129" si="245">(U110/15)*$B18*U$56/$C18</f>
        <v>0</v>
      </c>
      <c r="V129" s="8">
        <f t="shared" si="245"/>
        <v>0</v>
      </c>
      <c r="W129" s="8">
        <f t="shared" si="245"/>
        <v>0</v>
      </c>
      <c r="X129" s="8">
        <f t="shared" si="245"/>
        <v>0</v>
      </c>
      <c r="Y129" s="8">
        <f t="shared" si="245"/>
        <v>0</v>
      </c>
      <c r="Z129" s="8">
        <f t="shared" si="245"/>
        <v>0</v>
      </c>
      <c r="AA129" s="8">
        <f t="shared" si="245"/>
        <v>0</v>
      </c>
      <c r="AB129" s="8">
        <f t="shared" si="245"/>
        <v>0</v>
      </c>
      <c r="AC129" s="8">
        <f t="shared" si="245"/>
        <v>0</v>
      </c>
      <c r="AD129" s="8">
        <f t="shared" si="245"/>
        <v>0</v>
      </c>
      <c r="AE129" s="8">
        <f t="shared" si="245"/>
        <v>0</v>
      </c>
      <c r="AF129" s="8">
        <f t="shared" si="245"/>
        <v>0</v>
      </c>
      <c r="AG129" s="8">
        <f t="shared" si="245"/>
        <v>0</v>
      </c>
      <c r="AH129" s="8">
        <f t="shared" si="245"/>
        <v>0</v>
      </c>
      <c r="AI129" s="8">
        <f t="shared" si="245"/>
        <v>0</v>
      </c>
      <c r="AJ129" s="8">
        <f t="shared" ref="AJ129:BJ129" si="246">(AJ110/15)*$B18*AJ$56/$C18</f>
        <v>0</v>
      </c>
      <c r="AK129" s="8">
        <f t="shared" si="246"/>
        <v>0</v>
      </c>
      <c r="AL129" s="8">
        <f t="shared" si="246"/>
        <v>0</v>
      </c>
      <c r="AM129" s="8">
        <f t="shared" si="246"/>
        <v>0</v>
      </c>
      <c r="AN129" s="8">
        <f t="shared" si="246"/>
        <v>0</v>
      </c>
      <c r="AO129" s="8">
        <f t="shared" si="246"/>
        <v>0</v>
      </c>
      <c r="AP129" s="8">
        <f t="shared" si="246"/>
        <v>0</v>
      </c>
      <c r="AQ129" s="8">
        <f t="shared" si="246"/>
        <v>0</v>
      </c>
      <c r="AR129" s="8">
        <f t="shared" si="246"/>
        <v>0</v>
      </c>
      <c r="AS129" s="8">
        <f t="shared" si="246"/>
        <v>0</v>
      </c>
      <c r="AT129" s="8">
        <f t="shared" si="246"/>
        <v>0</v>
      </c>
      <c r="AU129" s="8">
        <f t="shared" si="246"/>
        <v>0</v>
      </c>
      <c r="AV129" s="8">
        <f t="shared" si="246"/>
        <v>0</v>
      </c>
      <c r="AW129" s="8">
        <f t="shared" si="246"/>
        <v>0</v>
      </c>
      <c r="AX129" s="8">
        <f t="shared" si="246"/>
        <v>0</v>
      </c>
      <c r="AY129" s="8">
        <f t="shared" si="246"/>
        <v>0</v>
      </c>
      <c r="AZ129" s="8">
        <f t="shared" si="246"/>
        <v>0</v>
      </c>
      <c r="BA129" s="8">
        <f t="shared" si="246"/>
        <v>0</v>
      </c>
      <c r="BB129" s="8">
        <f t="shared" si="246"/>
        <v>0</v>
      </c>
      <c r="BC129" s="8">
        <f t="shared" si="246"/>
        <v>0</v>
      </c>
      <c r="BD129" s="8">
        <f t="shared" si="246"/>
        <v>0</v>
      </c>
      <c r="BE129" s="8">
        <f t="shared" si="246"/>
        <v>0</v>
      </c>
      <c r="BF129" s="8">
        <f t="shared" si="246"/>
        <v>0</v>
      </c>
      <c r="BG129" s="8">
        <f t="shared" si="246"/>
        <v>0</v>
      </c>
      <c r="BH129" s="8">
        <f t="shared" si="246"/>
        <v>0</v>
      </c>
      <c r="BI129" s="8">
        <f t="shared" si="246"/>
        <v>0</v>
      </c>
      <c r="BJ129" s="8">
        <f t="shared" si="246"/>
        <v>0</v>
      </c>
      <c r="BK129" s="8"/>
      <c r="BL129" s="8"/>
      <c r="BM129" s="8"/>
      <c r="BN129" s="8">
        <f>(BN110/15)*$B18*BN$56/$C18</f>
        <v>0</v>
      </c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</row>
    <row r="130" spans="1:79" s="5" customFormat="1">
      <c r="A130" s="4" t="s">
        <v>115</v>
      </c>
      <c r="B130" s="54">
        <f t="shared" ref="B130:T130" si="247">SUM(B115:B129)</f>
        <v>97.519258513502834</v>
      </c>
      <c r="C130" s="8">
        <f t="shared" si="247"/>
        <v>98.511342213709412</v>
      </c>
      <c r="D130" s="8">
        <f t="shared" si="247"/>
        <v>99.336943769018518</v>
      </c>
      <c r="E130" s="8">
        <f t="shared" si="247"/>
        <v>97.710953977368362</v>
      </c>
      <c r="F130" s="8">
        <f t="shared" si="247"/>
        <v>98.750792400861812</v>
      </c>
      <c r="G130" s="8">
        <f t="shared" si="247"/>
        <v>99.021402435726515</v>
      </c>
      <c r="H130" s="8">
        <f t="shared" si="247"/>
        <v>98.561368501955243</v>
      </c>
      <c r="I130" s="8">
        <f t="shared" si="247"/>
        <v>99.376055579332615</v>
      </c>
      <c r="J130" s="8">
        <f t="shared" si="247"/>
        <v>98.761044541893938</v>
      </c>
      <c r="K130" s="54">
        <f t="shared" si="247"/>
        <v>94.319908517053463</v>
      </c>
      <c r="L130" s="8">
        <f t="shared" si="247"/>
        <v>99.325678633466552</v>
      </c>
      <c r="M130" s="8">
        <f t="shared" si="247"/>
        <v>98.539682995365041</v>
      </c>
      <c r="N130" s="8">
        <f t="shared" si="247"/>
        <v>98.675668311477338</v>
      </c>
      <c r="O130" s="8">
        <f t="shared" si="247"/>
        <v>99.378462084893087</v>
      </c>
      <c r="P130" s="8">
        <f t="shared" si="247"/>
        <v>97.915627325535269</v>
      </c>
      <c r="Q130" s="8">
        <f t="shared" si="247"/>
        <v>98.47454222904237</v>
      </c>
      <c r="R130" s="8">
        <f t="shared" si="247"/>
        <v>98.781423379312145</v>
      </c>
      <c r="S130" s="8">
        <f t="shared" si="247"/>
        <v>98.845782530165906</v>
      </c>
      <c r="T130" s="8">
        <f t="shared" si="247"/>
        <v>99.023101035055873</v>
      </c>
      <c r="U130" s="8">
        <f t="shared" ref="U130:AI130" si="248">SUM(U115:U129)</f>
        <v>98.274335985190504</v>
      </c>
      <c r="V130" s="8">
        <f t="shared" si="248"/>
        <v>98.690303652731657</v>
      </c>
      <c r="W130" s="8">
        <f t="shared" si="248"/>
        <v>97.698199325872125</v>
      </c>
      <c r="X130" s="8">
        <f t="shared" si="248"/>
        <v>98.259981920160058</v>
      </c>
      <c r="Y130" s="8">
        <f t="shared" si="248"/>
        <v>98.691924194795604</v>
      </c>
      <c r="Z130" s="8">
        <f t="shared" si="248"/>
        <v>98.709963357527258</v>
      </c>
      <c r="AA130" s="8">
        <f t="shared" si="248"/>
        <v>98.51688231253965</v>
      </c>
      <c r="AB130" s="8">
        <f t="shared" si="248"/>
        <v>99.79798637583707</v>
      </c>
      <c r="AC130" s="8">
        <f t="shared" si="248"/>
        <v>99.465557975279822</v>
      </c>
      <c r="AD130" s="8">
        <f t="shared" si="248"/>
        <v>99.266020645113599</v>
      </c>
      <c r="AE130" s="8">
        <f t="shared" si="248"/>
        <v>99.352961216018812</v>
      </c>
      <c r="AF130" s="8">
        <f t="shared" si="248"/>
        <v>99.261937585265485</v>
      </c>
      <c r="AG130" s="8">
        <f t="shared" si="248"/>
        <v>99.484079103348208</v>
      </c>
      <c r="AH130" s="8">
        <f t="shared" si="248"/>
        <v>100.29849496441686</v>
      </c>
      <c r="AI130" s="8">
        <f t="shared" si="248"/>
        <v>98.638299307584077</v>
      </c>
      <c r="AJ130" s="8">
        <f t="shared" ref="AJ130:BJ130" si="249">SUM(AJ115:AJ129)</f>
        <v>99.114309068498201</v>
      </c>
      <c r="AK130" s="8">
        <f t="shared" si="249"/>
        <v>98.942816870928084</v>
      </c>
      <c r="AL130" s="8">
        <f t="shared" si="249"/>
        <v>98.513053291244631</v>
      </c>
      <c r="AM130" s="8">
        <f t="shared" si="249"/>
        <v>99.273843096371408</v>
      </c>
      <c r="AN130" s="8">
        <f t="shared" si="249"/>
        <v>98.598203428161085</v>
      </c>
      <c r="AO130" s="8">
        <f t="shared" si="249"/>
        <v>98.722081430726817</v>
      </c>
      <c r="AP130" s="8">
        <f t="shared" si="249"/>
        <v>99.22353273364412</v>
      </c>
      <c r="AQ130" s="8">
        <f t="shared" si="249"/>
        <v>99.081766643584956</v>
      </c>
      <c r="AR130" s="8">
        <f t="shared" si="249"/>
        <v>99.127418602577592</v>
      </c>
      <c r="AS130" s="8">
        <f t="shared" si="249"/>
        <v>99.491648416544109</v>
      </c>
      <c r="AT130" s="8">
        <f t="shared" si="249"/>
        <v>98.439878500865802</v>
      </c>
      <c r="AU130" s="8">
        <f t="shared" si="249"/>
        <v>98.765365883984572</v>
      </c>
      <c r="AV130" s="8">
        <f t="shared" si="249"/>
        <v>99.073015335847259</v>
      </c>
      <c r="AW130" s="8">
        <f t="shared" si="249"/>
        <v>98.357840093846562</v>
      </c>
      <c r="AX130" s="8">
        <f t="shared" si="249"/>
        <v>97.251265274727317</v>
      </c>
      <c r="AY130" s="8">
        <f t="shared" si="249"/>
        <v>98.574572223211447</v>
      </c>
      <c r="AZ130" s="8">
        <f t="shared" si="249"/>
        <v>99.236200323814941</v>
      </c>
      <c r="BA130" s="8">
        <f t="shared" si="249"/>
        <v>98.771980227943288</v>
      </c>
      <c r="BB130" s="8">
        <f t="shared" si="249"/>
        <v>98.617592426176913</v>
      </c>
      <c r="BC130" s="8">
        <f t="shared" si="249"/>
        <v>97.473481302620172</v>
      </c>
      <c r="BD130" s="8">
        <f t="shared" si="249"/>
        <v>98.544091241674238</v>
      </c>
      <c r="BE130" s="8">
        <f t="shared" si="249"/>
        <v>99.298629951220761</v>
      </c>
      <c r="BF130" s="8">
        <f t="shared" si="249"/>
        <v>98.436988611983054</v>
      </c>
      <c r="BG130" s="8">
        <f t="shared" si="249"/>
        <v>98.198523122789794</v>
      </c>
      <c r="BH130" s="8">
        <f t="shared" si="249"/>
        <v>98.555752304053925</v>
      </c>
      <c r="BI130" s="8">
        <f t="shared" si="249"/>
        <v>97.947519471205098</v>
      </c>
      <c r="BJ130" s="8">
        <f t="shared" si="249"/>
        <v>98.125393644631515</v>
      </c>
      <c r="BK130" s="8"/>
      <c r="BL130" s="8"/>
      <c r="BM130" s="8"/>
      <c r="BN130" s="8">
        <f>SUM(BN115:BN129)</f>
        <v>98.580302056600345</v>
      </c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</row>
    <row r="131" spans="1:79" s="5" customFormat="1">
      <c r="A131" s="4" t="s">
        <v>90</v>
      </c>
      <c r="B131" s="54">
        <f t="shared" ref="B131:T131" si="250">B128*0.4211+B129*0.2256</f>
        <v>0</v>
      </c>
      <c r="C131" s="8">
        <f t="shared" si="250"/>
        <v>0</v>
      </c>
      <c r="D131" s="8">
        <f t="shared" si="250"/>
        <v>0</v>
      </c>
      <c r="E131" s="8">
        <f t="shared" si="250"/>
        <v>0</v>
      </c>
      <c r="F131" s="8">
        <f t="shared" si="250"/>
        <v>0</v>
      </c>
      <c r="G131" s="8">
        <f t="shared" si="250"/>
        <v>0</v>
      </c>
      <c r="H131" s="8">
        <f t="shared" si="250"/>
        <v>0</v>
      </c>
      <c r="I131" s="8">
        <f t="shared" si="250"/>
        <v>0</v>
      </c>
      <c r="J131" s="8">
        <f t="shared" si="250"/>
        <v>0</v>
      </c>
      <c r="K131" s="54">
        <f t="shared" si="250"/>
        <v>0</v>
      </c>
      <c r="L131" s="8">
        <f t="shared" si="250"/>
        <v>0</v>
      </c>
      <c r="M131" s="8">
        <f t="shared" si="250"/>
        <v>0</v>
      </c>
      <c r="N131" s="8">
        <f t="shared" si="250"/>
        <v>0</v>
      </c>
      <c r="O131" s="8">
        <f t="shared" si="250"/>
        <v>0</v>
      </c>
      <c r="P131" s="8">
        <f t="shared" si="250"/>
        <v>0</v>
      </c>
      <c r="Q131" s="8">
        <f t="shared" si="250"/>
        <v>0</v>
      </c>
      <c r="R131" s="8">
        <f t="shared" si="250"/>
        <v>0</v>
      </c>
      <c r="S131" s="8">
        <f t="shared" si="250"/>
        <v>0</v>
      </c>
      <c r="T131" s="8">
        <f t="shared" si="250"/>
        <v>0</v>
      </c>
      <c r="U131" s="8">
        <f t="shared" ref="U131:AI131" si="251">U128*0.4211+U129*0.2256</f>
        <v>0</v>
      </c>
      <c r="V131" s="8">
        <f t="shared" si="251"/>
        <v>0</v>
      </c>
      <c r="W131" s="8">
        <f t="shared" si="251"/>
        <v>0</v>
      </c>
      <c r="X131" s="8">
        <f t="shared" si="251"/>
        <v>0</v>
      </c>
      <c r="Y131" s="8">
        <f t="shared" si="251"/>
        <v>0</v>
      </c>
      <c r="Z131" s="8">
        <f t="shared" si="251"/>
        <v>0</v>
      </c>
      <c r="AA131" s="8">
        <f t="shared" si="251"/>
        <v>0</v>
      </c>
      <c r="AB131" s="8">
        <f t="shared" si="251"/>
        <v>0</v>
      </c>
      <c r="AC131" s="8">
        <f t="shared" si="251"/>
        <v>0</v>
      </c>
      <c r="AD131" s="8">
        <f t="shared" si="251"/>
        <v>0</v>
      </c>
      <c r="AE131" s="8">
        <f t="shared" si="251"/>
        <v>0</v>
      </c>
      <c r="AF131" s="8">
        <f t="shared" si="251"/>
        <v>0</v>
      </c>
      <c r="AG131" s="8">
        <f t="shared" si="251"/>
        <v>0</v>
      </c>
      <c r="AH131" s="8">
        <f t="shared" si="251"/>
        <v>0</v>
      </c>
      <c r="AI131" s="8">
        <f t="shared" si="251"/>
        <v>0</v>
      </c>
      <c r="AJ131" s="8">
        <f t="shared" ref="AJ131:BJ131" si="252">AJ128*0.4211+AJ129*0.2256</f>
        <v>0</v>
      </c>
      <c r="AK131" s="8">
        <f t="shared" si="252"/>
        <v>0</v>
      </c>
      <c r="AL131" s="8">
        <f t="shared" si="252"/>
        <v>0</v>
      </c>
      <c r="AM131" s="8">
        <f t="shared" si="252"/>
        <v>0</v>
      </c>
      <c r="AN131" s="8">
        <f t="shared" si="252"/>
        <v>0</v>
      </c>
      <c r="AO131" s="8">
        <f t="shared" si="252"/>
        <v>0</v>
      </c>
      <c r="AP131" s="8">
        <f t="shared" si="252"/>
        <v>0</v>
      </c>
      <c r="AQ131" s="8">
        <f t="shared" si="252"/>
        <v>0</v>
      </c>
      <c r="AR131" s="8">
        <f t="shared" si="252"/>
        <v>0</v>
      </c>
      <c r="AS131" s="8">
        <f t="shared" si="252"/>
        <v>0</v>
      </c>
      <c r="AT131" s="8">
        <f t="shared" si="252"/>
        <v>0</v>
      </c>
      <c r="AU131" s="8">
        <f t="shared" si="252"/>
        <v>0</v>
      </c>
      <c r="AV131" s="8">
        <f t="shared" si="252"/>
        <v>0</v>
      </c>
      <c r="AW131" s="8">
        <f t="shared" si="252"/>
        <v>0</v>
      </c>
      <c r="AX131" s="8">
        <f t="shared" si="252"/>
        <v>0</v>
      </c>
      <c r="AY131" s="8">
        <f t="shared" si="252"/>
        <v>0</v>
      </c>
      <c r="AZ131" s="8">
        <f t="shared" si="252"/>
        <v>0</v>
      </c>
      <c r="BA131" s="8">
        <f t="shared" si="252"/>
        <v>0</v>
      </c>
      <c r="BB131" s="8">
        <f t="shared" si="252"/>
        <v>0</v>
      </c>
      <c r="BC131" s="8">
        <f t="shared" si="252"/>
        <v>0</v>
      </c>
      <c r="BD131" s="8">
        <f t="shared" si="252"/>
        <v>0</v>
      </c>
      <c r="BE131" s="8">
        <f t="shared" si="252"/>
        <v>0</v>
      </c>
      <c r="BF131" s="8">
        <f t="shared" si="252"/>
        <v>0</v>
      </c>
      <c r="BG131" s="8">
        <f t="shared" si="252"/>
        <v>0</v>
      </c>
      <c r="BH131" s="8">
        <f t="shared" si="252"/>
        <v>0</v>
      </c>
      <c r="BI131" s="8">
        <f t="shared" si="252"/>
        <v>0</v>
      </c>
      <c r="BJ131" s="8">
        <f t="shared" si="252"/>
        <v>0</v>
      </c>
      <c r="BK131" s="8"/>
      <c r="BL131" s="8"/>
      <c r="BM131" s="8"/>
      <c r="BN131" s="8">
        <f>BN128*0.4211+BN129*0.2256</f>
        <v>0</v>
      </c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</row>
    <row r="132" spans="1:79" s="5" customFormat="1">
      <c r="A132" s="4" t="s">
        <v>115</v>
      </c>
      <c r="B132" s="54">
        <f t="shared" ref="B132:T132" si="253">B130-B131</f>
        <v>97.519258513502834</v>
      </c>
      <c r="C132" s="8">
        <f t="shared" si="253"/>
        <v>98.511342213709412</v>
      </c>
      <c r="D132" s="8">
        <f t="shared" si="253"/>
        <v>99.336943769018518</v>
      </c>
      <c r="E132" s="8">
        <f t="shared" si="253"/>
        <v>97.710953977368362</v>
      </c>
      <c r="F132" s="8">
        <f t="shared" si="253"/>
        <v>98.750792400861812</v>
      </c>
      <c r="G132" s="8">
        <f t="shared" si="253"/>
        <v>99.021402435726515</v>
      </c>
      <c r="H132" s="8">
        <f t="shared" si="253"/>
        <v>98.561368501955243</v>
      </c>
      <c r="I132" s="8">
        <f t="shared" si="253"/>
        <v>99.376055579332615</v>
      </c>
      <c r="J132" s="8">
        <f t="shared" si="253"/>
        <v>98.761044541893938</v>
      </c>
      <c r="K132" s="54">
        <f t="shared" si="253"/>
        <v>94.319908517053463</v>
      </c>
      <c r="L132" s="8">
        <f t="shared" si="253"/>
        <v>99.325678633466552</v>
      </c>
      <c r="M132" s="8">
        <f t="shared" si="253"/>
        <v>98.539682995365041</v>
      </c>
      <c r="N132" s="8">
        <f t="shared" si="253"/>
        <v>98.675668311477338</v>
      </c>
      <c r="O132" s="8">
        <f t="shared" si="253"/>
        <v>99.378462084893087</v>
      </c>
      <c r="P132" s="8">
        <f t="shared" si="253"/>
        <v>97.915627325535269</v>
      </c>
      <c r="Q132" s="8">
        <f t="shared" si="253"/>
        <v>98.47454222904237</v>
      </c>
      <c r="R132" s="8">
        <f t="shared" si="253"/>
        <v>98.781423379312145</v>
      </c>
      <c r="S132" s="8">
        <f t="shared" si="253"/>
        <v>98.845782530165906</v>
      </c>
      <c r="T132" s="8">
        <f t="shared" si="253"/>
        <v>99.023101035055873</v>
      </c>
      <c r="U132" s="8">
        <f t="shared" ref="U132:AI132" si="254">U130-U131</f>
        <v>98.274335985190504</v>
      </c>
      <c r="V132" s="8">
        <f t="shared" si="254"/>
        <v>98.690303652731657</v>
      </c>
      <c r="W132" s="8">
        <f t="shared" si="254"/>
        <v>97.698199325872125</v>
      </c>
      <c r="X132" s="8">
        <f t="shared" si="254"/>
        <v>98.259981920160058</v>
      </c>
      <c r="Y132" s="8">
        <f t="shared" si="254"/>
        <v>98.691924194795604</v>
      </c>
      <c r="Z132" s="8">
        <f t="shared" si="254"/>
        <v>98.709963357527258</v>
      </c>
      <c r="AA132" s="8">
        <f t="shared" si="254"/>
        <v>98.51688231253965</v>
      </c>
      <c r="AB132" s="8">
        <f t="shared" si="254"/>
        <v>99.79798637583707</v>
      </c>
      <c r="AC132" s="8">
        <f t="shared" si="254"/>
        <v>99.465557975279822</v>
      </c>
      <c r="AD132" s="8">
        <f t="shared" si="254"/>
        <v>99.266020645113599</v>
      </c>
      <c r="AE132" s="8">
        <f t="shared" si="254"/>
        <v>99.352961216018812</v>
      </c>
      <c r="AF132" s="8">
        <f t="shared" si="254"/>
        <v>99.261937585265485</v>
      </c>
      <c r="AG132" s="8">
        <f t="shared" si="254"/>
        <v>99.484079103348208</v>
      </c>
      <c r="AH132" s="8">
        <f t="shared" si="254"/>
        <v>100.29849496441686</v>
      </c>
      <c r="AI132" s="8">
        <f t="shared" si="254"/>
        <v>98.638299307584077</v>
      </c>
      <c r="AJ132" s="8">
        <f t="shared" ref="AJ132:BJ132" si="255">AJ130-AJ131</f>
        <v>99.114309068498201</v>
      </c>
      <c r="AK132" s="8">
        <f t="shared" si="255"/>
        <v>98.942816870928084</v>
      </c>
      <c r="AL132" s="8">
        <f t="shared" si="255"/>
        <v>98.513053291244631</v>
      </c>
      <c r="AM132" s="8">
        <f t="shared" si="255"/>
        <v>99.273843096371408</v>
      </c>
      <c r="AN132" s="8">
        <f t="shared" si="255"/>
        <v>98.598203428161085</v>
      </c>
      <c r="AO132" s="8">
        <f t="shared" si="255"/>
        <v>98.722081430726817</v>
      </c>
      <c r="AP132" s="8">
        <f t="shared" si="255"/>
        <v>99.22353273364412</v>
      </c>
      <c r="AQ132" s="8">
        <f t="shared" si="255"/>
        <v>99.081766643584956</v>
      </c>
      <c r="AR132" s="8">
        <f t="shared" si="255"/>
        <v>99.127418602577592</v>
      </c>
      <c r="AS132" s="8">
        <f t="shared" si="255"/>
        <v>99.491648416544109</v>
      </c>
      <c r="AT132" s="8">
        <f t="shared" si="255"/>
        <v>98.439878500865802</v>
      </c>
      <c r="AU132" s="8">
        <f t="shared" si="255"/>
        <v>98.765365883984572</v>
      </c>
      <c r="AV132" s="8">
        <f t="shared" si="255"/>
        <v>99.073015335847259</v>
      </c>
      <c r="AW132" s="8">
        <f t="shared" si="255"/>
        <v>98.357840093846562</v>
      </c>
      <c r="AX132" s="8">
        <f t="shared" si="255"/>
        <v>97.251265274727317</v>
      </c>
      <c r="AY132" s="8">
        <f t="shared" si="255"/>
        <v>98.574572223211447</v>
      </c>
      <c r="AZ132" s="8">
        <f t="shared" si="255"/>
        <v>99.236200323814941</v>
      </c>
      <c r="BA132" s="8">
        <f t="shared" si="255"/>
        <v>98.771980227943288</v>
      </c>
      <c r="BB132" s="8">
        <f t="shared" si="255"/>
        <v>98.617592426176913</v>
      </c>
      <c r="BC132" s="8">
        <f t="shared" si="255"/>
        <v>97.473481302620172</v>
      </c>
      <c r="BD132" s="8">
        <f t="shared" si="255"/>
        <v>98.544091241674238</v>
      </c>
      <c r="BE132" s="8">
        <f t="shared" si="255"/>
        <v>99.298629951220761</v>
      </c>
      <c r="BF132" s="8">
        <f t="shared" si="255"/>
        <v>98.436988611983054</v>
      </c>
      <c r="BG132" s="8">
        <f t="shared" si="255"/>
        <v>98.198523122789794</v>
      </c>
      <c r="BH132" s="8">
        <f t="shared" si="255"/>
        <v>98.555752304053925</v>
      </c>
      <c r="BI132" s="8">
        <f t="shared" si="255"/>
        <v>97.947519471205098</v>
      </c>
      <c r="BJ132" s="8">
        <f t="shared" si="255"/>
        <v>98.125393644631515</v>
      </c>
      <c r="BK132" s="8"/>
      <c r="BL132" s="8"/>
      <c r="BM132" s="8"/>
      <c r="BN132" s="8">
        <f>BN130-BN131</f>
        <v>98.580302056600345</v>
      </c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</row>
    <row r="133" spans="1:79" s="5" customFormat="1">
      <c r="A133" s="4"/>
      <c r="B133" s="54"/>
      <c r="C133" s="8"/>
      <c r="D133" s="8"/>
      <c r="E133" s="8"/>
      <c r="F133" s="8"/>
      <c r="G133" s="8"/>
      <c r="H133" s="8"/>
      <c r="I133" s="8"/>
      <c r="J133" s="8"/>
      <c r="K133" s="54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</row>
    <row r="134" spans="1:79" s="5" customFormat="1">
      <c r="A134" s="4"/>
      <c r="B134" s="54"/>
      <c r="C134" s="8"/>
      <c r="D134" s="8"/>
      <c r="E134" s="8"/>
      <c r="F134" s="8"/>
      <c r="G134" s="8"/>
      <c r="H134" s="8"/>
      <c r="I134" s="8"/>
      <c r="J134" s="8"/>
      <c r="K134" s="54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</row>
    <row r="135" spans="1:79" s="5" customFormat="1">
      <c r="A135" s="4" t="s">
        <v>73</v>
      </c>
      <c r="B135" s="54"/>
      <c r="C135" s="8"/>
      <c r="D135" s="8"/>
      <c r="E135" s="8"/>
      <c r="F135" s="8"/>
      <c r="G135" s="8"/>
      <c r="H135" s="8"/>
      <c r="I135" s="8"/>
      <c r="J135" s="8"/>
      <c r="K135" s="54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</row>
    <row r="136" spans="1:79" s="5" customFormat="1">
      <c r="A136" s="4" t="s">
        <v>74</v>
      </c>
      <c r="B136" s="54">
        <f t="shared" ref="B136:T136" si="256">IF(8-B96&lt;0, 0, IF((8-B96)&gt;B99, B99, (8-B96)))</f>
        <v>1.0347646434069553</v>
      </c>
      <c r="C136" s="8">
        <f t="shared" si="256"/>
        <v>1.3162847757000904</v>
      </c>
      <c r="D136" s="8">
        <f t="shared" si="256"/>
        <v>1.3576323628377116</v>
      </c>
      <c r="E136" s="8">
        <f t="shared" si="256"/>
        <v>1.3914746052674385</v>
      </c>
      <c r="F136" s="8">
        <f t="shared" si="256"/>
        <v>1.3376537419976842</v>
      </c>
      <c r="G136" s="8">
        <f t="shared" si="256"/>
        <v>1.4421402021686909</v>
      </c>
      <c r="H136" s="8">
        <f t="shared" si="256"/>
        <v>1.3425195509378955</v>
      </c>
      <c r="I136" s="8">
        <f t="shared" si="256"/>
        <v>1.3288416765840934</v>
      </c>
      <c r="J136" s="8">
        <f t="shared" si="256"/>
        <v>1.2161129752809083</v>
      </c>
      <c r="K136" s="54">
        <f t="shared" si="256"/>
        <v>1.0983011507587976</v>
      </c>
      <c r="L136" s="8">
        <f t="shared" si="256"/>
        <v>1.2977540822941718</v>
      </c>
      <c r="M136" s="8">
        <f t="shared" si="256"/>
        <v>1.3618703234673593</v>
      </c>
      <c r="N136" s="8">
        <f t="shared" si="256"/>
        <v>1.1985784621497837</v>
      </c>
      <c r="O136" s="8">
        <f t="shared" si="256"/>
        <v>1.4627207533769937</v>
      </c>
      <c r="P136" s="8">
        <f t="shared" si="256"/>
        <v>1.2829723226653256</v>
      </c>
      <c r="Q136" s="8">
        <f t="shared" si="256"/>
        <v>0.59092615506424018</v>
      </c>
      <c r="R136" s="8">
        <f t="shared" si="256"/>
        <v>1.555127044349879</v>
      </c>
      <c r="S136" s="8">
        <f t="shared" si="256"/>
        <v>1.5669949147354956</v>
      </c>
      <c r="T136" s="8">
        <f t="shared" si="256"/>
        <v>1.6132513790315022</v>
      </c>
      <c r="U136" s="8">
        <f t="shared" ref="U136:AI136" si="257">IF(8-U96&lt;0, 0, IF((8-U96)&gt;U99, U99, (8-U96)))</f>
        <v>1.6330324685045676</v>
      </c>
      <c r="V136" s="8">
        <f t="shared" si="257"/>
        <v>1.6363835719337612</v>
      </c>
      <c r="W136" s="8">
        <f t="shared" si="257"/>
        <v>1.1265828057883258</v>
      </c>
      <c r="X136" s="8">
        <f t="shared" si="257"/>
        <v>1.3613914002820202</v>
      </c>
      <c r="Y136" s="8">
        <f t="shared" si="257"/>
        <v>1.8134157724343387</v>
      </c>
      <c r="Z136" s="8">
        <f t="shared" si="257"/>
        <v>1.3764040888767397</v>
      </c>
      <c r="AA136" s="8">
        <f t="shared" si="257"/>
        <v>1.0824541404054493</v>
      </c>
      <c r="AB136" s="8">
        <f t="shared" si="257"/>
        <v>1.4864045074627441</v>
      </c>
      <c r="AC136" s="8">
        <f t="shared" si="257"/>
        <v>1.5545048555142049</v>
      </c>
      <c r="AD136" s="8">
        <f t="shared" si="257"/>
        <v>1.6325903463883868</v>
      </c>
      <c r="AE136" s="8">
        <f t="shared" si="257"/>
        <v>1.669091138012047</v>
      </c>
      <c r="AF136" s="8">
        <f t="shared" si="257"/>
        <v>1.582408630938442</v>
      </c>
      <c r="AG136" s="8">
        <f t="shared" si="257"/>
        <v>1.6919594078704279</v>
      </c>
      <c r="AH136" s="8">
        <f t="shared" si="257"/>
        <v>1.6189456514821936</v>
      </c>
      <c r="AI136" s="8">
        <f t="shared" si="257"/>
        <v>1.6586533623301394</v>
      </c>
      <c r="AJ136" s="8">
        <f t="shared" ref="AJ136:BJ136" si="258">IF(8-AJ96&lt;0, 0, IF((8-AJ96)&gt;AJ99, AJ99, (8-AJ96)))</f>
        <v>1.5587029738572857</v>
      </c>
      <c r="AK136" s="8">
        <f t="shared" si="258"/>
        <v>1.4244266103057424</v>
      </c>
      <c r="AL136" s="8">
        <f t="shared" si="258"/>
        <v>1.4538988615665991</v>
      </c>
      <c r="AM136" s="8">
        <f t="shared" si="258"/>
        <v>1.4083152280218076</v>
      </c>
      <c r="AN136" s="8">
        <f t="shared" si="258"/>
        <v>1.3687280203545269</v>
      </c>
      <c r="AO136" s="8">
        <f t="shared" si="258"/>
        <v>1.3695909328295528</v>
      </c>
      <c r="AP136" s="8">
        <f t="shared" si="258"/>
        <v>1.3362566290202471</v>
      </c>
      <c r="AQ136" s="8">
        <f t="shared" si="258"/>
        <v>1.3039859470450486</v>
      </c>
      <c r="AR136" s="8">
        <f t="shared" si="258"/>
        <v>1.3498001200267646</v>
      </c>
      <c r="AS136" s="8">
        <f t="shared" si="258"/>
        <v>1.3814302834346357</v>
      </c>
      <c r="AT136" s="8">
        <f t="shared" si="258"/>
        <v>1.3320840519749648</v>
      </c>
      <c r="AU136" s="8">
        <f t="shared" si="258"/>
        <v>1.1258911452844789</v>
      </c>
      <c r="AV136" s="8">
        <f t="shared" si="258"/>
        <v>1.3596846834756908</v>
      </c>
      <c r="AW136" s="8">
        <f t="shared" si="258"/>
        <v>1.4692999502777466</v>
      </c>
      <c r="AX136" s="8">
        <f t="shared" si="258"/>
        <v>1.3849199134829986</v>
      </c>
      <c r="AY136" s="8">
        <f t="shared" si="258"/>
        <v>1.3485218142758804</v>
      </c>
      <c r="AZ136" s="8">
        <f t="shared" si="258"/>
        <v>1.3366285640106224</v>
      </c>
      <c r="BA136" s="8">
        <f t="shared" si="258"/>
        <v>1.5329154541701664</v>
      </c>
      <c r="BB136" s="8">
        <f t="shared" si="258"/>
        <v>1.5373820419273576</v>
      </c>
      <c r="BC136" s="8">
        <f t="shared" si="258"/>
        <v>1.5827886527971238</v>
      </c>
      <c r="BD136" s="8">
        <f t="shared" si="258"/>
        <v>1.5703696784542984</v>
      </c>
      <c r="BE136" s="8">
        <f t="shared" si="258"/>
        <v>1.6222961068095101</v>
      </c>
      <c r="BF136" s="8">
        <f t="shared" si="258"/>
        <v>1.6354577596821178</v>
      </c>
      <c r="BG136" s="8">
        <f t="shared" si="258"/>
        <v>1.6829682568524857</v>
      </c>
      <c r="BH136" s="8">
        <f t="shared" si="258"/>
        <v>1.5316503601327209</v>
      </c>
      <c r="BI136" s="8">
        <f t="shared" si="258"/>
        <v>1.6429658424721465</v>
      </c>
      <c r="BJ136" s="8">
        <f t="shared" si="258"/>
        <v>1.622286192973851</v>
      </c>
      <c r="BK136" s="8"/>
      <c r="BL136" s="8"/>
      <c r="BM136" s="8"/>
      <c r="BN136" s="8">
        <f>IF(8-BN96&lt;0, 0, IF((8-BN96)&gt;BN99, BN99, (8-BN96)))</f>
        <v>1.3192427570974683</v>
      </c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</row>
    <row r="137" spans="1:79" s="5" customFormat="1">
      <c r="A137" s="4" t="s">
        <v>75</v>
      </c>
      <c r="B137" s="54">
        <f t="shared" ref="B137:T137" si="259">B99-B136</f>
        <v>0.65535234648208807</v>
      </c>
      <c r="C137" s="8">
        <f t="shared" si="259"/>
        <v>0.636742382298632</v>
      </c>
      <c r="D137" s="8">
        <f t="shared" si="259"/>
        <v>0.69288777468796159</v>
      </c>
      <c r="E137" s="8">
        <f t="shared" si="259"/>
        <v>0.68376945868506667</v>
      </c>
      <c r="F137" s="8">
        <f t="shared" si="259"/>
        <v>0.66799410962100003</v>
      </c>
      <c r="G137" s="8">
        <f t="shared" si="259"/>
        <v>0.63933978707796513</v>
      </c>
      <c r="H137" s="8">
        <f t="shared" si="259"/>
        <v>0.67169021068361134</v>
      </c>
      <c r="I137" s="8">
        <f t="shared" si="259"/>
        <v>0.65568455350660049</v>
      </c>
      <c r="J137" s="8">
        <f t="shared" si="259"/>
        <v>0.67552457108711983</v>
      </c>
      <c r="K137" s="54">
        <f t="shared" si="259"/>
        <v>0.60828032889551698</v>
      </c>
      <c r="L137" s="8">
        <f t="shared" si="259"/>
        <v>0.67079226924024038</v>
      </c>
      <c r="M137" s="8">
        <f t="shared" si="259"/>
        <v>0.69179760678842461</v>
      </c>
      <c r="N137" s="8">
        <f t="shared" si="259"/>
        <v>0.83549554563844053</v>
      </c>
      <c r="O137" s="8">
        <f t="shared" si="259"/>
        <v>0.66413009161223213</v>
      </c>
      <c r="P137" s="8">
        <f t="shared" si="259"/>
        <v>0.39796344157858687</v>
      </c>
      <c r="Q137" s="8">
        <f t="shared" si="259"/>
        <v>0.23129450930592987</v>
      </c>
      <c r="R137" s="8">
        <f t="shared" si="259"/>
        <v>0.44719413715239575</v>
      </c>
      <c r="S137" s="8">
        <f t="shared" si="259"/>
        <v>0.45732256661811466</v>
      </c>
      <c r="T137" s="8">
        <f t="shared" si="259"/>
        <v>0.38144831487135344</v>
      </c>
      <c r="U137" s="8">
        <f t="shared" ref="U137:AI137" si="260">U99-U136</f>
        <v>0.47377724093194606</v>
      </c>
      <c r="V137" s="8">
        <f t="shared" si="260"/>
        <v>0.48798262834103445</v>
      </c>
      <c r="W137" s="8">
        <f t="shared" si="260"/>
        <v>0.35862112359558118</v>
      </c>
      <c r="X137" s="8">
        <f t="shared" si="260"/>
        <v>0.43625299707855048</v>
      </c>
      <c r="Y137" s="8">
        <f t="shared" si="260"/>
        <v>0.86855439822057479</v>
      </c>
      <c r="Z137" s="8">
        <f t="shared" si="260"/>
        <v>0.59567088802477164</v>
      </c>
      <c r="AA137" s="8">
        <f t="shared" si="260"/>
        <v>0.55562125335379942</v>
      </c>
      <c r="AB137" s="8">
        <f t="shared" si="260"/>
        <v>0.44041312475685834</v>
      </c>
      <c r="AC137" s="8">
        <f t="shared" si="260"/>
        <v>0.60225415957899209</v>
      </c>
      <c r="AD137" s="8">
        <f t="shared" si="260"/>
        <v>0.52735897726270675</v>
      </c>
      <c r="AE137" s="8">
        <f t="shared" si="260"/>
        <v>0.53101429216524298</v>
      </c>
      <c r="AF137" s="8">
        <f t="shared" si="260"/>
        <v>0.50989682226970601</v>
      </c>
      <c r="AG137" s="8">
        <f t="shared" si="260"/>
        <v>0.58589518934268359</v>
      </c>
      <c r="AH137" s="8">
        <f t="shared" si="260"/>
        <v>0.62815842639002195</v>
      </c>
      <c r="AI137" s="8">
        <f t="shared" si="260"/>
        <v>0.57174469414801221</v>
      </c>
      <c r="AJ137" s="8">
        <f t="shared" ref="AJ137:BJ137" si="261">AJ99-AJ136</f>
        <v>0.59255350624287839</v>
      </c>
      <c r="AK137" s="8">
        <f t="shared" si="261"/>
        <v>0.8574129914203632</v>
      </c>
      <c r="AL137" s="8">
        <f t="shared" si="261"/>
        <v>0.89764152603562053</v>
      </c>
      <c r="AM137" s="8">
        <f t="shared" si="261"/>
        <v>0.86278591091725376</v>
      </c>
      <c r="AN137" s="8">
        <f t="shared" si="261"/>
        <v>0.8865407928867528</v>
      </c>
      <c r="AO137" s="8">
        <f t="shared" si="261"/>
        <v>0.87071698514899998</v>
      </c>
      <c r="AP137" s="8">
        <f t="shared" si="261"/>
        <v>0.44787073537281863</v>
      </c>
      <c r="AQ137" s="8">
        <f t="shared" si="261"/>
        <v>0.52751439218971075</v>
      </c>
      <c r="AR137" s="8">
        <f t="shared" si="261"/>
        <v>0.48836293501767969</v>
      </c>
      <c r="AS137" s="8">
        <f t="shared" si="261"/>
        <v>0.458601917038443</v>
      </c>
      <c r="AT137" s="8">
        <f t="shared" si="261"/>
        <v>0.49008953886949058</v>
      </c>
      <c r="AU137" s="8">
        <f t="shared" si="261"/>
        <v>0.39337187704964593</v>
      </c>
      <c r="AV137" s="8">
        <f t="shared" si="261"/>
        <v>0.48357049714369604</v>
      </c>
      <c r="AW137" s="8">
        <f t="shared" si="261"/>
        <v>0.49643911561876797</v>
      </c>
      <c r="AX137" s="8">
        <f t="shared" si="261"/>
        <v>0.77031533513267414</v>
      </c>
      <c r="AY137" s="8">
        <f t="shared" si="261"/>
        <v>0.4965737875188414</v>
      </c>
      <c r="AZ137" s="8">
        <f t="shared" si="261"/>
        <v>0.47986317394053435</v>
      </c>
      <c r="BA137" s="8">
        <f t="shared" si="261"/>
        <v>0.49623134528392221</v>
      </c>
      <c r="BB137" s="8">
        <f t="shared" si="261"/>
        <v>0.53615793244352705</v>
      </c>
      <c r="BC137" s="8">
        <f t="shared" si="261"/>
        <v>0.41107810691107627</v>
      </c>
      <c r="BD137" s="8">
        <f t="shared" si="261"/>
        <v>0.54625218356807403</v>
      </c>
      <c r="BE137" s="8">
        <f t="shared" si="261"/>
        <v>0.44759159551825478</v>
      </c>
      <c r="BF137" s="8">
        <f t="shared" si="261"/>
        <v>0.54419235470634364</v>
      </c>
      <c r="BG137" s="8">
        <f t="shared" si="261"/>
        <v>0.52234522215304224</v>
      </c>
      <c r="BH137" s="8">
        <f t="shared" si="261"/>
        <v>0.5542515540853743</v>
      </c>
      <c r="BI137" s="8">
        <f t="shared" si="261"/>
        <v>0.5381999248637177</v>
      </c>
      <c r="BJ137" s="8">
        <f t="shared" si="261"/>
        <v>0.48631428628966011</v>
      </c>
      <c r="BK137" s="8"/>
      <c r="BL137" s="8"/>
      <c r="BM137" s="8"/>
      <c r="BN137" s="8">
        <f>BN99-BN136</f>
        <v>0.66291140983994423</v>
      </c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</row>
    <row r="138" spans="1:79" s="5" customFormat="1">
      <c r="A138" s="4" t="s">
        <v>76</v>
      </c>
      <c r="B138" s="54">
        <f t="shared" ref="B138:T138" si="262">B104/(B104+B101)</f>
        <v>0.61710686562587969</v>
      </c>
      <c r="C138" s="8">
        <f t="shared" si="262"/>
        <v>0.6508943480924605</v>
      </c>
      <c r="D138" s="8">
        <f t="shared" si="262"/>
        <v>0.60418035318194041</v>
      </c>
      <c r="E138" s="8">
        <f t="shared" si="262"/>
        <v>0.6157789921037633</v>
      </c>
      <c r="F138" s="8">
        <f t="shared" si="262"/>
        <v>0.61982842168669416</v>
      </c>
      <c r="G138" s="8">
        <f t="shared" si="262"/>
        <v>0.61965086104378497</v>
      </c>
      <c r="H138" s="8">
        <f t="shared" si="262"/>
        <v>0.63482007606190438</v>
      </c>
      <c r="I138" s="8">
        <f t="shared" si="262"/>
        <v>0.62286632054818947</v>
      </c>
      <c r="J138" s="8">
        <f t="shared" si="262"/>
        <v>0.62383962478496535</v>
      </c>
      <c r="K138" s="54">
        <f t="shared" si="262"/>
        <v>0.57556414176976867</v>
      </c>
      <c r="L138" s="8">
        <f t="shared" si="262"/>
        <v>0.62894091396394503</v>
      </c>
      <c r="M138" s="8">
        <f t="shared" si="262"/>
        <v>0.6190757627463378</v>
      </c>
      <c r="N138" s="8">
        <f t="shared" si="262"/>
        <v>0.60226495609013031</v>
      </c>
      <c r="O138" s="8">
        <f t="shared" si="262"/>
        <v>0.61805013512718987</v>
      </c>
      <c r="P138" s="8">
        <f t="shared" si="262"/>
        <v>0.6244646391134433</v>
      </c>
      <c r="Q138" s="8">
        <f t="shared" si="262"/>
        <v>0.75758723634849923</v>
      </c>
      <c r="R138" s="8">
        <f t="shared" si="262"/>
        <v>0.59878452292717954</v>
      </c>
      <c r="S138" s="8">
        <f t="shared" si="262"/>
        <v>0.60436878979704223</v>
      </c>
      <c r="T138" s="8">
        <f t="shared" si="262"/>
        <v>0.61773097766067342</v>
      </c>
      <c r="U138" s="8">
        <f t="shared" ref="U138:AI138" si="263">U104/(U104+U101)</f>
        <v>0.58945921574511617</v>
      </c>
      <c r="V138" s="8">
        <f t="shared" si="263"/>
        <v>0.59271962130488576</v>
      </c>
      <c r="W138" s="8">
        <f t="shared" si="263"/>
        <v>0.60995749691877299</v>
      </c>
      <c r="X138" s="8">
        <f t="shared" si="263"/>
        <v>0.62984601099080884</v>
      </c>
      <c r="Y138" s="8">
        <f t="shared" si="263"/>
        <v>0.50773626602888589</v>
      </c>
      <c r="Z138" s="8">
        <f t="shared" si="263"/>
        <v>0.6109655240584958</v>
      </c>
      <c r="AA138" s="8">
        <f t="shared" si="263"/>
        <v>0.65857682632474102</v>
      </c>
      <c r="AB138" s="8">
        <f t="shared" si="263"/>
        <v>0.63549985155295641</v>
      </c>
      <c r="AC138" s="8">
        <f t="shared" si="263"/>
        <v>0.64837637032257567</v>
      </c>
      <c r="AD138" s="8">
        <f t="shared" si="263"/>
        <v>0.63191050731215748</v>
      </c>
      <c r="AE138" s="8">
        <f t="shared" si="263"/>
        <v>0.61557438674683085</v>
      </c>
      <c r="AF138" s="8">
        <f t="shared" si="263"/>
        <v>0.62637328168030404</v>
      </c>
      <c r="AG138" s="8">
        <f t="shared" si="263"/>
        <v>0.61386089910214059</v>
      </c>
      <c r="AH138" s="8">
        <f t="shared" si="263"/>
        <v>0.62766549655723636</v>
      </c>
      <c r="AI138" s="8">
        <f t="shared" si="263"/>
        <v>0.61979012709002124</v>
      </c>
      <c r="AJ138" s="8">
        <f t="shared" ref="AJ138:BJ138" si="264">AJ104/(AJ104+AJ101)</f>
        <v>0.63364076878444653</v>
      </c>
      <c r="AK138" s="8">
        <f t="shared" si="264"/>
        <v>0.59285527344844846</v>
      </c>
      <c r="AL138" s="8">
        <f t="shared" si="264"/>
        <v>0.59086207995068829</v>
      </c>
      <c r="AM138" s="8">
        <f t="shared" si="264"/>
        <v>0.60319974149792122</v>
      </c>
      <c r="AN138" s="8">
        <f t="shared" si="264"/>
        <v>0.60055607124532695</v>
      </c>
      <c r="AO138" s="8">
        <f t="shared" si="264"/>
        <v>0.60795991901203983</v>
      </c>
      <c r="AP138" s="8">
        <f t="shared" si="264"/>
        <v>0.52027490780825736</v>
      </c>
      <c r="AQ138" s="8">
        <f t="shared" si="264"/>
        <v>0.51509782848733088</v>
      </c>
      <c r="AR138" s="8">
        <f t="shared" si="264"/>
        <v>0.51799281892005888</v>
      </c>
      <c r="AS138" s="8">
        <f t="shared" si="264"/>
        <v>0.50868807997796051</v>
      </c>
      <c r="AT138" s="8">
        <f t="shared" si="264"/>
        <v>0.50091164854123549</v>
      </c>
      <c r="AU138" s="8">
        <f t="shared" si="264"/>
        <v>0.55072983202795434</v>
      </c>
      <c r="AV138" s="8">
        <f t="shared" si="264"/>
        <v>0.49592215547789159</v>
      </c>
      <c r="AW138" s="8">
        <f t="shared" si="264"/>
        <v>0.51222523100670603</v>
      </c>
      <c r="AX138" s="8">
        <f t="shared" si="264"/>
        <v>0.47269005317358181</v>
      </c>
      <c r="AY138" s="8">
        <f t="shared" si="264"/>
        <v>0.49235666080965979</v>
      </c>
      <c r="AZ138" s="8">
        <f t="shared" si="264"/>
        <v>0.51809896196254079</v>
      </c>
      <c r="BA138" s="8">
        <f t="shared" si="264"/>
        <v>0.59309161021933354</v>
      </c>
      <c r="BB138" s="8">
        <f t="shared" si="264"/>
        <v>0.58271416750144767</v>
      </c>
      <c r="BC138" s="8">
        <f t="shared" si="264"/>
        <v>0.61188615214158948</v>
      </c>
      <c r="BD138" s="8">
        <f t="shared" si="264"/>
        <v>0.58548646012057548</v>
      </c>
      <c r="BE138" s="8">
        <f t="shared" si="264"/>
        <v>0.60706979541676098</v>
      </c>
      <c r="BF138" s="8">
        <f t="shared" si="264"/>
        <v>0.49954063516499886</v>
      </c>
      <c r="BG138" s="8">
        <f t="shared" si="264"/>
        <v>0.49346724107055639</v>
      </c>
      <c r="BH138" s="8">
        <f t="shared" si="264"/>
        <v>0.51274967385315007</v>
      </c>
      <c r="BI138" s="8">
        <f t="shared" si="264"/>
        <v>0.49157746339442354</v>
      </c>
      <c r="BJ138" s="8">
        <f t="shared" si="264"/>
        <v>0.51676699412376348</v>
      </c>
      <c r="BK138" s="8"/>
      <c r="BL138" s="8"/>
      <c r="BM138" s="8"/>
      <c r="BN138" s="8">
        <f>BN104/(BN104+BN101)</f>
        <v>0.62026202013184928</v>
      </c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</row>
    <row r="139" spans="1:79" s="5" customFormat="1">
      <c r="A139" s="4" t="s">
        <v>77</v>
      </c>
      <c r="B139" s="54">
        <f t="shared" ref="B139:T139" si="265">B104/(B104+B101+B100)</f>
        <v>0.61710686562587969</v>
      </c>
      <c r="C139" s="8">
        <f t="shared" si="265"/>
        <v>0.63290393032629266</v>
      </c>
      <c r="D139" s="8">
        <f t="shared" si="265"/>
        <v>0.59717947410279493</v>
      </c>
      <c r="E139" s="8">
        <f t="shared" si="265"/>
        <v>0.59375573613183108</v>
      </c>
      <c r="F139" s="8">
        <f t="shared" si="265"/>
        <v>0.6108297742737816</v>
      </c>
      <c r="G139" s="8">
        <f t="shared" si="265"/>
        <v>0.5918837921524871</v>
      </c>
      <c r="H139" s="8">
        <f t="shared" si="265"/>
        <v>0.62096910833514751</v>
      </c>
      <c r="I139" s="8">
        <f t="shared" si="265"/>
        <v>0.61073560427802442</v>
      </c>
      <c r="J139" s="8">
        <f t="shared" si="265"/>
        <v>0.62383962478496535</v>
      </c>
      <c r="K139" s="54">
        <f t="shared" si="265"/>
        <v>0.57556414176976867</v>
      </c>
      <c r="L139" s="8">
        <f t="shared" si="265"/>
        <v>0.62520296729373492</v>
      </c>
      <c r="M139" s="8">
        <f t="shared" si="265"/>
        <v>0.60983224914669554</v>
      </c>
      <c r="N139" s="8">
        <f t="shared" si="265"/>
        <v>0.60226495609013031</v>
      </c>
      <c r="O139" s="8">
        <f t="shared" si="265"/>
        <v>0.5986072386927298</v>
      </c>
      <c r="P139" s="8">
        <f t="shared" si="265"/>
        <v>0.62127311927914164</v>
      </c>
      <c r="Q139" s="8">
        <f t="shared" si="265"/>
        <v>0.74427335633585701</v>
      </c>
      <c r="R139" s="8">
        <f t="shared" si="265"/>
        <v>0.59189142846121334</v>
      </c>
      <c r="S139" s="8">
        <f t="shared" si="265"/>
        <v>0.59249012633348241</v>
      </c>
      <c r="T139" s="8">
        <f t="shared" si="265"/>
        <v>0.58770762124305831</v>
      </c>
      <c r="U139" s="8">
        <f t="shared" ref="U139:AI139" si="266">U104/(U104+U101+U100)</f>
        <v>0.57371926917881866</v>
      </c>
      <c r="V139" s="8">
        <f t="shared" si="266"/>
        <v>0.5787585846996488</v>
      </c>
      <c r="W139" s="8">
        <f t="shared" si="266"/>
        <v>0.6006894899699089</v>
      </c>
      <c r="X139" s="8">
        <f t="shared" si="266"/>
        <v>0.61098176780229663</v>
      </c>
      <c r="Y139" s="8">
        <f t="shared" si="266"/>
        <v>0.47606044492362898</v>
      </c>
      <c r="Z139" s="8">
        <f t="shared" si="266"/>
        <v>0.59158202423980744</v>
      </c>
      <c r="AA139" s="8">
        <f t="shared" si="266"/>
        <v>0.65857682632474102</v>
      </c>
      <c r="AB139" s="8">
        <f t="shared" si="266"/>
        <v>0.63549985155295641</v>
      </c>
      <c r="AC139" s="8">
        <f t="shared" si="266"/>
        <v>0.64837637032257567</v>
      </c>
      <c r="AD139" s="8">
        <f t="shared" si="266"/>
        <v>0.63191050731215748</v>
      </c>
      <c r="AE139" s="8">
        <f t="shared" si="266"/>
        <v>0.61557438674683085</v>
      </c>
      <c r="AF139" s="8">
        <f t="shared" si="266"/>
        <v>0.62637328168030404</v>
      </c>
      <c r="AG139" s="8">
        <f t="shared" si="266"/>
        <v>0.61386089910214059</v>
      </c>
      <c r="AH139" s="8">
        <f t="shared" si="266"/>
        <v>0.62766549655723636</v>
      </c>
      <c r="AI139" s="8">
        <f t="shared" si="266"/>
        <v>0.61979012709002124</v>
      </c>
      <c r="AJ139" s="8">
        <f t="shared" ref="AJ139:BJ139" si="267">AJ104/(AJ104+AJ101+AJ100)</f>
        <v>0.63364076878444653</v>
      </c>
      <c r="AK139" s="8">
        <f t="shared" si="267"/>
        <v>0.59285527344844846</v>
      </c>
      <c r="AL139" s="8">
        <f t="shared" si="267"/>
        <v>0.59086207995068829</v>
      </c>
      <c r="AM139" s="8">
        <f t="shared" si="267"/>
        <v>0.60319974149792122</v>
      </c>
      <c r="AN139" s="8">
        <f t="shared" si="267"/>
        <v>0.60055607124532695</v>
      </c>
      <c r="AO139" s="8">
        <f t="shared" si="267"/>
        <v>0.60795991901203983</v>
      </c>
      <c r="AP139" s="8">
        <f t="shared" si="267"/>
        <v>0.491494234474179</v>
      </c>
      <c r="AQ139" s="8">
        <f t="shared" si="267"/>
        <v>0.49856176920279111</v>
      </c>
      <c r="AR139" s="8">
        <f t="shared" si="267"/>
        <v>0.4936118510027302</v>
      </c>
      <c r="AS139" s="8">
        <f t="shared" si="267"/>
        <v>0.48207016249185747</v>
      </c>
      <c r="AT139" s="8">
        <f t="shared" si="267"/>
        <v>0.48373679900900707</v>
      </c>
      <c r="AU139" s="8">
        <f t="shared" si="267"/>
        <v>0.52386770740849775</v>
      </c>
      <c r="AV139" s="8">
        <f t="shared" si="267"/>
        <v>0.47863727488354335</v>
      </c>
      <c r="AW139" s="8">
        <f t="shared" si="267"/>
        <v>0.4772679530527536</v>
      </c>
      <c r="AX139" s="8">
        <f t="shared" si="267"/>
        <v>0.4568055589680356</v>
      </c>
      <c r="AY139" s="8">
        <f t="shared" si="267"/>
        <v>0.47859671733972997</v>
      </c>
      <c r="AZ139" s="8">
        <f t="shared" si="267"/>
        <v>0.49567958471382001</v>
      </c>
      <c r="BA139" s="8">
        <f t="shared" si="267"/>
        <v>0.57680353266581075</v>
      </c>
      <c r="BB139" s="8">
        <f t="shared" si="267"/>
        <v>0.57272639265749026</v>
      </c>
      <c r="BC139" s="8">
        <f t="shared" si="267"/>
        <v>0.57483507811940548</v>
      </c>
      <c r="BD139" s="8">
        <f t="shared" si="267"/>
        <v>0.56799991529463401</v>
      </c>
      <c r="BE139" s="8">
        <f t="shared" si="267"/>
        <v>0.57410235561830858</v>
      </c>
      <c r="BF139" s="8">
        <f t="shared" si="267"/>
        <v>0.49954063516499886</v>
      </c>
      <c r="BG139" s="8">
        <f t="shared" si="267"/>
        <v>0.49346724107055639</v>
      </c>
      <c r="BH139" s="8">
        <f t="shared" si="267"/>
        <v>0.51274967385315007</v>
      </c>
      <c r="BI139" s="8">
        <f t="shared" si="267"/>
        <v>0.49157746339442354</v>
      </c>
      <c r="BJ139" s="8">
        <f t="shared" si="267"/>
        <v>0.5141271236685544</v>
      </c>
      <c r="BK139" s="8"/>
      <c r="BL139" s="8"/>
      <c r="BM139" s="8"/>
      <c r="BN139" s="8">
        <f>BN104/(BN104+BN101+BN100)</f>
        <v>0.60946083945475815</v>
      </c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</row>
    <row r="140" spans="1:79" s="5" customFormat="1">
      <c r="A140" s="4" t="s">
        <v>91</v>
      </c>
      <c r="B140" s="54">
        <f t="shared" ref="B140:T140" si="268">B100/(B100+B101)</f>
        <v>0</v>
      </c>
      <c r="C140" s="8">
        <f t="shared" si="268"/>
        <v>7.5292377889982123E-2</v>
      </c>
      <c r="D140" s="8">
        <f t="shared" si="268"/>
        <v>2.8765662828746145E-2</v>
      </c>
      <c r="E140" s="8">
        <f t="shared" si="268"/>
        <v>8.8037847627214505E-2</v>
      </c>
      <c r="F140" s="8">
        <f t="shared" si="268"/>
        <v>3.7304922552499252E-2</v>
      </c>
      <c r="G140" s="8">
        <f t="shared" si="268"/>
        <v>0.10979919034762589</v>
      </c>
      <c r="H140" s="8">
        <f t="shared" si="268"/>
        <v>5.7564515991436763E-2</v>
      </c>
      <c r="I140" s="8">
        <f t="shared" si="268"/>
        <v>5.0031890563894676E-2</v>
      </c>
      <c r="J140" s="8">
        <f t="shared" si="268"/>
        <v>0</v>
      </c>
      <c r="K140" s="54">
        <f t="shared" si="268"/>
        <v>0</v>
      </c>
      <c r="L140" s="8">
        <f t="shared" si="268"/>
        <v>1.5857222120162547E-2</v>
      </c>
      <c r="M140" s="8">
        <f t="shared" si="268"/>
        <v>3.8268541710376906E-2</v>
      </c>
      <c r="N140" s="8">
        <f t="shared" si="268"/>
        <v>0</v>
      </c>
      <c r="O140" s="8">
        <f t="shared" si="268"/>
        <v>7.8373225526481391E-2</v>
      </c>
      <c r="P140" s="8">
        <f t="shared" si="268"/>
        <v>1.3494710302041508E-2</v>
      </c>
      <c r="Q140" s="8">
        <f t="shared" si="268"/>
        <v>6.8722034916444241E-2</v>
      </c>
      <c r="R140" s="8">
        <f t="shared" si="268"/>
        <v>2.8207717628844043E-2</v>
      </c>
      <c r="S140" s="8">
        <f t="shared" si="268"/>
        <v>4.8231127410471419E-2</v>
      </c>
      <c r="T140" s="8">
        <f t="shared" si="268"/>
        <v>0.11788391601595444</v>
      </c>
      <c r="U140" s="8">
        <f t="shared" ref="U140:AI140" si="269">U100/(U100+U101)</f>
        <v>6.2640294385468018E-2</v>
      </c>
      <c r="V140" s="8">
        <f t="shared" si="269"/>
        <v>5.5916154763108641E-2</v>
      </c>
      <c r="W140" s="8">
        <f t="shared" si="269"/>
        <v>3.8051872774948974E-2</v>
      </c>
      <c r="X140" s="8">
        <f t="shared" si="269"/>
        <v>7.699012900656807E-2</v>
      </c>
      <c r="Y140" s="8">
        <f t="shared" si="269"/>
        <v>0.11907168783201103</v>
      </c>
      <c r="Z140" s="8">
        <f t="shared" si="269"/>
        <v>7.7680254852194888E-2</v>
      </c>
      <c r="AA140" s="8">
        <f t="shared" si="269"/>
        <v>0</v>
      </c>
      <c r="AB140" s="8">
        <f t="shared" si="269"/>
        <v>0</v>
      </c>
      <c r="AC140" s="8">
        <f t="shared" si="269"/>
        <v>0</v>
      </c>
      <c r="AD140" s="8">
        <f t="shared" si="269"/>
        <v>0</v>
      </c>
      <c r="AE140" s="8">
        <f t="shared" si="269"/>
        <v>0</v>
      </c>
      <c r="AF140" s="8">
        <f t="shared" si="269"/>
        <v>0</v>
      </c>
      <c r="AG140" s="8">
        <f t="shared" si="269"/>
        <v>0</v>
      </c>
      <c r="AH140" s="8">
        <f t="shared" si="269"/>
        <v>0</v>
      </c>
      <c r="AI140" s="8">
        <f t="shared" si="269"/>
        <v>0</v>
      </c>
      <c r="AJ140" s="8">
        <f t="shared" ref="AJ140:BJ140" si="270">AJ100/(AJ100+AJ101)</f>
        <v>0</v>
      </c>
      <c r="AK140" s="8">
        <f t="shared" si="270"/>
        <v>0</v>
      </c>
      <c r="AL140" s="8">
        <f t="shared" si="270"/>
        <v>0</v>
      </c>
      <c r="AM140" s="8">
        <f t="shared" si="270"/>
        <v>0</v>
      </c>
      <c r="AN140" s="8">
        <f t="shared" si="270"/>
        <v>0</v>
      </c>
      <c r="AO140" s="8">
        <f t="shared" si="270"/>
        <v>0</v>
      </c>
      <c r="AP140" s="8">
        <f t="shared" si="270"/>
        <v>0.10878579449414059</v>
      </c>
      <c r="AQ140" s="8">
        <f t="shared" si="270"/>
        <v>6.4021354626751861E-2</v>
      </c>
      <c r="AR140" s="8">
        <f t="shared" si="270"/>
        <v>9.2948775035833653E-2</v>
      </c>
      <c r="AS140" s="8">
        <f t="shared" si="270"/>
        <v>0.10103028599246219</v>
      </c>
      <c r="AT140" s="8">
        <f t="shared" si="270"/>
        <v>6.6414153240605442E-2</v>
      </c>
      <c r="AU140" s="8">
        <f t="shared" si="270"/>
        <v>0.10244107329199233</v>
      </c>
      <c r="AV140" s="8">
        <f t="shared" si="270"/>
        <v>6.6851767601559225E-2</v>
      </c>
      <c r="AW140" s="8">
        <f t="shared" si="270"/>
        <v>0.13055620414247773</v>
      </c>
      <c r="AX140" s="8">
        <f t="shared" si="270"/>
        <v>6.1864514674119804E-2</v>
      </c>
      <c r="AY140" s="8">
        <f t="shared" si="270"/>
        <v>5.3599787880969862E-2</v>
      </c>
      <c r="AZ140" s="8">
        <f t="shared" si="270"/>
        <v>8.5803355804329712E-2</v>
      </c>
      <c r="BA140" s="8">
        <f t="shared" si="270"/>
        <v>6.489421960787578E-2</v>
      </c>
      <c r="BB140" s="8">
        <f t="shared" si="270"/>
        <v>4.0115027929470332E-2</v>
      </c>
      <c r="BC140" s="8">
        <f t="shared" si="270"/>
        <v>0.14242058032774008</v>
      </c>
      <c r="BD140" s="8">
        <f t="shared" si="270"/>
        <v>6.9135851711825583E-2</v>
      </c>
      <c r="BE140" s="8">
        <f t="shared" si="270"/>
        <v>0.12750915231921853</v>
      </c>
      <c r="BF140" s="8">
        <f t="shared" si="270"/>
        <v>0</v>
      </c>
      <c r="BG140" s="8">
        <f t="shared" si="270"/>
        <v>0</v>
      </c>
      <c r="BH140" s="8">
        <f t="shared" si="270"/>
        <v>0</v>
      </c>
      <c r="BI140" s="8">
        <f t="shared" si="270"/>
        <v>0</v>
      </c>
      <c r="BJ140" s="8">
        <f t="shared" si="270"/>
        <v>1.0513932695949938E-2</v>
      </c>
      <c r="BK140" s="8"/>
      <c r="BL140" s="8"/>
      <c r="BM140" s="8"/>
      <c r="BN140" s="8">
        <f>BN100/(BN100+BN101)</f>
        <v>4.4589381996485253E-2</v>
      </c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</row>
    <row r="141" spans="1:79" s="5" customFormat="1">
      <c r="A141" s="4" t="s">
        <v>92</v>
      </c>
      <c r="B141" s="54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54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/>
      <c r="BL141" s="8"/>
      <c r="BM141" s="8"/>
      <c r="BN141" s="8">
        <v>0</v>
      </c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</row>
    <row r="142" spans="1:79" s="5" customFormat="1">
      <c r="A142" s="4" t="s">
        <v>93</v>
      </c>
      <c r="B142" s="54">
        <f t="shared" ref="B142:T142" si="271">B106-B141</f>
        <v>0.39252894522275983</v>
      </c>
      <c r="C142" s="8">
        <f t="shared" si="271"/>
        <v>0.40115272722834699</v>
      </c>
      <c r="D142" s="8">
        <f t="shared" si="271"/>
        <v>0.43228955191115565</v>
      </c>
      <c r="E142" s="8">
        <f t="shared" si="271"/>
        <v>0.40445016038159048</v>
      </c>
      <c r="F142" s="8">
        <f t="shared" si="271"/>
        <v>0.3993986921397884</v>
      </c>
      <c r="G142" s="8">
        <f t="shared" si="271"/>
        <v>0.42252932597911136</v>
      </c>
      <c r="H142" s="8">
        <f t="shared" si="271"/>
        <v>0.3932769546816271</v>
      </c>
      <c r="I142" s="8">
        <f t="shared" si="271"/>
        <v>0.40228049443378033</v>
      </c>
      <c r="J142" s="8">
        <f t="shared" si="271"/>
        <v>0.40355853584198875</v>
      </c>
      <c r="K142" s="54">
        <f t="shared" si="271"/>
        <v>0.39058543823748787</v>
      </c>
      <c r="L142" s="8">
        <f t="shared" si="271"/>
        <v>0.43566799284592356</v>
      </c>
      <c r="M142" s="8">
        <f t="shared" si="271"/>
        <v>0.41716625453069955</v>
      </c>
      <c r="N142" s="8">
        <f t="shared" si="271"/>
        <v>0.47008393440268598</v>
      </c>
      <c r="O142" s="8">
        <f t="shared" si="271"/>
        <v>0.43188345591574112</v>
      </c>
      <c r="P142" s="8">
        <f t="shared" si="271"/>
        <v>0.40201571946512926</v>
      </c>
      <c r="Q142" s="8">
        <f t="shared" si="271"/>
        <v>0.20804346305477056</v>
      </c>
      <c r="R142" s="8">
        <f t="shared" si="271"/>
        <v>0.48625787891631828</v>
      </c>
      <c r="S142" s="8">
        <f t="shared" si="271"/>
        <v>0.45651161825855296</v>
      </c>
      <c r="T142" s="8">
        <f t="shared" si="271"/>
        <v>0.46492468480353327</v>
      </c>
      <c r="U142" s="8">
        <f t="shared" ref="U142:AI142" si="272">U106-U141</f>
        <v>0.48116973748590064</v>
      </c>
      <c r="V142" s="8">
        <f t="shared" si="272"/>
        <v>0.4907796296860234</v>
      </c>
      <c r="W142" s="8">
        <f t="shared" si="272"/>
        <v>0.36274408779703743</v>
      </c>
      <c r="X142" s="8">
        <f t="shared" si="272"/>
        <v>0.44188113832417486</v>
      </c>
      <c r="Y142" s="8">
        <f t="shared" si="272"/>
        <v>0.3069255523578116</v>
      </c>
      <c r="Z142" s="8">
        <f t="shared" si="272"/>
        <v>0.3642337240613534</v>
      </c>
      <c r="AA142" s="8">
        <f t="shared" si="272"/>
        <v>0.33390797950120227</v>
      </c>
      <c r="AB142" s="8">
        <f t="shared" si="272"/>
        <v>0.59329259990322358</v>
      </c>
      <c r="AC142" s="8">
        <f t="shared" si="272"/>
        <v>0.7088578417230007</v>
      </c>
      <c r="AD142" s="8">
        <f t="shared" si="272"/>
        <v>0.7237450711929182</v>
      </c>
      <c r="AE142" s="8">
        <f t="shared" si="272"/>
        <v>0.74505986855755046</v>
      </c>
      <c r="AF142" s="8">
        <f t="shared" si="272"/>
        <v>0.75988543012866994</v>
      </c>
      <c r="AG142" s="8">
        <f t="shared" si="272"/>
        <v>0.76196368975324569</v>
      </c>
      <c r="AH142" s="8">
        <f t="shared" si="272"/>
        <v>0.73857906591382527</v>
      </c>
      <c r="AI142" s="8">
        <f t="shared" si="272"/>
        <v>0.74179946436487643</v>
      </c>
      <c r="AJ142" s="8">
        <f t="shared" ref="AJ142:BJ142" si="273">AJ106-AJ141</f>
        <v>0.73878952686575827</v>
      </c>
      <c r="AK142" s="8">
        <f t="shared" si="273"/>
        <v>0.70819924288562452</v>
      </c>
      <c r="AL142" s="8">
        <f t="shared" si="273"/>
        <v>0.75541869015896479</v>
      </c>
      <c r="AM142" s="8">
        <f t="shared" si="273"/>
        <v>0.71298139225881418</v>
      </c>
      <c r="AN142" s="8">
        <f t="shared" si="273"/>
        <v>0.72438011544948477</v>
      </c>
      <c r="AO142" s="8">
        <f t="shared" si="273"/>
        <v>0.74910870057566081</v>
      </c>
      <c r="AP142" s="8">
        <f t="shared" si="273"/>
        <v>0.41126905177303613</v>
      </c>
      <c r="AQ142" s="8">
        <f t="shared" si="273"/>
        <v>0.37871182036575035</v>
      </c>
      <c r="AR142" s="8">
        <f t="shared" si="273"/>
        <v>0.42020944839785368</v>
      </c>
      <c r="AS142" s="8">
        <f t="shared" si="273"/>
        <v>0.43440356596345453</v>
      </c>
      <c r="AT142" s="8">
        <f t="shared" si="273"/>
        <v>0.46513401514832403</v>
      </c>
      <c r="AU142" s="8">
        <f t="shared" si="273"/>
        <v>0.33781794251308533</v>
      </c>
      <c r="AV142" s="8">
        <f t="shared" si="273"/>
        <v>0.45107097010243746</v>
      </c>
      <c r="AW142" s="8">
        <f t="shared" si="273"/>
        <v>0.45132125682114788</v>
      </c>
      <c r="AX142" s="8">
        <f t="shared" si="273"/>
        <v>0.29637566754449052</v>
      </c>
      <c r="AY142" s="8">
        <f t="shared" si="273"/>
        <v>0.46798978774673311</v>
      </c>
      <c r="AZ142" s="8">
        <f t="shared" si="273"/>
        <v>0.41971172052957451</v>
      </c>
      <c r="BA142" s="8">
        <f t="shared" si="273"/>
        <v>0.57119370623394328</v>
      </c>
      <c r="BB142" s="8">
        <f t="shared" si="273"/>
        <v>0.57806468092712504</v>
      </c>
      <c r="BC142" s="8">
        <f t="shared" si="273"/>
        <v>0.56173783564198221</v>
      </c>
      <c r="BD142" s="8">
        <f t="shared" si="273"/>
        <v>0.56710409336021317</v>
      </c>
      <c r="BE142" s="8">
        <f t="shared" si="273"/>
        <v>0.56593700758888554</v>
      </c>
      <c r="BF142" s="8">
        <f t="shared" si="273"/>
        <v>0.70336699316796059</v>
      </c>
      <c r="BG142" s="8">
        <f t="shared" si="273"/>
        <v>0.71827960564731408</v>
      </c>
      <c r="BH142" s="8">
        <f t="shared" si="273"/>
        <v>0.66199833005608588</v>
      </c>
      <c r="BI142" s="8">
        <f t="shared" si="273"/>
        <v>0.65925549240225367</v>
      </c>
      <c r="BJ142" s="8">
        <f t="shared" si="273"/>
        <v>0.64451321418253316</v>
      </c>
      <c r="BK142" s="8"/>
      <c r="BL142" s="8"/>
      <c r="BM142" s="8"/>
      <c r="BN142" s="8">
        <f>BN106-BN141</f>
        <v>0.40601549380110263</v>
      </c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</row>
    <row r="143" spans="1:79" s="5" customFormat="1">
      <c r="A143" s="4" t="s">
        <v>159</v>
      </c>
      <c r="B143" s="54">
        <f t="shared" ref="B143:T143" si="274">B142+B107</f>
        <v>0.43844492367578575</v>
      </c>
      <c r="C143" s="8">
        <f t="shared" si="274"/>
        <v>0.42754789531652898</v>
      </c>
      <c r="D143" s="8">
        <f t="shared" si="274"/>
        <v>0.48314953821457135</v>
      </c>
      <c r="E143" s="8">
        <f t="shared" si="274"/>
        <v>0.45231371000196757</v>
      </c>
      <c r="F143" s="8">
        <f t="shared" si="274"/>
        <v>0.46368010861408038</v>
      </c>
      <c r="G143" s="8">
        <f t="shared" si="274"/>
        <v>0.4717024219937978</v>
      </c>
      <c r="H143" s="8">
        <f t="shared" si="274"/>
        <v>0.43294236112440365</v>
      </c>
      <c r="I143" s="8">
        <f t="shared" si="274"/>
        <v>0.44545748626780446</v>
      </c>
      <c r="J143" s="8">
        <f t="shared" si="274"/>
        <v>0.43369012870288004</v>
      </c>
      <c r="K143" s="54">
        <f t="shared" si="274"/>
        <v>0.44437583958433124</v>
      </c>
      <c r="L143" s="8">
        <f t="shared" si="274"/>
        <v>0.46189851540646532</v>
      </c>
      <c r="M143" s="8">
        <f t="shared" si="274"/>
        <v>0.45881275671556521</v>
      </c>
      <c r="N143" s="8">
        <f t="shared" si="274"/>
        <v>0.51752369581318725</v>
      </c>
      <c r="O143" s="8">
        <f t="shared" si="274"/>
        <v>0.47893179670919428</v>
      </c>
      <c r="P143" s="8">
        <f t="shared" si="274"/>
        <v>0.54194270934511002</v>
      </c>
      <c r="Q143" s="8">
        <f t="shared" si="274"/>
        <v>0.25613962104288968</v>
      </c>
      <c r="R143" s="8">
        <f t="shared" si="274"/>
        <v>0.67592849623252238</v>
      </c>
      <c r="S143" s="8">
        <f t="shared" si="274"/>
        <v>0.65166093591416885</v>
      </c>
      <c r="T143" s="8">
        <f t="shared" si="274"/>
        <v>0.64464830545562346</v>
      </c>
      <c r="U143" s="8">
        <f t="shared" ref="U143:AI143" si="275">U142+U107</f>
        <v>0.6761499385082429</v>
      </c>
      <c r="V143" s="8">
        <f t="shared" si="275"/>
        <v>0.69645188361448762</v>
      </c>
      <c r="W143" s="8">
        <f t="shared" si="275"/>
        <v>0.49748248615061919</v>
      </c>
      <c r="X143" s="8">
        <f t="shared" si="275"/>
        <v>0.58725628012677045</v>
      </c>
      <c r="Y143" s="8">
        <f t="shared" si="275"/>
        <v>0.43579003444033165</v>
      </c>
      <c r="Z143" s="8">
        <f t="shared" si="275"/>
        <v>0.49547588808666143</v>
      </c>
      <c r="AA143" s="8">
        <f t="shared" si="275"/>
        <v>0.34141928818628531</v>
      </c>
      <c r="AB143" s="8">
        <f t="shared" si="275"/>
        <v>0.61206069863301371</v>
      </c>
      <c r="AC143" s="8">
        <f t="shared" si="275"/>
        <v>0.73718272551685504</v>
      </c>
      <c r="AD143" s="8">
        <f t="shared" si="275"/>
        <v>0.75030669467933397</v>
      </c>
      <c r="AE143" s="8">
        <f t="shared" si="275"/>
        <v>0.77166186212315713</v>
      </c>
      <c r="AF143" s="8">
        <f t="shared" si="275"/>
        <v>0.78269873992026384</v>
      </c>
      <c r="AG143" s="8">
        <f t="shared" si="275"/>
        <v>0.78855091824259782</v>
      </c>
      <c r="AH143" s="8">
        <f t="shared" si="275"/>
        <v>0.76109516539663313</v>
      </c>
      <c r="AI143" s="8">
        <f t="shared" si="275"/>
        <v>0.77625297834034568</v>
      </c>
      <c r="AJ143" s="8">
        <f t="shared" ref="AJ143:BJ143" si="276">AJ142+AJ107</f>
        <v>0.761575978126802</v>
      </c>
      <c r="AK143" s="8">
        <f t="shared" si="276"/>
        <v>0.79413874404570228</v>
      </c>
      <c r="AL143" s="8">
        <f t="shared" si="276"/>
        <v>0.8168306027129596</v>
      </c>
      <c r="AM143" s="8">
        <f t="shared" si="276"/>
        <v>0.78515518395403849</v>
      </c>
      <c r="AN143" s="8">
        <f t="shared" si="276"/>
        <v>0.79520462570640327</v>
      </c>
      <c r="AO143" s="8">
        <f t="shared" si="276"/>
        <v>0.80260181079037207</v>
      </c>
      <c r="AP143" s="8">
        <f t="shared" si="276"/>
        <v>0.43621873019761581</v>
      </c>
      <c r="AQ143" s="8">
        <f t="shared" si="276"/>
        <v>0.4132144897188762</v>
      </c>
      <c r="AR143" s="8">
        <f t="shared" si="276"/>
        <v>0.4490105608697616</v>
      </c>
      <c r="AS143" s="8">
        <f t="shared" si="276"/>
        <v>0.46509673836607851</v>
      </c>
      <c r="AT143" s="8">
        <f t="shared" si="276"/>
        <v>0.47288212354331544</v>
      </c>
      <c r="AU143" s="8">
        <f t="shared" si="276"/>
        <v>0.36847704158746275</v>
      </c>
      <c r="AV143" s="8">
        <f t="shared" si="276"/>
        <v>0.47805251890468536</v>
      </c>
      <c r="AW143" s="8">
        <f t="shared" si="276"/>
        <v>0.48431700362497943</v>
      </c>
      <c r="AX143" s="8">
        <f t="shared" si="276"/>
        <v>0.31002637841287672</v>
      </c>
      <c r="AY143" s="8">
        <f t="shared" si="276"/>
        <v>0.48348308744314672</v>
      </c>
      <c r="AZ143" s="8">
        <f t="shared" si="276"/>
        <v>0.45231431855178561</v>
      </c>
      <c r="BA143" s="8">
        <f t="shared" si="276"/>
        <v>0.57882488911512109</v>
      </c>
      <c r="BB143" s="8">
        <f t="shared" si="276"/>
        <v>0.5837987021563964</v>
      </c>
      <c r="BC143" s="8">
        <f t="shared" si="276"/>
        <v>0.56947844202224951</v>
      </c>
      <c r="BD143" s="8">
        <f t="shared" si="276"/>
        <v>0.58049903709163941</v>
      </c>
      <c r="BE143" s="8">
        <f t="shared" si="276"/>
        <v>0.58303594864132324</v>
      </c>
      <c r="BF143" s="8">
        <f t="shared" si="276"/>
        <v>0.72086796716994228</v>
      </c>
      <c r="BG143" s="8">
        <f t="shared" si="276"/>
        <v>0.74562101443296647</v>
      </c>
      <c r="BH143" s="8">
        <f t="shared" si="276"/>
        <v>0.67748574897320268</v>
      </c>
      <c r="BI143" s="8">
        <f t="shared" si="276"/>
        <v>0.66902528781791049</v>
      </c>
      <c r="BJ143" s="8">
        <f t="shared" si="276"/>
        <v>0.66785699846434332</v>
      </c>
      <c r="BK143" s="8"/>
      <c r="BL143" s="8"/>
      <c r="BM143" s="8"/>
      <c r="BN143" s="8">
        <f>BN142+BN107</f>
        <v>0.45192103139741324</v>
      </c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</row>
    <row r="144" spans="1:79" s="5" customFormat="1">
      <c r="A144" s="4"/>
      <c r="B144" s="54"/>
      <c r="C144" s="8"/>
      <c r="D144" s="8"/>
      <c r="E144" s="8"/>
      <c r="F144" s="8"/>
      <c r="G144" s="8"/>
      <c r="H144" s="8"/>
      <c r="I144" s="8"/>
      <c r="J144" s="8"/>
      <c r="K144" s="54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</row>
    <row r="145" spans="1:79" s="5" customFormat="1">
      <c r="A145" s="4" t="s">
        <v>237</v>
      </c>
      <c r="B145" s="54">
        <f t="shared" ref="B145:T145" si="277">B111</f>
        <v>15.438444923675785</v>
      </c>
      <c r="C145" s="8">
        <f t="shared" si="277"/>
        <v>15.427547895316527</v>
      </c>
      <c r="D145" s="8">
        <f t="shared" si="277"/>
        <v>15.483149538214567</v>
      </c>
      <c r="E145" s="8">
        <f t="shared" si="277"/>
        <v>15.45231371000197</v>
      </c>
      <c r="F145" s="8">
        <f t="shared" si="277"/>
        <v>15.46368010861408</v>
      </c>
      <c r="G145" s="8">
        <f t="shared" si="277"/>
        <v>15.471702421993797</v>
      </c>
      <c r="H145" s="8">
        <f t="shared" si="277"/>
        <v>15.432942361124404</v>
      </c>
      <c r="I145" s="8">
        <f t="shared" si="277"/>
        <v>15.445457486267804</v>
      </c>
      <c r="J145" s="8">
        <f t="shared" si="277"/>
        <v>15.43369012870288</v>
      </c>
      <c r="K145" s="54">
        <f t="shared" si="277"/>
        <v>15.444375839584328</v>
      </c>
      <c r="L145" s="8">
        <f t="shared" si="277"/>
        <v>15.461898515406466</v>
      </c>
      <c r="M145" s="8">
        <f t="shared" si="277"/>
        <v>15.458812756715565</v>
      </c>
      <c r="N145" s="8">
        <f t="shared" si="277"/>
        <v>15.517523695813184</v>
      </c>
      <c r="O145" s="8">
        <f t="shared" si="277"/>
        <v>15.478931796709192</v>
      </c>
      <c r="P145" s="8">
        <f t="shared" si="277"/>
        <v>15.541942709345111</v>
      </c>
      <c r="Q145" s="8">
        <f t="shared" si="277"/>
        <v>15.256139621042889</v>
      </c>
      <c r="R145" s="8">
        <f t="shared" si="277"/>
        <v>15.675928496232519</v>
      </c>
      <c r="S145" s="8">
        <f t="shared" si="277"/>
        <v>15.651660935914167</v>
      </c>
      <c r="T145" s="8">
        <f t="shared" si="277"/>
        <v>15.644648305455624</v>
      </c>
      <c r="U145" s="8">
        <f t="shared" ref="U145:AI145" si="278">U111</f>
        <v>15.676149938508244</v>
      </c>
      <c r="V145" s="8">
        <f t="shared" si="278"/>
        <v>15.696451883614486</v>
      </c>
      <c r="W145" s="8">
        <f t="shared" si="278"/>
        <v>15.497482486150618</v>
      </c>
      <c r="X145" s="8">
        <f t="shared" si="278"/>
        <v>15.587256280126772</v>
      </c>
      <c r="Y145" s="8">
        <f t="shared" si="278"/>
        <v>15.435790034440334</v>
      </c>
      <c r="Z145" s="8">
        <f t="shared" si="278"/>
        <v>15.495475888086661</v>
      </c>
      <c r="AA145" s="8">
        <f t="shared" si="278"/>
        <v>15.341419288186286</v>
      </c>
      <c r="AB145" s="8">
        <f t="shared" si="278"/>
        <v>15.612060698633011</v>
      </c>
      <c r="AC145" s="8">
        <f t="shared" si="278"/>
        <v>15.737182725516856</v>
      </c>
      <c r="AD145" s="8">
        <f t="shared" si="278"/>
        <v>15.750306694679335</v>
      </c>
      <c r="AE145" s="8">
        <f t="shared" si="278"/>
        <v>15.771661862123151</v>
      </c>
      <c r="AF145" s="8">
        <f t="shared" si="278"/>
        <v>15.78269873992026</v>
      </c>
      <c r="AG145" s="8">
        <f t="shared" si="278"/>
        <v>15.788550918242596</v>
      </c>
      <c r="AH145" s="8">
        <f t="shared" si="278"/>
        <v>15.761095165396636</v>
      </c>
      <c r="AI145" s="8">
        <f t="shared" si="278"/>
        <v>15.776252978340345</v>
      </c>
      <c r="AJ145" s="8">
        <f t="shared" ref="AJ145:BJ145" si="279">AJ111</f>
        <v>15.761575978126803</v>
      </c>
      <c r="AK145" s="8">
        <f t="shared" si="279"/>
        <v>15.794138744045702</v>
      </c>
      <c r="AL145" s="8">
        <f t="shared" si="279"/>
        <v>15.816830602712956</v>
      </c>
      <c r="AM145" s="8">
        <f t="shared" si="279"/>
        <v>15.785155183954039</v>
      </c>
      <c r="AN145" s="8">
        <f t="shared" si="279"/>
        <v>15.7952046257064</v>
      </c>
      <c r="AO145" s="8">
        <f t="shared" si="279"/>
        <v>15.802601810790371</v>
      </c>
      <c r="AP145" s="8">
        <f t="shared" si="279"/>
        <v>15.436218730197615</v>
      </c>
      <c r="AQ145" s="8">
        <f t="shared" si="279"/>
        <v>15.413214489718873</v>
      </c>
      <c r="AR145" s="8">
        <f t="shared" si="279"/>
        <v>15.449010560869763</v>
      </c>
      <c r="AS145" s="8">
        <f t="shared" si="279"/>
        <v>15.465096738366077</v>
      </c>
      <c r="AT145" s="8">
        <f t="shared" si="279"/>
        <v>15.472882123543318</v>
      </c>
      <c r="AU145" s="8">
        <f t="shared" si="279"/>
        <v>15.368477041587463</v>
      </c>
      <c r="AV145" s="8">
        <f t="shared" si="279"/>
        <v>15.478052518904683</v>
      </c>
      <c r="AW145" s="8">
        <f t="shared" si="279"/>
        <v>15.484317003624977</v>
      </c>
      <c r="AX145" s="8">
        <f t="shared" si="279"/>
        <v>15.310026378412873</v>
      </c>
      <c r="AY145" s="8">
        <f t="shared" si="279"/>
        <v>15.483483087443149</v>
      </c>
      <c r="AZ145" s="8">
        <f t="shared" si="279"/>
        <v>15.452314318551787</v>
      </c>
      <c r="BA145" s="8">
        <f t="shared" si="279"/>
        <v>15.578824889115124</v>
      </c>
      <c r="BB145" s="8">
        <f t="shared" si="279"/>
        <v>15.583798702156397</v>
      </c>
      <c r="BC145" s="8">
        <f t="shared" si="279"/>
        <v>15.569478442022248</v>
      </c>
      <c r="BD145" s="8">
        <f t="shared" si="279"/>
        <v>15.580499037091636</v>
      </c>
      <c r="BE145" s="8">
        <f t="shared" si="279"/>
        <v>15.583035948641323</v>
      </c>
      <c r="BF145" s="8">
        <f t="shared" si="279"/>
        <v>15.720867967169941</v>
      </c>
      <c r="BG145" s="8">
        <f t="shared" si="279"/>
        <v>15.745621014432963</v>
      </c>
      <c r="BH145" s="8">
        <f t="shared" si="279"/>
        <v>15.677485748973202</v>
      </c>
      <c r="BI145" s="8">
        <f t="shared" si="279"/>
        <v>15.669025287817913</v>
      </c>
      <c r="BJ145" s="8">
        <f t="shared" si="279"/>
        <v>15.667856998464339</v>
      </c>
      <c r="BK145" s="8"/>
      <c r="BL145" s="8"/>
      <c r="BM145" s="8"/>
      <c r="BN145" s="8">
        <f>BN111</f>
        <v>15.451921031397418</v>
      </c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</row>
    <row r="146" spans="1:79" s="5" customFormat="1">
      <c r="A146" s="4" t="s">
        <v>128</v>
      </c>
      <c r="B146" s="54">
        <f t="shared" ref="B146:T146" si="280">B92-B100</f>
        <v>-0.16420645710487491</v>
      </c>
      <c r="C146" s="8">
        <f t="shared" si="280"/>
        <v>0</v>
      </c>
      <c r="D146" s="8">
        <f t="shared" si="280"/>
        <v>0</v>
      </c>
      <c r="E146" s="8">
        <f t="shared" si="280"/>
        <v>0</v>
      </c>
      <c r="F146" s="8">
        <f t="shared" si="280"/>
        <v>0</v>
      </c>
      <c r="G146" s="8">
        <f t="shared" si="280"/>
        <v>0</v>
      </c>
      <c r="H146" s="8">
        <f t="shared" si="280"/>
        <v>0</v>
      </c>
      <c r="I146" s="8">
        <f t="shared" si="280"/>
        <v>0</v>
      </c>
      <c r="J146" s="8">
        <f t="shared" si="280"/>
        <v>-8.8981105740089106E-3</v>
      </c>
      <c r="K146" s="54">
        <f t="shared" si="280"/>
        <v>-5.8936742383458807E-2</v>
      </c>
      <c r="L146" s="8">
        <f t="shared" si="280"/>
        <v>0</v>
      </c>
      <c r="M146" s="8">
        <f t="shared" si="280"/>
        <v>0</v>
      </c>
      <c r="N146" s="8">
        <f t="shared" si="280"/>
        <v>-0.30244143096995657</v>
      </c>
      <c r="O146" s="8">
        <f t="shared" si="280"/>
        <v>0</v>
      </c>
      <c r="P146" s="8">
        <f t="shared" si="280"/>
        <v>0</v>
      </c>
      <c r="Q146" s="8">
        <f t="shared" si="280"/>
        <v>0</v>
      </c>
      <c r="R146" s="8">
        <f t="shared" si="280"/>
        <v>0</v>
      </c>
      <c r="S146" s="8">
        <f t="shared" si="280"/>
        <v>0</v>
      </c>
      <c r="T146" s="8">
        <f t="shared" si="280"/>
        <v>0</v>
      </c>
      <c r="U146" s="8">
        <f t="shared" ref="U146:AI146" si="281">U92-U100</f>
        <v>0</v>
      </c>
      <c r="V146" s="8">
        <f t="shared" si="281"/>
        <v>0</v>
      </c>
      <c r="W146" s="8">
        <f t="shared" si="281"/>
        <v>0</v>
      </c>
      <c r="X146" s="8">
        <f t="shared" si="281"/>
        <v>0</v>
      </c>
      <c r="Y146" s="8">
        <f t="shared" si="281"/>
        <v>0</v>
      </c>
      <c r="Z146" s="8">
        <f t="shared" si="281"/>
        <v>0</v>
      </c>
      <c r="AA146" s="8">
        <f t="shared" si="281"/>
        <v>-2.8740480230517562E-2</v>
      </c>
      <c r="AB146" s="8">
        <f t="shared" si="281"/>
        <v>-7.4511431595944089E-2</v>
      </c>
      <c r="AC146" s="8">
        <f t="shared" si="281"/>
        <v>-0.36630941030859532</v>
      </c>
      <c r="AD146" s="8">
        <f t="shared" si="281"/>
        <v>-0.23579859741686704</v>
      </c>
      <c r="AE146" s="8">
        <f t="shared" si="281"/>
        <v>-0.21331441131012241</v>
      </c>
      <c r="AF146" s="8">
        <f t="shared" si="281"/>
        <v>-0.28820024180934212</v>
      </c>
      <c r="AG146" s="8">
        <f t="shared" si="281"/>
        <v>-0.27839903980622438</v>
      </c>
      <c r="AH146" s="8">
        <f t="shared" si="281"/>
        <v>-0.29027860244884351</v>
      </c>
      <c r="AI146" s="8">
        <f t="shared" si="281"/>
        <v>-0.28877603898025939</v>
      </c>
      <c r="AJ146" s="8">
        <f t="shared" ref="AJ146:BJ146" si="282">AJ92-AJ100</f>
        <v>-0.32847166371652037</v>
      </c>
      <c r="AK146" s="8">
        <f t="shared" si="282"/>
        <v>-0.40286285869267147</v>
      </c>
      <c r="AL146" s="8">
        <f t="shared" si="282"/>
        <v>-0.46658563689549482</v>
      </c>
      <c r="AM146" s="8">
        <f t="shared" si="282"/>
        <v>-0.42134921059050612</v>
      </c>
      <c r="AN146" s="8">
        <f t="shared" si="282"/>
        <v>-0.4838088443698183</v>
      </c>
      <c r="AO146" s="8">
        <f t="shared" si="282"/>
        <v>-0.48770283962463878</v>
      </c>
      <c r="AP146" s="8">
        <f t="shared" si="282"/>
        <v>0</v>
      </c>
      <c r="AQ146" s="8">
        <f t="shared" si="282"/>
        <v>0</v>
      </c>
      <c r="AR146" s="8">
        <f t="shared" si="282"/>
        <v>0</v>
      </c>
      <c r="AS146" s="8">
        <f t="shared" si="282"/>
        <v>0</v>
      </c>
      <c r="AT146" s="8">
        <f t="shared" si="282"/>
        <v>0</v>
      </c>
      <c r="AU146" s="8">
        <f t="shared" si="282"/>
        <v>0</v>
      </c>
      <c r="AV146" s="8">
        <f t="shared" si="282"/>
        <v>0</v>
      </c>
      <c r="AW146" s="8">
        <f t="shared" si="282"/>
        <v>0</v>
      </c>
      <c r="AX146" s="8">
        <f t="shared" si="282"/>
        <v>0</v>
      </c>
      <c r="AY146" s="8">
        <f t="shared" si="282"/>
        <v>0</v>
      </c>
      <c r="AZ146" s="8">
        <f t="shared" si="282"/>
        <v>0</v>
      </c>
      <c r="BA146" s="8">
        <f t="shared" si="282"/>
        <v>0</v>
      </c>
      <c r="BB146" s="8">
        <f t="shared" si="282"/>
        <v>0</v>
      </c>
      <c r="BC146" s="8">
        <f t="shared" si="282"/>
        <v>0</v>
      </c>
      <c r="BD146" s="8">
        <f t="shared" si="282"/>
        <v>0</v>
      </c>
      <c r="BE146" s="8">
        <f t="shared" si="282"/>
        <v>0</v>
      </c>
      <c r="BF146" s="8">
        <f t="shared" si="282"/>
        <v>-5.046703424515897E-2</v>
      </c>
      <c r="BG146" s="8">
        <f t="shared" si="282"/>
        <v>-1.5562839668056938E-2</v>
      </c>
      <c r="BH146" s="8">
        <f t="shared" si="282"/>
        <v>-6.2024431876423591E-2</v>
      </c>
      <c r="BI146" s="8">
        <f t="shared" si="282"/>
        <v>-2.280734554094721E-2</v>
      </c>
      <c r="BJ146" s="8">
        <f t="shared" si="282"/>
        <v>0</v>
      </c>
      <c r="BK146" s="8"/>
      <c r="BL146" s="8"/>
      <c r="BM146" s="8"/>
      <c r="BN146" s="8">
        <f>BN92-BN100</f>
        <v>0</v>
      </c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</row>
    <row r="147" spans="1:79" s="5" customFormat="1">
      <c r="A147" s="4"/>
      <c r="B147" s="54"/>
      <c r="C147" s="8"/>
      <c r="D147" s="8"/>
      <c r="E147" s="8"/>
      <c r="F147" s="8"/>
      <c r="G147" s="8"/>
      <c r="H147" s="8"/>
      <c r="I147" s="8"/>
      <c r="J147" s="8"/>
      <c r="K147" s="54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</row>
    <row r="148" spans="1:79" s="5" customFormat="1">
      <c r="A148" s="4" t="s">
        <v>94</v>
      </c>
      <c r="B148" s="54"/>
      <c r="C148" s="8"/>
      <c r="D148" s="8"/>
      <c r="E148" s="8"/>
      <c r="F148" s="8"/>
      <c r="G148" s="8"/>
      <c r="H148" s="8"/>
      <c r="I148" s="8"/>
      <c r="J148" s="8"/>
      <c r="K148" s="54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</row>
    <row r="149" spans="1:79" s="5" customFormat="1">
      <c r="A149" s="4" t="s">
        <v>21</v>
      </c>
      <c r="B149" s="54">
        <f>IF(B11115&lt;0, 0, IF(B111-15&gt;B106+B107, B106+B107,  B111-15))</f>
        <v>0.43844492367578525</v>
      </c>
      <c r="C149" s="8">
        <f t="shared" ref="C149:T149" si="283">IF(C111-15&lt;0, 0, IF(C111-15&gt;C106+C107, C106+C107,  C111-15))</f>
        <v>0.42754789531652726</v>
      </c>
      <c r="D149" s="8">
        <f t="shared" si="283"/>
        <v>0.48314953821456719</v>
      </c>
      <c r="E149" s="8">
        <f t="shared" si="283"/>
        <v>0.45231371000196757</v>
      </c>
      <c r="F149" s="8">
        <f t="shared" si="283"/>
        <v>0.4636801086140796</v>
      </c>
      <c r="G149" s="8">
        <f t="shared" si="283"/>
        <v>0.47170242199379686</v>
      </c>
      <c r="H149" s="8">
        <f t="shared" si="283"/>
        <v>0.43294236112440387</v>
      </c>
      <c r="I149" s="8">
        <f t="shared" si="283"/>
        <v>0.44545748626780401</v>
      </c>
      <c r="J149" s="8">
        <f t="shared" si="283"/>
        <v>0.43369012870287982</v>
      </c>
      <c r="K149" s="54">
        <f t="shared" si="283"/>
        <v>0.44437583958432825</v>
      </c>
      <c r="L149" s="8">
        <f t="shared" si="283"/>
        <v>0.46189851540646532</v>
      </c>
      <c r="M149" s="8">
        <f t="shared" si="283"/>
        <v>0.45881275671556487</v>
      </c>
      <c r="N149" s="8">
        <f t="shared" si="283"/>
        <v>0.51752369581318369</v>
      </c>
      <c r="O149" s="8">
        <f t="shared" si="283"/>
        <v>0.47893179670919217</v>
      </c>
      <c r="P149" s="8">
        <f t="shared" si="283"/>
        <v>0.54194270934511002</v>
      </c>
      <c r="Q149" s="8">
        <f t="shared" si="283"/>
        <v>0.25613962104288923</v>
      </c>
      <c r="R149" s="8">
        <f t="shared" si="283"/>
        <v>0.67592849623251894</v>
      </c>
      <c r="S149" s="8">
        <f t="shared" si="283"/>
        <v>0.65166093591416718</v>
      </c>
      <c r="T149" s="8">
        <f t="shared" si="283"/>
        <v>0.64464830545562346</v>
      </c>
      <c r="U149" s="8">
        <f t="shared" ref="U149:AI149" si="284">IF(U111-15&lt;0, 0, IF(U111-15&gt;U106+U107, U106+U107,  U111-15))</f>
        <v>0.6761499385082429</v>
      </c>
      <c r="V149" s="8">
        <f t="shared" si="284"/>
        <v>0.69645188361448618</v>
      </c>
      <c r="W149" s="8">
        <f t="shared" si="284"/>
        <v>0.49748248615061819</v>
      </c>
      <c r="X149" s="8">
        <f t="shared" si="284"/>
        <v>0.58725628012677045</v>
      </c>
      <c r="Y149" s="8">
        <f t="shared" si="284"/>
        <v>0.43579003444033165</v>
      </c>
      <c r="Z149" s="8">
        <f t="shared" si="284"/>
        <v>0.49547588808666099</v>
      </c>
      <c r="AA149" s="8">
        <f t="shared" si="284"/>
        <v>0.34141928818628531</v>
      </c>
      <c r="AB149" s="8">
        <f t="shared" si="284"/>
        <v>0.6120606986330106</v>
      </c>
      <c r="AC149" s="8">
        <f t="shared" si="284"/>
        <v>0.73718272551685504</v>
      </c>
      <c r="AD149" s="8">
        <f t="shared" si="284"/>
        <v>0.75030669467933397</v>
      </c>
      <c r="AE149" s="8">
        <f t="shared" si="284"/>
        <v>0.77166186212315147</v>
      </c>
      <c r="AF149" s="8">
        <f t="shared" si="284"/>
        <v>0.78269873992026007</v>
      </c>
      <c r="AG149" s="8">
        <f t="shared" si="284"/>
        <v>0.7885509182425956</v>
      </c>
      <c r="AH149" s="8">
        <f t="shared" si="284"/>
        <v>0.76109516539663313</v>
      </c>
      <c r="AI149" s="8">
        <f t="shared" si="284"/>
        <v>0.77625297834034512</v>
      </c>
      <c r="AJ149" s="8">
        <f t="shared" ref="AJ149:BJ149" si="285">IF(AJ111-15&lt;0, 0, IF(AJ111-15&gt;AJ106+AJ107, AJ106+AJ107,  AJ111-15))</f>
        <v>0.761575978126802</v>
      </c>
      <c r="AK149" s="8">
        <f t="shared" si="285"/>
        <v>0.79413874404570173</v>
      </c>
      <c r="AL149" s="8">
        <f t="shared" si="285"/>
        <v>0.81683060271295638</v>
      </c>
      <c r="AM149" s="8">
        <f t="shared" si="285"/>
        <v>0.78515518395403849</v>
      </c>
      <c r="AN149" s="8">
        <f t="shared" si="285"/>
        <v>0.79520462570640049</v>
      </c>
      <c r="AO149" s="8">
        <f t="shared" si="285"/>
        <v>0.80260181079037096</v>
      </c>
      <c r="AP149" s="8">
        <f t="shared" si="285"/>
        <v>0.43621873019761459</v>
      </c>
      <c r="AQ149" s="8">
        <f t="shared" si="285"/>
        <v>0.41321448971887342</v>
      </c>
      <c r="AR149" s="8">
        <f t="shared" si="285"/>
        <v>0.4490105608697616</v>
      </c>
      <c r="AS149" s="8">
        <f t="shared" si="285"/>
        <v>0.46509673836607668</v>
      </c>
      <c r="AT149" s="8">
        <f t="shared" si="285"/>
        <v>0.47288212354331544</v>
      </c>
      <c r="AU149" s="8">
        <f t="shared" si="285"/>
        <v>0.36847704158746275</v>
      </c>
      <c r="AV149" s="8">
        <f t="shared" si="285"/>
        <v>0.4780525189046827</v>
      </c>
      <c r="AW149" s="8">
        <f t="shared" si="285"/>
        <v>0.48431700362497665</v>
      </c>
      <c r="AX149" s="8">
        <f t="shared" si="285"/>
        <v>0.31002637841287317</v>
      </c>
      <c r="AY149" s="8">
        <f t="shared" si="285"/>
        <v>0.48348308744314672</v>
      </c>
      <c r="AZ149" s="8">
        <f t="shared" si="285"/>
        <v>0.45231431855178561</v>
      </c>
      <c r="BA149" s="8">
        <f t="shared" si="285"/>
        <v>0.57882488911512109</v>
      </c>
      <c r="BB149" s="8">
        <f t="shared" si="285"/>
        <v>0.5837987021563964</v>
      </c>
      <c r="BC149" s="8">
        <f t="shared" si="285"/>
        <v>0.56947844202224829</v>
      </c>
      <c r="BD149" s="8">
        <f t="shared" si="285"/>
        <v>0.58049903709163608</v>
      </c>
      <c r="BE149" s="8">
        <f t="shared" si="285"/>
        <v>0.58303594864132258</v>
      </c>
      <c r="BF149" s="8">
        <f t="shared" si="285"/>
        <v>0.72086796716994073</v>
      </c>
      <c r="BG149" s="8">
        <f t="shared" si="285"/>
        <v>0.74562101443296314</v>
      </c>
      <c r="BH149" s="8">
        <f t="shared" si="285"/>
        <v>0.67748574897320246</v>
      </c>
      <c r="BI149" s="8">
        <f t="shared" si="285"/>
        <v>0.66902528781791049</v>
      </c>
      <c r="BJ149" s="8">
        <f t="shared" si="285"/>
        <v>0.66785699846433921</v>
      </c>
      <c r="BK149" s="8"/>
      <c r="BL149" s="8"/>
      <c r="BM149" s="8"/>
      <c r="BN149" s="8">
        <f>IF(BN111-15&lt;0, 0, IF(BN111-15&gt;BN106+BN107, BN106+BN107,  BN111-15))</f>
        <v>0.45192103139741324</v>
      </c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</row>
    <row r="150" spans="1:79" s="5" customFormat="1">
      <c r="A150" s="4" t="s">
        <v>211</v>
      </c>
      <c r="B150" s="54">
        <f t="shared" ref="B150:T150" si="286">IF(B182&gt;2, IF(B105&gt;2, 0, 2-B105), B181)</f>
        <v>4.9960036108132044E-16</v>
      </c>
      <c r="C150" s="8">
        <f t="shared" si="286"/>
        <v>1.7208456881689926E-15</v>
      </c>
      <c r="D150" s="8">
        <f t="shared" si="286"/>
        <v>4.163336342344337E-15</v>
      </c>
      <c r="E150" s="8">
        <f t="shared" si="286"/>
        <v>0</v>
      </c>
      <c r="F150" s="8">
        <f t="shared" si="286"/>
        <v>7.7715611723760958E-16</v>
      </c>
      <c r="G150" s="8">
        <f t="shared" si="286"/>
        <v>9.4368957093138306E-16</v>
      </c>
      <c r="H150" s="8">
        <f t="shared" si="286"/>
        <v>0</v>
      </c>
      <c r="I150" s="8">
        <f t="shared" si="286"/>
        <v>4.4408920985006262E-16</v>
      </c>
      <c r="J150" s="8">
        <f t="shared" si="286"/>
        <v>0</v>
      </c>
      <c r="K150" s="54">
        <f t="shared" si="286"/>
        <v>2.9976021664879227E-15</v>
      </c>
      <c r="L150" s="8">
        <f t="shared" si="286"/>
        <v>0</v>
      </c>
      <c r="M150" s="8">
        <f t="shared" si="286"/>
        <v>0</v>
      </c>
      <c r="N150" s="8">
        <f t="shared" si="286"/>
        <v>3.5527136788005009E-15</v>
      </c>
      <c r="O150" s="8">
        <f t="shared" si="286"/>
        <v>2.1094237467877974E-15</v>
      </c>
      <c r="P150" s="8">
        <f t="shared" si="286"/>
        <v>0</v>
      </c>
      <c r="Q150" s="8">
        <f t="shared" si="286"/>
        <v>4.4408920985006262E-16</v>
      </c>
      <c r="R150" s="8">
        <f t="shared" si="286"/>
        <v>3.4416913763379853E-15</v>
      </c>
      <c r="S150" s="8">
        <f t="shared" si="286"/>
        <v>1.6653345369377348E-15</v>
      </c>
      <c r="T150" s="8">
        <f t="shared" si="286"/>
        <v>0</v>
      </c>
      <c r="U150" s="8">
        <f t="shared" ref="U150:AI150" si="287">IF(U182&gt;2, IF(U105&gt;2, 0, 2-U105), U181)</f>
        <v>0</v>
      </c>
      <c r="V150" s="8">
        <f t="shared" si="287"/>
        <v>1.4432899320127035E-15</v>
      </c>
      <c r="W150" s="8">
        <f t="shared" si="287"/>
        <v>9.9920072216264089E-16</v>
      </c>
      <c r="X150" s="8">
        <f t="shared" si="287"/>
        <v>0</v>
      </c>
      <c r="Y150" s="8">
        <f t="shared" si="287"/>
        <v>0</v>
      </c>
      <c r="Z150" s="8">
        <f t="shared" si="287"/>
        <v>0</v>
      </c>
      <c r="AA150" s="8">
        <f t="shared" si="287"/>
        <v>0</v>
      </c>
      <c r="AB150" s="8">
        <f t="shared" si="287"/>
        <v>3.1086244689504383E-15</v>
      </c>
      <c r="AC150" s="8">
        <f t="shared" si="287"/>
        <v>0</v>
      </c>
      <c r="AD150" s="8">
        <f t="shared" si="287"/>
        <v>0</v>
      </c>
      <c r="AE150" s="8">
        <f t="shared" si="287"/>
        <v>5.6621374255882984E-15</v>
      </c>
      <c r="AF150" s="8">
        <f t="shared" si="287"/>
        <v>3.7747582837255322E-15</v>
      </c>
      <c r="AG150" s="8">
        <f t="shared" si="287"/>
        <v>2.2204460492503131E-15</v>
      </c>
      <c r="AH150" s="8">
        <f t="shared" si="287"/>
        <v>0</v>
      </c>
      <c r="AI150" s="8">
        <f t="shared" si="287"/>
        <v>0</v>
      </c>
      <c r="AJ150" s="8">
        <f t="shared" ref="AJ150:BJ150" si="288">IF(AJ182&gt;2, IF(AJ105&gt;2, 0, 2-AJ105), AJ181)</f>
        <v>0</v>
      </c>
      <c r="AK150" s="8">
        <f t="shared" si="288"/>
        <v>0</v>
      </c>
      <c r="AL150" s="8">
        <f t="shared" si="288"/>
        <v>3.219646771412954E-15</v>
      </c>
      <c r="AM150" s="8">
        <f t="shared" si="288"/>
        <v>0</v>
      </c>
      <c r="AN150" s="8">
        <f t="shared" si="288"/>
        <v>2.7755575615628914E-15</v>
      </c>
      <c r="AO150" s="8">
        <f t="shared" si="288"/>
        <v>1.1102230246251565E-15</v>
      </c>
      <c r="AP150" s="8">
        <f t="shared" si="288"/>
        <v>1.2212453270876722E-15</v>
      </c>
      <c r="AQ150" s="8">
        <f t="shared" si="288"/>
        <v>2.7755575615628914E-15</v>
      </c>
      <c r="AR150" s="8">
        <f t="shared" si="288"/>
        <v>0</v>
      </c>
      <c r="AS150" s="8">
        <f t="shared" si="288"/>
        <v>1.8318679906315083E-15</v>
      </c>
      <c r="AT150" s="8">
        <f t="shared" si="288"/>
        <v>0</v>
      </c>
      <c r="AU150" s="8">
        <f t="shared" si="288"/>
        <v>0</v>
      </c>
      <c r="AV150" s="8">
        <f t="shared" si="288"/>
        <v>2.6645352591003757E-15</v>
      </c>
      <c r="AW150" s="8">
        <f t="shared" si="288"/>
        <v>2.7755575615628914E-15</v>
      </c>
      <c r="AX150" s="8">
        <f t="shared" si="288"/>
        <v>0</v>
      </c>
      <c r="AY150" s="8">
        <f t="shared" si="288"/>
        <v>0</v>
      </c>
      <c r="AZ150" s="8">
        <f t="shared" si="288"/>
        <v>0</v>
      </c>
      <c r="BA150" s="8">
        <f t="shared" si="288"/>
        <v>0</v>
      </c>
      <c r="BB150" s="8">
        <f t="shared" si="288"/>
        <v>0</v>
      </c>
      <c r="BC150" s="8">
        <f t="shared" si="288"/>
        <v>1.2212453270876722E-15</v>
      </c>
      <c r="BD150" s="8">
        <f t="shared" si="288"/>
        <v>3.3306690738754696E-15</v>
      </c>
      <c r="BE150" s="8">
        <f t="shared" si="288"/>
        <v>0</v>
      </c>
      <c r="BF150" s="8">
        <f t="shared" si="288"/>
        <v>1.5543122344752192E-15</v>
      </c>
      <c r="BG150" s="8">
        <f t="shared" si="288"/>
        <v>3.3306690738754696E-15</v>
      </c>
      <c r="BH150" s="8">
        <f t="shared" si="288"/>
        <v>0</v>
      </c>
      <c r="BI150" s="8">
        <f t="shared" si="288"/>
        <v>0</v>
      </c>
      <c r="BJ150" s="8">
        <f t="shared" si="288"/>
        <v>4.1078251911130792E-15</v>
      </c>
      <c r="BK150" s="8"/>
      <c r="BL150" s="8"/>
      <c r="BM150" s="8"/>
      <c r="BN150" s="8">
        <f>IF(BN182&gt;2, IF(BN105&gt;2, 0, 2-BN105), BN181)</f>
        <v>0</v>
      </c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</row>
    <row r="151" spans="1:79" s="5" customFormat="1">
      <c r="A151" s="4" t="s">
        <v>12</v>
      </c>
      <c r="B151" s="54">
        <f t="shared" ref="B151:T151" si="289">IF(B137+B98+2*B97+B185&gt;B184, B184, B137+B98+2*B97+B185)</f>
        <v>0.59631971973117004</v>
      </c>
      <c r="C151" s="8">
        <f t="shared" si="289"/>
        <v>0.88873688038355703</v>
      </c>
      <c r="D151" s="8">
        <f t="shared" si="289"/>
        <v>0.87448282462314442</v>
      </c>
      <c r="E151" s="8">
        <f t="shared" si="289"/>
        <v>0.93916089526547086</v>
      </c>
      <c r="F151" s="8">
        <f t="shared" si="289"/>
        <v>0.87397363338360057</v>
      </c>
      <c r="G151" s="8">
        <f t="shared" si="289"/>
        <v>0.97043778017489402</v>
      </c>
      <c r="H151" s="8">
        <f t="shared" si="289"/>
        <v>0.90957718981349123</v>
      </c>
      <c r="I151" s="8">
        <f t="shared" si="289"/>
        <v>0.88338419031628934</v>
      </c>
      <c r="J151" s="8">
        <f t="shared" si="289"/>
        <v>0.78242284657802852</v>
      </c>
      <c r="K151" s="54">
        <f t="shared" si="289"/>
        <v>0.65392531117446939</v>
      </c>
      <c r="L151" s="8">
        <f t="shared" si="289"/>
        <v>0.83585556688770646</v>
      </c>
      <c r="M151" s="8">
        <f t="shared" si="289"/>
        <v>0.90305756675179172</v>
      </c>
      <c r="N151" s="8">
        <f t="shared" si="289"/>
        <v>0.6810547663366</v>
      </c>
      <c r="O151" s="8">
        <f t="shared" si="289"/>
        <v>0.98378895666780153</v>
      </c>
      <c r="P151" s="8">
        <f t="shared" si="289"/>
        <v>0.74102961332021555</v>
      </c>
      <c r="Q151" s="8">
        <f t="shared" si="289"/>
        <v>0.3347865340213495</v>
      </c>
      <c r="R151" s="8">
        <f t="shared" si="289"/>
        <v>0.87919854811736009</v>
      </c>
      <c r="S151" s="8">
        <f t="shared" si="289"/>
        <v>0.91533397882132483</v>
      </c>
      <c r="T151" s="8">
        <f t="shared" si="289"/>
        <v>0.96860307357587483</v>
      </c>
      <c r="U151" s="8">
        <f t="shared" ref="U151:AI151" si="290">IF(U137+U98+2*U97+U185&gt;U184, U184, U137+U98+2*U97+U185)</f>
        <v>0.95688252999632473</v>
      </c>
      <c r="V151" s="8">
        <f t="shared" si="290"/>
        <v>0.93993168831926799</v>
      </c>
      <c r="W151" s="8">
        <f t="shared" si="290"/>
        <v>0.62910031963770652</v>
      </c>
      <c r="X151" s="8">
        <f t="shared" si="290"/>
        <v>0.77413512015524855</v>
      </c>
      <c r="Y151" s="8">
        <f t="shared" si="290"/>
        <v>1.3776257379940011</v>
      </c>
      <c r="Z151" s="8">
        <f t="shared" si="290"/>
        <v>0.88092820079007872</v>
      </c>
      <c r="AA151" s="8">
        <f t="shared" si="290"/>
        <v>0.74103485221916399</v>
      </c>
      <c r="AB151" s="8">
        <f t="shared" si="290"/>
        <v>0.8743438088297335</v>
      </c>
      <c r="AC151" s="8">
        <f t="shared" si="290"/>
        <v>0.81732212999734988</v>
      </c>
      <c r="AD151" s="8">
        <f t="shared" si="290"/>
        <v>0.88228365170905287</v>
      </c>
      <c r="AE151" s="8">
        <f t="shared" si="290"/>
        <v>0.89742927588889554</v>
      </c>
      <c r="AF151" s="8">
        <f t="shared" si="290"/>
        <v>0.79970989101818191</v>
      </c>
      <c r="AG151" s="8">
        <f t="shared" si="290"/>
        <v>0.90340848962783227</v>
      </c>
      <c r="AH151" s="8">
        <f t="shared" si="290"/>
        <v>0.85785048608556047</v>
      </c>
      <c r="AI151" s="8">
        <f t="shared" si="290"/>
        <v>0.88240038398979426</v>
      </c>
      <c r="AJ151" s="8">
        <f t="shared" ref="AJ151:BJ151" si="291">IF(AJ137+AJ98+2*AJ97+AJ185&gt;AJ184, AJ184, AJ137+AJ98+2*AJ97+AJ185)</f>
        <v>0.79712699573048373</v>
      </c>
      <c r="AK151" s="8">
        <f t="shared" si="291"/>
        <v>0.63028786626004063</v>
      </c>
      <c r="AL151" s="8">
        <f t="shared" si="291"/>
        <v>0.63706825885364271</v>
      </c>
      <c r="AM151" s="8">
        <f t="shared" si="291"/>
        <v>0.62316004406776915</v>
      </c>
      <c r="AN151" s="8">
        <f t="shared" si="291"/>
        <v>0.57352339464812641</v>
      </c>
      <c r="AO151" s="8">
        <f t="shared" si="291"/>
        <v>0.56698912203918184</v>
      </c>
      <c r="AP151" s="8">
        <f t="shared" si="291"/>
        <v>0.90003789882263252</v>
      </c>
      <c r="AQ151" s="8">
        <f t="shared" si="291"/>
        <v>0.89077145732617513</v>
      </c>
      <c r="AR151" s="8">
        <f t="shared" si="291"/>
        <v>0.90078955915699865</v>
      </c>
      <c r="AS151" s="8">
        <f t="shared" si="291"/>
        <v>0.91633354506855902</v>
      </c>
      <c r="AT151" s="8">
        <f t="shared" si="291"/>
        <v>0.85920192843164944</v>
      </c>
      <c r="AU151" s="8">
        <f t="shared" si="291"/>
        <v>0.75741410369701612</v>
      </c>
      <c r="AV151" s="8">
        <f t="shared" si="291"/>
        <v>0.88163216457100579</v>
      </c>
      <c r="AW151" s="8">
        <f t="shared" si="291"/>
        <v>0.98498294665276998</v>
      </c>
      <c r="AX151" s="8">
        <f t="shared" si="291"/>
        <v>1.0748935350701301</v>
      </c>
      <c r="AY151" s="8">
        <f t="shared" si="291"/>
        <v>0.86503872683273364</v>
      </c>
      <c r="AZ151" s="8">
        <f t="shared" si="291"/>
        <v>0.88431424545883208</v>
      </c>
      <c r="BA151" s="8">
        <f t="shared" si="291"/>
        <v>0.9540905650550453</v>
      </c>
      <c r="BB151" s="8">
        <f t="shared" si="291"/>
        <v>0.95358333977095733</v>
      </c>
      <c r="BC151" s="8">
        <f t="shared" si="291"/>
        <v>1.0133102107748766</v>
      </c>
      <c r="BD151" s="8">
        <f t="shared" si="291"/>
        <v>0.98987064136266234</v>
      </c>
      <c r="BE151" s="8">
        <f t="shared" si="291"/>
        <v>1.0392601581681888</v>
      </c>
      <c r="BF151" s="8">
        <f t="shared" si="291"/>
        <v>0.91458979251217709</v>
      </c>
      <c r="BG151" s="8">
        <f t="shared" si="291"/>
        <v>0.93734724241952261</v>
      </c>
      <c r="BH151" s="8">
        <f t="shared" si="291"/>
        <v>0.85416461115951847</v>
      </c>
      <c r="BI151" s="8">
        <f t="shared" si="291"/>
        <v>0.97394055465423601</v>
      </c>
      <c r="BJ151" s="8">
        <f t="shared" si="291"/>
        <v>0.9544291945095118</v>
      </c>
      <c r="BK151" s="8"/>
      <c r="BL151" s="8"/>
      <c r="BM151" s="8"/>
      <c r="BN151" s="8">
        <f>IF(BN137+BN98+2*BN97+BN185&gt;BN184, BN184, BN137+BN98+2*BN97+BN185)</f>
        <v>0.86732172570005095</v>
      </c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</row>
    <row r="152" spans="1:79" s="5" customFormat="1">
      <c r="A152" s="4" t="s">
        <v>251</v>
      </c>
      <c r="B152" s="54">
        <f t="shared" ref="B152:T152" si="292">B98/2</f>
        <v>2.9643276999023402E-3</v>
      </c>
      <c r="C152" s="8">
        <f t="shared" si="292"/>
        <v>2.3370068958184506E-3</v>
      </c>
      <c r="D152" s="8">
        <f t="shared" si="292"/>
        <v>1.7512063996935484E-3</v>
      </c>
      <c r="E152" s="8">
        <f t="shared" si="292"/>
        <v>2.9664600582663702E-3</v>
      </c>
      <c r="F152" s="8">
        <f t="shared" si="292"/>
        <v>1.7576458861166086E-3</v>
      </c>
      <c r="G152" s="8">
        <f t="shared" si="292"/>
        <v>1.172162455931914E-3</v>
      </c>
      <c r="H152" s="8">
        <f t="shared" si="292"/>
        <v>4.0972669474178191E-3</v>
      </c>
      <c r="I152" s="8">
        <f t="shared" si="292"/>
        <v>2.9086948102787576E-3</v>
      </c>
      <c r="J152" s="8">
        <f t="shared" si="292"/>
        <v>3.5015228481295739E-3</v>
      </c>
      <c r="K152" s="54">
        <f t="shared" si="292"/>
        <v>6.1736872754099509E-4</v>
      </c>
      <c r="L152" s="8">
        <f t="shared" si="292"/>
        <v>2.9030366419770096E-3</v>
      </c>
      <c r="M152" s="8">
        <f t="shared" si="292"/>
        <v>2.3464940017986408E-3</v>
      </c>
      <c r="N152" s="8">
        <f t="shared" si="292"/>
        <v>3.5282337021997762E-3</v>
      </c>
      <c r="O152" s="8">
        <f t="shared" si="292"/>
        <v>2.3327484046367481E-3</v>
      </c>
      <c r="P152" s="8">
        <f t="shared" si="292"/>
        <v>5.3459482109717311E-3</v>
      </c>
      <c r="Q152" s="8">
        <f t="shared" si="292"/>
        <v>1.146490972449754E-3</v>
      </c>
      <c r="R152" s="8">
        <f t="shared" si="292"/>
        <v>6.5307213591533258E-3</v>
      </c>
      <c r="S152" s="8">
        <f t="shared" si="292"/>
        <v>6.5217351311675498E-3</v>
      </c>
      <c r="T152" s="8">
        <f t="shared" si="292"/>
        <v>5.9248984587991094E-3</v>
      </c>
      <c r="U152" s="8">
        <f t="shared" ref="U152:AI152" si="293">U98/2</f>
        <v>6.5805990647685312E-3</v>
      </c>
      <c r="V152" s="8">
        <f t="shared" si="293"/>
        <v>5.9565602089385354E-3</v>
      </c>
      <c r="W152" s="8">
        <f t="shared" si="293"/>
        <v>4.1753701950734542E-3</v>
      </c>
      <c r="X152" s="8">
        <f t="shared" si="293"/>
        <v>4.1493321905629686E-3</v>
      </c>
      <c r="Y152" s="8">
        <f t="shared" si="293"/>
        <v>1.013236806708075E-2</v>
      </c>
      <c r="Z152" s="8">
        <f t="shared" si="293"/>
        <v>5.3048170126017979E-3</v>
      </c>
      <c r="AA152" s="8">
        <f t="shared" si="293"/>
        <v>5.237231055443315E-3</v>
      </c>
      <c r="AB152" s="8">
        <f t="shared" si="293"/>
        <v>6.3975924542171445E-3</v>
      </c>
      <c r="AC152" s="8">
        <f t="shared" si="293"/>
        <v>1.462919714757447E-2</v>
      </c>
      <c r="AD152" s="8">
        <f t="shared" si="293"/>
        <v>1.3522532154593868E-2</v>
      </c>
      <c r="AE152" s="8">
        <f t="shared" si="293"/>
        <v>6.477127406179845E-3</v>
      </c>
      <c r="AF152" s="8">
        <f t="shared" si="293"/>
        <v>8.8369402225667061E-3</v>
      </c>
      <c r="AG152" s="8">
        <f t="shared" si="293"/>
        <v>3.5310176532728586E-3</v>
      </c>
      <c r="AH152" s="8">
        <f t="shared" si="293"/>
        <v>1.1629084190624788E-3</v>
      </c>
      <c r="AI152" s="8">
        <f t="shared" si="293"/>
        <v>2.9657506102061652E-3</v>
      </c>
      <c r="AJ152" s="8">
        <f t="shared" ref="AJ152:BJ152" si="294">AJ98/2</f>
        <v>2.3537430212775125E-3</v>
      </c>
      <c r="AK152" s="8">
        <f t="shared" si="294"/>
        <v>1.1836244195597985E-3</v>
      </c>
      <c r="AL152" s="8">
        <f t="shared" si="294"/>
        <v>1.1894227649359185E-3</v>
      </c>
      <c r="AM152" s="8">
        <f t="shared" si="294"/>
        <v>3.531431461480143E-3</v>
      </c>
      <c r="AN152" s="8">
        <f t="shared" si="294"/>
        <v>4.1522500813715724E-3</v>
      </c>
      <c r="AO152" s="8">
        <f t="shared" si="294"/>
        <v>4.144207233452454E-3</v>
      </c>
      <c r="AP152" s="8">
        <f t="shared" si="294"/>
        <v>2.973686701375506E-3</v>
      </c>
      <c r="AQ152" s="8">
        <f t="shared" si="294"/>
        <v>2.9699818938825878E-3</v>
      </c>
      <c r="AR152" s="8">
        <f t="shared" si="294"/>
        <v>1.7850190898749962E-3</v>
      </c>
      <c r="AS152" s="8">
        <f t="shared" si="294"/>
        <v>1.7833913551390797E-3</v>
      </c>
      <c r="AT152" s="8">
        <f t="shared" si="294"/>
        <v>1.2005197202860105E-3</v>
      </c>
      <c r="AU152" s="8">
        <f t="shared" si="294"/>
        <v>1.7814115637301438E-3</v>
      </c>
      <c r="AV152" s="8">
        <f t="shared" si="294"/>
        <v>1.1944622856739414E-3</v>
      </c>
      <c r="AW152" s="8">
        <f t="shared" si="294"/>
        <v>0</v>
      </c>
      <c r="AX152" s="8">
        <f t="shared" si="294"/>
        <v>1.8129343972539073E-3</v>
      </c>
      <c r="AY152" s="8">
        <f t="shared" si="294"/>
        <v>3.0007343195323421E-3</v>
      </c>
      <c r="AZ152" s="8">
        <f t="shared" si="294"/>
        <v>1.1886031854607176E-3</v>
      </c>
      <c r="BA152" s="8">
        <f t="shared" si="294"/>
        <v>1.1824028615662096E-3</v>
      </c>
      <c r="BB152" s="8">
        <f t="shared" si="294"/>
        <v>1.1845997691907729E-3</v>
      </c>
      <c r="BC152" s="8">
        <f t="shared" si="294"/>
        <v>1.7990359968033751E-3</v>
      </c>
      <c r="BD152" s="8">
        <f t="shared" si="294"/>
        <v>1.1859775154627356E-3</v>
      </c>
      <c r="BE152" s="8">
        <f t="shared" si="294"/>
        <v>5.8874917543972553E-4</v>
      </c>
      <c r="BF152" s="8">
        <f t="shared" si="294"/>
        <v>1.8077758116353921E-3</v>
      </c>
      <c r="BG152" s="8">
        <f t="shared" si="294"/>
        <v>0</v>
      </c>
      <c r="BH152" s="8">
        <f t="shared" si="294"/>
        <v>1.799757199932992E-3</v>
      </c>
      <c r="BI152" s="8">
        <f t="shared" si="294"/>
        <v>1.2110137299821775E-3</v>
      </c>
      <c r="BJ152" s="8">
        <f t="shared" si="294"/>
        <v>6.0282828504162737E-4</v>
      </c>
      <c r="BK152" s="8"/>
      <c r="BL152" s="8"/>
      <c r="BM152" s="8"/>
      <c r="BN152" s="8">
        <f>BN98/2</f>
        <v>2.4931354332220919E-3</v>
      </c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</row>
    <row r="153" spans="1:79" s="5" customFormat="1">
      <c r="A153" s="4" t="s">
        <v>252</v>
      </c>
      <c r="B153" s="54">
        <f t="shared" ref="B153:T153" si="295">B185/2</f>
        <v>0</v>
      </c>
      <c r="C153" s="8">
        <f t="shared" si="295"/>
        <v>6.2533223612373234E-2</v>
      </c>
      <c r="D153" s="8">
        <f t="shared" si="295"/>
        <v>2.5752476622518117E-2</v>
      </c>
      <c r="E153" s="8">
        <f t="shared" si="295"/>
        <v>8.0713961962764813E-2</v>
      </c>
      <c r="F153" s="8">
        <f t="shared" si="295"/>
        <v>3.2133024340826211E-2</v>
      </c>
      <c r="G153" s="8">
        <f t="shared" si="295"/>
        <v>9.97137630937317E-2</v>
      </c>
      <c r="H153" s="8">
        <f t="shared" si="295"/>
        <v>4.8039834509001622E-2</v>
      </c>
      <c r="I153" s="8">
        <f t="shared" si="295"/>
        <v>4.3437278985365424E-2</v>
      </c>
      <c r="J153" s="8">
        <f t="shared" si="295"/>
        <v>0</v>
      </c>
      <c r="K153" s="54">
        <f t="shared" si="295"/>
        <v>0</v>
      </c>
      <c r="L153" s="8">
        <f t="shared" si="295"/>
        <v>1.3360547854841087E-2</v>
      </c>
      <c r="M153" s="8">
        <f t="shared" si="295"/>
        <v>3.2981024987080332E-2</v>
      </c>
      <c r="N153" s="8">
        <f t="shared" si="295"/>
        <v>0</v>
      </c>
      <c r="O153" s="8">
        <f t="shared" si="295"/>
        <v>6.9856047698440449E-2</v>
      </c>
      <c r="P153" s="8">
        <f t="shared" si="295"/>
        <v>1.1386292836942147E-2</v>
      </c>
      <c r="Q153" s="8">
        <f t="shared" si="295"/>
        <v>4.1875812744688545E-2</v>
      </c>
      <c r="R153" s="8">
        <f t="shared" si="295"/>
        <v>2.5383011117718013E-2</v>
      </c>
      <c r="S153" s="8">
        <f t="shared" si="295"/>
        <v>4.3160094925486447E-2</v>
      </c>
      <c r="T153" s="8">
        <f t="shared" si="295"/>
        <v>0.1084481266872146</v>
      </c>
      <c r="U153" s="8">
        <f t="shared" ref="U153:AI153" si="296">U185/2</f>
        <v>5.8581636966252404E-2</v>
      </c>
      <c r="V153" s="8">
        <f t="shared" si="296"/>
        <v>5.1186918016341565E-2</v>
      </c>
      <c r="W153" s="8">
        <f t="shared" si="296"/>
        <v>3.4617745113926901E-2</v>
      </c>
      <c r="X153" s="8">
        <f t="shared" si="296"/>
        <v>6.7819107421431823E-2</v>
      </c>
      <c r="Y153" s="8">
        <f t="shared" si="296"/>
        <v>0.10381336268774177</v>
      </c>
      <c r="Z153" s="8">
        <f t="shared" si="296"/>
        <v>6.6685745863267698E-2</v>
      </c>
      <c r="AA153" s="8">
        <f t="shared" si="296"/>
        <v>0</v>
      </c>
      <c r="AB153" s="8">
        <f t="shared" si="296"/>
        <v>0</v>
      </c>
      <c r="AC153" s="8">
        <f t="shared" si="296"/>
        <v>0</v>
      </c>
      <c r="AD153" s="8">
        <f t="shared" si="296"/>
        <v>0</v>
      </c>
      <c r="AE153" s="8">
        <f t="shared" si="296"/>
        <v>0</v>
      </c>
      <c r="AF153" s="8">
        <f t="shared" si="296"/>
        <v>0</v>
      </c>
      <c r="AG153" s="8">
        <f t="shared" si="296"/>
        <v>0</v>
      </c>
      <c r="AH153" s="8">
        <f t="shared" si="296"/>
        <v>0</v>
      </c>
      <c r="AI153" s="8">
        <f t="shared" si="296"/>
        <v>0</v>
      </c>
      <c r="AJ153" s="8">
        <f t="shared" ref="AJ153:BJ153" si="297">AJ185/2</f>
        <v>0</v>
      </c>
      <c r="AK153" s="8">
        <f t="shared" si="297"/>
        <v>0</v>
      </c>
      <c r="AL153" s="8">
        <f t="shared" si="297"/>
        <v>0</v>
      </c>
      <c r="AM153" s="8">
        <f t="shared" si="297"/>
        <v>0</v>
      </c>
      <c r="AN153" s="8">
        <f t="shared" si="297"/>
        <v>0</v>
      </c>
      <c r="AO153" s="8">
        <f t="shared" si="297"/>
        <v>0</v>
      </c>
      <c r="AP153" s="8">
        <f t="shared" si="297"/>
        <v>0.12468272906570377</v>
      </c>
      <c r="AQ153" s="8">
        <f t="shared" si="297"/>
        <v>7.1314513669374691E-2</v>
      </c>
      <c r="AR153" s="8">
        <f t="shared" si="297"/>
        <v>0.10482474606817505</v>
      </c>
      <c r="AS153" s="8">
        <f t="shared" si="297"/>
        <v>0.11739226562310279</v>
      </c>
      <c r="AT153" s="8">
        <f t="shared" si="297"/>
        <v>7.7163437255475031E-2</v>
      </c>
      <c r="AU153" s="8">
        <f t="shared" si="297"/>
        <v>0.11246544175980588</v>
      </c>
      <c r="AV153" s="8">
        <f t="shared" si="297"/>
        <v>7.854685810640305E-2</v>
      </c>
      <c r="AW153" s="8">
        <f t="shared" si="297"/>
        <v>0.1527398725538589</v>
      </c>
      <c r="AX153" s="8">
        <f t="shared" si="297"/>
        <v>6.3109663471571764E-2</v>
      </c>
      <c r="AY153" s="8">
        <f t="shared" si="297"/>
        <v>6.2501479966776685E-2</v>
      </c>
      <c r="AZ153" s="8">
        <f t="shared" si="297"/>
        <v>9.7029292324961602E-2</v>
      </c>
      <c r="BA153" s="8">
        <f t="shared" si="297"/>
        <v>6.017875163658104E-2</v>
      </c>
      <c r="BB153" s="8">
        <f t="shared" si="297"/>
        <v>3.7394885768947006E-2</v>
      </c>
      <c r="BC153" s="8">
        <f t="shared" si="297"/>
        <v>0.13504952934709635</v>
      </c>
      <c r="BD153" s="8">
        <f t="shared" si="297"/>
        <v>6.4956426304910053E-2</v>
      </c>
      <c r="BE153" s="8">
        <f t="shared" si="297"/>
        <v>0.12053244735340485</v>
      </c>
      <c r="BF153" s="8">
        <f t="shared" si="297"/>
        <v>0</v>
      </c>
      <c r="BG153" s="8">
        <f t="shared" si="297"/>
        <v>0</v>
      </c>
      <c r="BH153" s="8">
        <f t="shared" si="297"/>
        <v>0</v>
      </c>
      <c r="BI153" s="8">
        <f t="shared" si="297"/>
        <v>0</v>
      </c>
      <c r="BJ153" s="8">
        <f t="shared" si="297"/>
        <v>1.0987485131714436E-2</v>
      </c>
      <c r="BK153" s="8"/>
      <c r="BL153" s="8"/>
      <c r="BM153" s="8"/>
      <c r="BN153" s="8">
        <f>BN185/2</f>
        <v>3.8895166513011503E-2</v>
      </c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</row>
    <row r="154" spans="1:79" s="5" customFormat="1">
      <c r="A154" s="4" t="s">
        <v>253</v>
      </c>
      <c r="B154" s="54">
        <f t="shared" ref="B154:T154" si="298">B97</f>
        <v>4.9622587477081183E-2</v>
      </c>
      <c r="C154" s="8">
        <f t="shared" si="298"/>
        <v>6.1127018534270848E-2</v>
      </c>
      <c r="D154" s="8">
        <f t="shared" si="298"/>
        <v>6.3293841945385496E-2</v>
      </c>
      <c r="E154" s="8">
        <f t="shared" si="298"/>
        <v>4.4015296269171798E-2</v>
      </c>
      <c r="F154" s="8">
        <f t="shared" si="298"/>
        <v>6.9099091654357445E-2</v>
      </c>
      <c r="G154" s="8">
        <f t="shared" si="298"/>
        <v>6.466307099880643E-2</v>
      </c>
      <c r="H154" s="8">
        <f t="shared" si="298"/>
        <v>6.680638810852052E-2</v>
      </c>
      <c r="I154" s="8">
        <f t="shared" si="298"/>
        <v>6.7503844609204278E-2</v>
      </c>
      <c r="J154" s="8">
        <f t="shared" si="298"/>
        <v>5.4396670184332772E-2</v>
      </c>
      <c r="K154" s="54">
        <f t="shared" si="298"/>
        <v>5.167349360367042E-2</v>
      </c>
      <c r="L154" s="8">
        <f t="shared" si="298"/>
        <v>6.6268064326918522E-2</v>
      </c>
      <c r="M154" s="8">
        <f t="shared" si="298"/>
        <v>7.0302460992804558E-2</v>
      </c>
      <c r="N154" s="8">
        <f t="shared" si="298"/>
        <v>7.0472092131854944E-2</v>
      </c>
      <c r="O154" s="8">
        <f t="shared" si="298"/>
        <v>8.764063642471083E-2</v>
      </c>
      <c r="P154" s="8">
        <f t="shared" si="298"/>
        <v>0.15480084482290393</v>
      </c>
      <c r="Q154" s="8">
        <f t="shared" si="298"/>
        <v>8.7237086405715179E-3</v>
      </c>
      <c r="R154" s="8">
        <f t="shared" si="298"/>
        <v>0.18408847300561224</v>
      </c>
      <c r="S154" s="8">
        <f t="shared" si="298"/>
        <v>0.17932387604495106</v>
      </c>
      <c r="T154" s="8">
        <f t="shared" si="298"/>
        <v>0.17920435420624697</v>
      </c>
      <c r="U154" s="8">
        <f t="shared" ref="U154:AI154" si="299">U97</f>
        <v>0.17639040850117216</v>
      </c>
      <c r="V154" s="8">
        <f t="shared" si="299"/>
        <v>0.16883105176383667</v>
      </c>
      <c r="W154" s="8">
        <f t="shared" si="299"/>
        <v>9.6446482712062354E-2</v>
      </c>
      <c r="X154" s="8">
        <f t="shared" si="299"/>
        <v>9.6972621926354252E-2</v>
      </c>
      <c r="Y154" s="8">
        <f t="shared" si="299"/>
        <v>0.14058993913189063</v>
      </c>
      <c r="Z154" s="8">
        <f t="shared" si="299"/>
        <v>7.063809350679226E-2</v>
      </c>
      <c r="AA154" s="8">
        <f t="shared" si="299"/>
        <v>0.10183980849249617</v>
      </c>
      <c r="AB154" s="8">
        <f t="shared" si="299"/>
        <v>0.24782346538019762</v>
      </c>
      <c r="AC154" s="8">
        <f t="shared" si="299"/>
        <v>0.27605949321589751</v>
      </c>
      <c r="AD154" s="8">
        <f t="shared" si="299"/>
        <v>0.28183910377701271</v>
      </c>
      <c r="AE154" s="8">
        <f t="shared" si="299"/>
        <v>0.28338757011070825</v>
      </c>
      <c r="AF154" s="8">
        <f t="shared" si="299"/>
        <v>0.28016971505633953</v>
      </c>
      <c r="AG154" s="8">
        <f t="shared" si="299"/>
        <v>0.29442515239241124</v>
      </c>
      <c r="AH154" s="8">
        <f t="shared" si="299"/>
        <v>0.25882242265312688</v>
      </c>
      <c r="AI154" s="8">
        <f t="shared" si="299"/>
        <v>0.29675011380081395</v>
      </c>
      <c r="AJ154" s="8">
        <f t="shared" ref="AJ154:BJ154" si="300">AJ97</f>
        <v>0.26416883358078574</v>
      </c>
      <c r="AK154" s="8">
        <f t="shared" si="300"/>
        <v>8.6685242346614913E-2</v>
      </c>
      <c r="AL154" s="8">
        <f t="shared" si="300"/>
        <v>0.10181676209182727</v>
      </c>
      <c r="AM154" s="8">
        <f t="shared" si="300"/>
        <v>8.7330240409035906E-2</v>
      </c>
      <c r="AN154" s="8">
        <f t="shared" si="300"/>
        <v>8.1243472984224185E-2</v>
      </c>
      <c r="AO154" s="8">
        <f t="shared" si="300"/>
        <v>8.7843281023961314E-2</v>
      </c>
      <c r="AP154" s="8">
        <f t="shared" si="300"/>
        <v>9.8427165957832047E-2</v>
      </c>
      <c r="AQ154" s="8">
        <f t="shared" si="300"/>
        <v>0.10734403700497949</v>
      </c>
      <c r="AR154" s="8">
        <f t="shared" si="300"/>
        <v>9.9603546911609456E-2</v>
      </c>
      <c r="AS154" s="8">
        <f t="shared" si="300"/>
        <v>0.10969015703681796</v>
      </c>
      <c r="AT154" s="8">
        <f t="shared" si="300"/>
        <v>0.10619223780532143</v>
      </c>
      <c r="AU154" s="8">
        <f t="shared" si="300"/>
        <v>6.7774260000149078E-2</v>
      </c>
      <c r="AV154" s="8">
        <f t="shared" si="300"/>
        <v>0.11928951332157788</v>
      </c>
      <c r="AW154" s="8">
        <f t="shared" si="300"/>
        <v>9.1532042963143115E-2</v>
      </c>
      <c r="AX154" s="8">
        <f t="shared" si="300"/>
        <v>8.7366502099902293E-2</v>
      </c>
      <c r="AY154" s="8">
        <f t="shared" si="300"/>
        <v>0.11873025537063911</v>
      </c>
      <c r="AZ154" s="8">
        <f t="shared" si="300"/>
        <v>0.10400764024872654</v>
      </c>
      <c r="BA154" s="8">
        <f t="shared" si="300"/>
        <v>0.16756845538741474</v>
      </c>
      <c r="BB154" s="8">
        <f t="shared" si="300"/>
        <v>0.17013321812557736</v>
      </c>
      <c r="BC154" s="8">
        <f t="shared" si="300"/>
        <v>0.16426748658800047</v>
      </c>
      <c r="BD154" s="8">
        <f t="shared" si="300"/>
        <v>0.15566682507692556</v>
      </c>
      <c r="BE154" s="8">
        <f t="shared" si="300"/>
        <v>0.17471308479612241</v>
      </c>
      <c r="BF154" s="8">
        <f t="shared" si="300"/>
        <v>0.20862446021386102</v>
      </c>
      <c r="BG154" s="8">
        <f t="shared" si="300"/>
        <v>0.21528242996727187</v>
      </c>
      <c r="BH154" s="8">
        <f t="shared" si="300"/>
        <v>0.17916898727534977</v>
      </c>
      <c r="BI154" s="8">
        <f t="shared" si="300"/>
        <v>0.22806297393575142</v>
      </c>
      <c r="BJ154" s="8">
        <f t="shared" si="300"/>
        <v>0.222467140693171</v>
      </c>
      <c r="BK154" s="8"/>
      <c r="BL154" s="8"/>
      <c r="BM154" s="8"/>
      <c r="BN154" s="8">
        <f>BN97</f>
        <v>6.0816855983819765E-2</v>
      </c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</row>
    <row r="155" spans="1:79" s="5" customFormat="1">
      <c r="A155" s="4" t="s">
        <v>57</v>
      </c>
      <c r="B155" s="54">
        <f t="shared" ref="B155:T155" si="301">B101/B187</f>
        <v>2.2723843370568022</v>
      </c>
      <c r="C155" s="8">
        <f t="shared" si="301"/>
        <v>1.7283075789666997</v>
      </c>
      <c r="D155" s="8">
        <f t="shared" si="301"/>
        <v>1.9885996362898593</v>
      </c>
      <c r="E155" s="8">
        <f t="shared" si="301"/>
        <v>1.7805167310233789</v>
      </c>
      <c r="F155" s="8">
        <f t="shared" si="301"/>
        <v>1.897605263718678</v>
      </c>
      <c r="G155" s="8">
        <f t="shared" si="301"/>
        <v>1.6661199076855158</v>
      </c>
      <c r="H155" s="8">
        <f t="shared" si="301"/>
        <v>1.7293731414979185</v>
      </c>
      <c r="I155" s="8">
        <f t="shared" si="301"/>
        <v>1.8672613053704783</v>
      </c>
      <c r="J155" s="8">
        <f t="shared" si="301"/>
        <v>2.1528940692452427</v>
      </c>
      <c r="K155" s="54">
        <f t="shared" si="301"/>
        <v>2.6729137785807802</v>
      </c>
      <c r="L155" s="8">
        <f t="shared" si="301"/>
        <v>1.9840564455438212</v>
      </c>
      <c r="M155" s="8">
        <f t="shared" si="301"/>
        <v>1.8356531224300727</v>
      </c>
      <c r="N155" s="8">
        <f t="shared" si="301"/>
        <v>1.7568156146949536</v>
      </c>
      <c r="O155" s="8">
        <f t="shared" si="301"/>
        <v>1.6700113593582304</v>
      </c>
      <c r="P155" s="8">
        <f t="shared" si="301"/>
        <v>2.2465321254652117</v>
      </c>
      <c r="Q155" s="8">
        <f t="shared" si="301"/>
        <v>3.3900693296980724</v>
      </c>
      <c r="R155" s="8">
        <f t="shared" si="301"/>
        <v>1.9892605574718916</v>
      </c>
      <c r="S155" s="8">
        <f t="shared" si="301"/>
        <v>1.8609593463849801</v>
      </c>
      <c r="T155" s="8">
        <f t="shared" si="301"/>
        <v>1.6756271701780798</v>
      </c>
      <c r="U155" s="8">
        <f t="shared" ref="U155:AI155" si="302">U101/U187</f>
        <v>1.8322526716177943</v>
      </c>
      <c r="V155" s="8">
        <f t="shared" si="302"/>
        <v>1.8389331998036218</v>
      </c>
      <c r="W155" s="8">
        <f t="shared" si="302"/>
        <v>2.7821752522563794</v>
      </c>
      <c r="X155" s="8">
        <f t="shared" si="302"/>
        <v>2.1005672640224384</v>
      </c>
      <c r="Y155" s="8">
        <f t="shared" si="302"/>
        <v>1.1150236131535443</v>
      </c>
      <c r="Z155" s="8">
        <f t="shared" si="302"/>
        <v>1.7976012442568032</v>
      </c>
      <c r="AA155" s="8">
        <f t="shared" si="302"/>
        <v>1.8486027620351957</v>
      </c>
      <c r="AB155" s="8">
        <f t="shared" si="302"/>
        <v>1.7206216231886473</v>
      </c>
      <c r="AC155" s="8">
        <f t="shared" si="302"/>
        <v>1.2727557311328881</v>
      </c>
      <c r="AD155" s="8">
        <f t="shared" si="302"/>
        <v>1.4182642224689246</v>
      </c>
      <c r="AE155" s="8">
        <f t="shared" si="302"/>
        <v>1.5116676584385838</v>
      </c>
      <c r="AF155" s="8">
        <f t="shared" si="302"/>
        <v>1.5029412344028712</v>
      </c>
      <c r="AG155" s="8">
        <f t="shared" si="302"/>
        <v>1.4031258930798023</v>
      </c>
      <c r="AH155" s="8">
        <f t="shared" si="302"/>
        <v>1.4023453339514313</v>
      </c>
      <c r="AI155" s="8">
        <f t="shared" si="302"/>
        <v>1.3916883208093405</v>
      </c>
      <c r="AJ155" s="8">
        <f t="shared" ref="AJ155:BJ155" si="303">AJ101/AJ187</f>
        <v>1.4166257934441067</v>
      </c>
      <c r="AK155" s="8">
        <f t="shared" si="303"/>
        <v>1.6746297707701778</v>
      </c>
      <c r="AL155" s="8">
        <f t="shared" si="303"/>
        <v>1.5616526615638908</v>
      </c>
      <c r="AM155" s="8">
        <f t="shared" si="303"/>
        <v>1.6282776694406738</v>
      </c>
      <c r="AN155" s="8">
        <f t="shared" si="303"/>
        <v>1.6151863713841703</v>
      </c>
      <c r="AO155" s="8">
        <f t="shared" si="303"/>
        <v>1.5804704209173381</v>
      </c>
      <c r="AP155" s="8">
        <f t="shared" si="303"/>
        <v>2.2697886007861543</v>
      </c>
      <c r="AQ155" s="8">
        <f t="shared" si="303"/>
        <v>2.3408991775881285</v>
      </c>
      <c r="AR155" s="8">
        <f t="shared" si="303"/>
        <v>2.2712169179102295</v>
      </c>
      <c r="AS155" s="8">
        <f t="shared" si="303"/>
        <v>2.2798662679364545</v>
      </c>
      <c r="AT155" s="8">
        <f t="shared" si="303"/>
        <v>2.5248753181019863</v>
      </c>
      <c r="AU155" s="8">
        <f t="shared" si="303"/>
        <v>2.6019835820224313</v>
      </c>
      <c r="AV155" s="8">
        <f t="shared" si="303"/>
        <v>2.4871909587837822</v>
      </c>
      <c r="AW155" s="8">
        <f t="shared" si="303"/>
        <v>2.0653692471455032</v>
      </c>
      <c r="AX155" s="8">
        <f t="shared" si="303"/>
        <v>1.7806737745740211</v>
      </c>
      <c r="AY155" s="8">
        <f t="shared" si="303"/>
        <v>2.5515054712032521</v>
      </c>
      <c r="AZ155" s="8">
        <f t="shared" si="303"/>
        <v>2.3380919550399977</v>
      </c>
      <c r="BA155" s="8">
        <f t="shared" si="303"/>
        <v>1.8177673408666128</v>
      </c>
      <c r="BB155" s="8">
        <f t="shared" si="303"/>
        <v>1.8767034192960663</v>
      </c>
      <c r="BC155" s="8">
        <f t="shared" si="303"/>
        <v>1.6050266611368025</v>
      </c>
      <c r="BD155" s="8">
        <f t="shared" si="303"/>
        <v>1.7670818327165754</v>
      </c>
      <c r="BE155" s="8">
        <f t="shared" si="303"/>
        <v>1.5871910784901033</v>
      </c>
      <c r="BF155" s="8">
        <f t="shared" si="303"/>
        <v>2.2454835559491775</v>
      </c>
      <c r="BG155" s="8">
        <f t="shared" si="303"/>
        <v>2.3228975635156206</v>
      </c>
      <c r="BH155" s="8">
        <f t="shared" si="303"/>
        <v>2.306281618327517</v>
      </c>
      <c r="BI155" s="8">
        <f t="shared" si="303"/>
        <v>2.2103076014989376</v>
      </c>
      <c r="BJ155" s="8">
        <f t="shared" si="303"/>
        <v>2.1668511138260951</v>
      </c>
      <c r="BK155" s="8"/>
      <c r="BL155" s="8"/>
      <c r="BM155" s="8"/>
      <c r="BN155" s="8">
        <f>BN101/BN187</f>
        <v>1.9217815334455106</v>
      </c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</row>
    <row r="156" spans="1:79" s="5" customFormat="1">
      <c r="A156" s="4" t="s">
        <v>58</v>
      </c>
      <c r="B156" s="54">
        <f t="shared" ref="B156:T156" si="304">B102/B187</f>
        <v>0.11357831908036518</v>
      </c>
      <c r="C156" s="8">
        <f t="shared" si="304"/>
        <v>0.11831793165927527</v>
      </c>
      <c r="D156" s="8">
        <f t="shared" si="304"/>
        <v>0.14445435976757473</v>
      </c>
      <c r="E156" s="8">
        <f t="shared" si="304"/>
        <v>0.15024359322481989</v>
      </c>
      <c r="F156" s="8">
        <f t="shared" si="304"/>
        <v>0.12208862578562585</v>
      </c>
      <c r="G156" s="8">
        <f t="shared" si="304"/>
        <v>0.10869608067673774</v>
      </c>
      <c r="H156" s="8">
        <f t="shared" si="304"/>
        <v>0.11168276605473314</v>
      </c>
      <c r="I156" s="8">
        <f t="shared" si="304"/>
        <v>0.11993389496594305</v>
      </c>
      <c r="J156" s="8">
        <f t="shared" si="304"/>
        <v>0.1406330955422079</v>
      </c>
      <c r="K156" s="54">
        <f t="shared" si="304"/>
        <v>0.16514811431160414</v>
      </c>
      <c r="L156" s="8">
        <f t="shared" si="304"/>
        <v>0.13394862704439162</v>
      </c>
      <c r="M156" s="8">
        <f t="shared" si="304"/>
        <v>0.10717148030357442</v>
      </c>
      <c r="N156" s="8">
        <f t="shared" si="304"/>
        <v>8.8394853939668158E-2</v>
      </c>
      <c r="O156" s="8">
        <f t="shared" si="304"/>
        <v>8.890956588910047E-2</v>
      </c>
      <c r="P156" s="8">
        <f t="shared" si="304"/>
        <v>3.7784513777425373E-2</v>
      </c>
      <c r="Q156" s="8">
        <f t="shared" si="304"/>
        <v>8.4381060966628604E-2</v>
      </c>
      <c r="R156" s="8">
        <f t="shared" si="304"/>
        <v>2.6043448814654264E-2</v>
      </c>
      <c r="S156" s="8">
        <f t="shared" si="304"/>
        <v>2.7756542421333068E-2</v>
      </c>
      <c r="T156" s="8">
        <f t="shared" si="304"/>
        <v>2.7523194984790604E-2</v>
      </c>
      <c r="U156" s="8">
        <f t="shared" ref="U156:AI156" si="305">U102/U187</f>
        <v>2.5451430955965988E-2</v>
      </c>
      <c r="V156" s="8">
        <f t="shared" si="305"/>
        <v>3.5303444080720128E-2</v>
      </c>
      <c r="W156" s="8">
        <f t="shared" si="305"/>
        <v>5.0788049329438145E-2</v>
      </c>
      <c r="X156" s="8">
        <f t="shared" si="305"/>
        <v>3.7734249261527075E-2</v>
      </c>
      <c r="Y156" s="8">
        <f t="shared" si="305"/>
        <v>1.390485711024528E-2</v>
      </c>
      <c r="Z156" s="8">
        <f t="shared" si="305"/>
        <v>3.0105868687254886E-2</v>
      </c>
      <c r="AA156" s="8">
        <f t="shared" si="305"/>
        <v>2.9154944788478653E-2</v>
      </c>
      <c r="AB156" s="8">
        <f t="shared" si="305"/>
        <v>3.4146150977494308E-2</v>
      </c>
      <c r="AC156" s="8">
        <f t="shared" si="305"/>
        <v>1.4829840274865303E-2</v>
      </c>
      <c r="AD156" s="8">
        <f t="shared" si="305"/>
        <v>2.3660298100161636E-2</v>
      </c>
      <c r="AE156" s="8">
        <f t="shared" si="305"/>
        <v>2.726036244861537E-2</v>
      </c>
      <c r="AF156" s="8">
        <f t="shared" si="305"/>
        <v>2.5526119634201126E-2</v>
      </c>
      <c r="AG156" s="8">
        <f t="shared" si="305"/>
        <v>2.5606935685422633E-2</v>
      </c>
      <c r="AH156" s="8">
        <f t="shared" si="305"/>
        <v>2.2787074735308253E-2</v>
      </c>
      <c r="AI156" s="8">
        <f t="shared" si="305"/>
        <v>2.7128563320541702E-2</v>
      </c>
      <c r="AJ156" s="8">
        <f t="shared" ref="AJ156:BJ156" si="306">AJ102/AJ187</f>
        <v>2.6882596391371069E-2</v>
      </c>
      <c r="AK156" s="8">
        <f t="shared" si="306"/>
        <v>3.0683488048718753E-2</v>
      </c>
      <c r="AL156" s="8">
        <f t="shared" si="306"/>
        <v>2.3091270507091383E-2</v>
      </c>
      <c r="AM156" s="8">
        <f t="shared" si="306"/>
        <v>2.1732226732268045E-2</v>
      </c>
      <c r="AN156" s="8">
        <f t="shared" si="306"/>
        <v>2.5242813911231347E-2</v>
      </c>
      <c r="AO156" s="8">
        <f t="shared" si="306"/>
        <v>3.3675984647169033E-2</v>
      </c>
      <c r="AP156" s="8">
        <f t="shared" si="306"/>
        <v>4.3890505844586321E-2</v>
      </c>
      <c r="AQ156" s="8">
        <f t="shared" si="306"/>
        <v>3.8576760256680144E-2</v>
      </c>
      <c r="AR156" s="8">
        <f t="shared" si="306"/>
        <v>4.8119562130566389E-2</v>
      </c>
      <c r="AS156" s="8">
        <f t="shared" si="306"/>
        <v>4.7260163208670672E-2</v>
      </c>
      <c r="AT156" s="8">
        <f t="shared" si="306"/>
        <v>4.9397217093321649E-2</v>
      </c>
      <c r="AU156" s="8">
        <f t="shared" si="306"/>
        <v>4.5354237708117515E-2</v>
      </c>
      <c r="AV156" s="8">
        <f t="shared" si="306"/>
        <v>4.0640358883486792E-2</v>
      </c>
      <c r="AW156" s="8">
        <f t="shared" si="306"/>
        <v>3.4017450917633016E-2</v>
      </c>
      <c r="AX156" s="8">
        <f t="shared" si="306"/>
        <v>3.0114792513206683E-2</v>
      </c>
      <c r="AY156" s="8">
        <f t="shared" si="306"/>
        <v>4.459516017022639E-2</v>
      </c>
      <c r="AZ156" s="8">
        <f t="shared" si="306"/>
        <v>4.3198235814567387E-2</v>
      </c>
      <c r="BA156" s="8">
        <f t="shared" si="306"/>
        <v>2.6553413229071052E-2</v>
      </c>
      <c r="BB156" s="8">
        <f t="shared" si="306"/>
        <v>3.1940279930661307E-2</v>
      </c>
      <c r="BC156" s="8">
        <f t="shared" si="306"/>
        <v>2.2824074058431513E-2</v>
      </c>
      <c r="BD156" s="8">
        <f t="shared" si="306"/>
        <v>2.5670982753676196E-2</v>
      </c>
      <c r="BE156" s="8">
        <f t="shared" si="306"/>
        <v>2.1848570227788921E-2</v>
      </c>
      <c r="BF156" s="8">
        <f t="shared" si="306"/>
        <v>2.1405969140133249E-2</v>
      </c>
      <c r="BG156" s="8">
        <f t="shared" si="306"/>
        <v>3.401958634353959E-2</v>
      </c>
      <c r="BH156" s="8">
        <f t="shared" si="306"/>
        <v>2.8059637111800404E-2</v>
      </c>
      <c r="BI156" s="8">
        <f t="shared" si="306"/>
        <v>2.7333643122260075E-2</v>
      </c>
      <c r="BJ156" s="8">
        <f t="shared" si="306"/>
        <v>3.2479222999144984E-2</v>
      </c>
      <c r="BK156" s="8"/>
      <c r="BL156" s="8"/>
      <c r="BM156" s="8"/>
      <c r="BN156" s="8">
        <f>BN102/BN187</f>
        <v>0.1266217722199949</v>
      </c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</row>
    <row r="157" spans="1:79" s="5" customFormat="1">
      <c r="A157" s="4" t="s">
        <v>59</v>
      </c>
      <c r="B157" s="54">
        <f t="shared" ref="B157:T157" si="307">B106/((B107+B150)+B106)</f>
        <v>0.89527537901891741</v>
      </c>
      <c r="C157" s="8">
        <f t="shared" si="307"/>
        <v>0.93826383341533626</v>
      </c>
      <c r="D157" s="8">
        <f t="shared" si="307"/>
        <v>0.89473241247137025</v>
      </c>
      <c r="E157" s="8">
        <f t="shared" si="307"/>
        <v>0.89418063489570354</v>
      </c>
      <c r="F157" s="8">
        <f t="shared" si="307"/>
        <v>0.86136688790375981</v>
      </c>
      <c r="G157" s="8">
        <f t="shared" si="307"/>
        <v>0.89575398869727696</v>
      </c>
      <c r="H157" s="8">
        <f t="shared" si="307"/>
        <v>0.90838178472589126</v>
      </c>
      <c r="I157" s="8">
        <f t="shared" si="307"/>
        <v>0.90307269904525311</v>
      </c>
      <c r="J157" s="8">
        <f t="shared" si="307"/>
        <v>0.93052276068396667</v>
      </c>
      <c r="K157" s="54">
        <f t="shared" si="307"/>
        <v>0.87895291202788728</v>
      </c>
      <c r="L157" s="8">
        <f t="shared" si="307"/>
        <v>0.94321150277467503</v>
      </c>
      <c r="M157" s="8">
        <f t="shared" si="307"/>
        <v>0.90922985122952049</v>
      </c>
      <c r="N157" s="8">
        <f t="shared" si="307"/>
        <v>0.90833316079187021</v>
      </c>
      <c r="O157" s="8">
        <f t="shared" si="307"/>
        <v>0.90176400665662493</v>
      </c>
      <c r="P157" s="8">
        <f t="shared" si="307"/>
        <v>0.74180483016540588</v>
      </c>
      <c r="Q157" s="8">
        <f t="shared" si="307"/>
        <v>0.81222679337037851</v>
      </c>
      <c r="R157" s="8">
        <f t="shared" si="307"/>
        <v>0.7193924825282717</v>
      </c>
      <c r="S157" s="8">
        <f t="shared" si="307"/>
        <v>0.70053549798584147</v>
      </c>
      <c r="T157" s="8">
        <f t="shared" si="307"/>
        <v>0.72120671204577913</v>
      </c>
      <c r="U157" s="8">
        <f t="shared" ref="U157:AI157" si="308">U106/((U107+U150)+U106)</f>
        <v>0.71163171078220067</v>
      </c>
      <c r="V157" s="8">
        <f t="shared" si="308"/>
        <v>0.70468562327514273</v>
      </c>
      <c r="W157" s="8">
        <f t="shared" si="308"/>
        <v>0.72915951394359502</v>
      </c>
      <c r="X157" s="8">
        <f t="shared" si="308"/>
        <v>0.75245025600881854</v>
      </c>
      <c r="Y157" s="8">
        <f t="shared" si="308"/>
        <v>0.70429685881179971</v>
      </c>
      <c r="Z157" s="8">
        <f t="shared" si="308"/>
        <v>0.73511896909430829</v>
      </c>
      <c r="AA157" s="8">
        <f t="shared" si="308"/>
        <v>0.97799975295776287</v>
      </c>
      <c r="AB157" s="8">
        <f t="shared" si="308"/>
        <v>0.96933621326820996</v>
      </c>
      <c r="AC157" s="8">
        <f t="shared" si="308"/>
        <v>0.96157684816339783</v>
      </c>
      <c r="AD157" s="8">
        <f t="shared" si="308"/>
        <v>0.96459897842472575</v>
      </c>
      <c r="AE157" s="8">
        <f t="shared" si="308"/>
        <v>0.96552635957358424</v>
      </c>
      <c r="AF157" s="8">
        <f t="shared" si="308"/>
        <v>0.97085301326290419</v>
      </c>
      <c r="AG157" s="8">
        <f t="shared" si="308"/>
        <v>0.96628343474812273</v>
      </c>
      <c r="AH157" s="8">
        <f t="shared" si="308"/>
        <v>0.97041618380130701</v>
      </c>
      <c r="AI157" s="8">
        <f t="shared" si="308"/>
        <v>0.9556156112287878</v>
      </c>
      <c r="AJ157" s="8">
        <f t="shared" ref="AJ157:BJ157" si="309">AJ106/((AJ107+AJ150)+AJ106)</f>
        <v>0.97007987132539286</v>
      </c>
      <c r="AK157" s="8">
        <f t="shared" si="309"/>
        <v>0.89178276238952525</v>
      </c>
      <c r="AL157" s="8">
        <f t="shared" si="309"/>
        <v>0.92481683184979979</v>
      </c>
      <c r="AM157" s="8">
        <f t="shared" si="309"/>
        <v>0.90807703601757128</v>
      </c>
      <c r="AN157" s="8">
        <f t="shared" si="309"/>
        <v>0.91093549010230468</v>
      </c>
      <c r="AO157" s="8">
        <f t="shared" si="309"/>
        <v>0.93335037437551471</v>
      </c>
      <c r="AP157" s="8">
        <f t="shared" si="309"/>
        <v>0.94280466037467459</v>
      </c>
      <c r="AQ157" s="8">
        <f t="shared" si="309"/>
        <v>0.91650179214044081</v>
      </c>
      <c r="AR157" s="8">
        <f t="shared" si="309"/>
        <v>0.93585649206976695</v>
      </c>
      <c r="AS157" s="8">
        <f t="shared" si="309"/>
        <v>0.93400690679867326</v>
      </c>
      <c r="AT157" s="8">
        <f t="shared" si="309"/>
        <v>0.98361513787635979</v>
      </c>
      <c r="AU157" s="8">
        <f t="shared" si="309"/>
        <v>0.9167950900216395</v>
      </c>
      <c r="AV157" s="8">
        <f t="shared" si="309"/>
        <v>0.94355944643055001</v>
      </c>
      <c r="AW157" s="8">
        <f t="shared" si="309"/>
        <v>0.93187159121635199</v>
      </c>
      <c r="AX157" s="8">
        <f t="shared" si="309"/>
        <v>0.95596919546566161</v>
      </c>
      <c r="AY157" s="8">
        <f t="shared" si="309"/>
        <v>0.96795482593124738</v>
      </c>
      <c r="AZ157" s="8">
        <f t="shared" si="309"/>
        <v>0.92792048209617217</v>
      </c>
      <c r="BA157" s="8">
        <f t="shared" si="309"/>
        <v>0.98681607680546701</v>
      </c>
      <c r="BB157" s="8">
        <f t="shared" si="309"/>
        <v>0.99017808500071791</v>
      </c>
      <c r="BC157" s="8">
        <f t="shared" si="309"/>
        <v>0.98640755152595205</v>
      </c>
      <c r="BD157" s="8">
        <f t="shared" si="309"/>
        <v>0.97692512325508829</v>
      </c>
      <c r="BE157" s="8">
        <f t="shared" si="309"/>
        <v>0.97067257843657118</v>
      </c>
      <c r="BF157" s="8">
        <f t="shared" si="309"/>
        <v>0.97572235860237999</v>
      </c>
      <c r="BG157" s="8">
        <f t="shared" si="309"/>
        <v>0.96333068910826192</v>
      </c>
      <c r="BH157" s="8">
        <f t="shared" si="309"/>
        <v>0.97713986022497223</v>
      </c>
      <c r="BI157" s="8">
        <f t="shared" si="309"/>
        <v>0.98539697139472571</v>
      </c>
      <c r="BJ157" s="8">
        <f t="shared" si="309"/>
        <v>0.9650467325557861</v>
      </c>
      <c r="BK157" s="8"/>
      <c r="BL157" s="8"/>
      <c r="BM157" s="8"/>
      <c r="BN157" s="8">
        <f>BN106/((BN107+BN150)+BN106)</f>
        <v>0.89842132937614516</v>
      </c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</row>
    <row r="158" spans="1:79" s="5" customFormat="1">
      <c r="A158" s="4" t="s">
        <v>60</v>
      </c>
      <c r="B158" s="54">
        <f t="shared" ref="B158:T158" si="310">IF(2-B150-B105&lt;0, 0, 2-B150-B105)</f>
        <v>0.31445251440705335</v>
      </c>
      <c r="C158" s="8">
        <f t="shared" si="310"/>
        <v>0.33260816811200811</v>
      </c>
      <c r="D158" s="8">
        <f t="shared" si="310"/>
        <v>0.33091737371883778</v>
      </c>
      <c r="E158" s="8">
        <f t="shared" si="310"/>
        <v>0.39203053700445012</v>
      </c>
      <c r="F158" s="8">
        <f t="shared" si="310"/>
        <v>0.27396750638485967</v>
      </c>
      <c r="G158" s="8">
        <f t="shared" si="310"/>
        <v>0.26226147564800506</v>
      </c>
      <c r="H158" s="8">
        <f t="shared" si="310"/>
        <v>0.25181612230218398</v>
      </c>
      <c r="I158" s="8">
        <f t="shared" si="310"/>
        <v>0.29563290258596253</v>
      </c>
      <c r="J158" s="8">
        <f t="shared" si="310"/>
        <v>0.37720982038446449</v>
      </c>
      <c r="K158" s="54">
        <f t="shared" si="310"/>
        <v>0.26821380827878238</v>
      </c>
      <c r="L158" s="8">
        <f t="shared" si="310"/>
        <v>0.35087683665377156</v>
      </c>
      <c r="M158" s="8">
        <f t="shared" si="310"/>
        <v>0.28132228035221307</v>
      </c>
      <c r="N158" s="8">
        <f t="shared" si="310"/>
        <v>0.34411208261800108</v>
      </c>
      <c r="O158" s="8">
        <f t="shared" si="310"/>
        <v>0.28506784326801937</v>
      </c>
      <c r="P158" s="8">
        <f t="shared" si="310"/>
        <v>4.7224424032198176E-2</v>
      </c>
      <c r="Q158" s="8">
        <f t="shared" si="310"/>
        <v>3.6201094502443132E-2</v>
      </c>
      <c r="R158" s="8">
        <f t="shared" si="310"/>
        <v>7.7148831335122292E-2</v>
      </c>
      <c r="S158" s="8">
        <f t="shared" si="310"/>
        <v>6.6939730273251064E-2</v>
      </c>
      <c r="T158" s="8">
        <f t="shared" si="310"/>
        <v>6.1804960052293412E-2</v>
      </c>
      <c r="U158" s="8">
        <f t="shared" ref="U158:AI158" si="311">IF(2-U150-U105&lt;0, 0, 2-U150-U105)</f>
        <v>7.5434212670583367E-2</v>
      </c>
      <c r="V158" s="8">
        <f t="shared" si="311"/>
        <v>4.8218789500132919E-2</v>
      </c>
      <c r="W158" s="8">
        <f t="shared" si="311"/>
        <v>5.1980546220522728E-2</v>
      </c>
      <c r="X158" s="8">
        <f t="shared" si="311"/>
        <v>9.9472290843587219E-2</v>
      </c>
      <c r="Y158" s="8">
        <f t="shared" si="311"/>
        <v>0</v>
      </c>
      <c r="Z158" s="8">
        <f t="shared" si="311"/>
        <v>0</v>
      </c>
      <c r="AA158" s="8">
        <f t="shared" si="311"/>
        <v>0</v>
      </c>
      <c r="AB158" s="8">
        <f t="shared" si="311"/>
        <v>0.21249923591955255</v>
      </c>
      <c r="AC158" s="8">
        <f t="shared" si="311"/>
        <v>0.20946125994577258</v>
      </c>
      <c r="AD158" s="8">
        <f t="shared" si="311"/>
        <v>0.17071501017769064</v>
      </c>
      <c r="AE158" s="8">
        <f t="shared" si="311"/>
        <v>0.22538626783502558</v>
      </c>
      <c r="AF158" s="8">
        <f t="shared" si="311"/>
        <v>0.21170988152911807</v>
      </c>
      <c r="AG158" s="8">
        <f t="shared" si="311"/>
        <v>0.21201633414999965</v>
      </c>
      <c r="AH158" s="8">
        <f t="shared" si="311"/>
        <v>0.23973526649406018</v>
      </c>
      <c r="AI158" s="8">
        <f t="shared" si="311"/>
        <v>0.19307456484096686</v>
      </c>
      <c r="AJ158" s="8">
        <f t="shared" ref="AJ158:BJ158" si="312">IF(2-AJ150-AJ105&lt;0, 0, 2-AJ150-AJ105)</f>
        <v>0.24411661660563855</v>
      </c>
      <c r="AK158" s="8">
        <f t="shared" si="312"/>
        <v>0.22762549230193874</v>
      </c>
      <c r="AL158" s="8">
        <f t="shared" si="312"/>
        <v>0.23989658703407435</v>
      </c>
      <c r="AM158" s="8">
        <f t="shared" si="312"/>
        <v>0.2660428077020689</v>
      </c>
      <c r="AN158" s="8">
        <f t="shared" si="312"/>
        <v>0.27819395176243034</v>
      </c>
      <c r="AO158" s="8">
        <f t="shared" si="312"/>
        <v>0.25425174856656407</v>
      </c>
      <c r="AP158" s="8">
        <f t="shared" si="312"/>
        <v>9.9585622699039034E-2</v>
      </c>
      <c r="AQ158" s="8">
        <f t="shared" si="312"/>
        <v>0.11805206419779757</v>
      </c>
      <c r="AR158" s="8">
        <f t="shared" si="312"/>
        <v>8.9050296064155043E-2</v>
      </c>
      <c r="AS158" s="8">
        <f t="shared" si="312"/>
        <v>0.10207088205163495</v>
      </c>
      <c r="AT158" s="8">
        <f t="shared" si="312"/>
        <v>0.14213264991318098</v>
      </c>
      <c r="AU158" s="8">
        <f t="shared" si="312"/>
        <v>0.11061525169698516</v>
      </c>
      <c r="AV158" s="8">
        <f t="shared" si="312"/>
        <v>0.14826955728774616</v>
      </c>
      <c r="AW158" s="8">
        <f t="shared" si="312"/>
        <v>9.7639590400933063E-2</v>
      </c>
      <c r="AX158" s="8">
        <f t="shared" si="312"/>
        <v>0</v>
      </c>
      <c r="AY158" s="8">
        <f t="shared" si="312"/>
        <v>0.13272309819712436</v>
      </c>
      <c r="AZ158" s="8">
        <f t="shared" si="312"/>
        <v>0.10903153197388904</v>
      </c>
      <c r="BA158" s="8">
        <f t="shared" si="312"/>
        <v>7.4031232740830788E-2</v>
      </c>
      <c r="BB158" s="8">
        <f t="shared" si="312"/>
        <v>0.10255838872895007</v>
      </c>
      <c r="BC158" s="8">
        <f t="shared" si="312"/>
        <v>6.2667563620615763E-2</v>
      </c>
      <c r="BD158" s="8">
        <f t="shared" si="312"/>
        <v>7.9458654851581212E-2</v>
      </c>
      <c r="BE158" s="8">
        <f t="shared" si="312"/>
        <v>8.5211308678511344E-2</v>
      </c>
      <c r="BF158" s="8">
        <f t="shared" si="312"/>
        <v>0.10715065839122828</v>
      </c>
      <c r="BG158" s="8">
        <f t="shared" si="312"/>
        <v>0.1399748812742061</v>
      </c>
      <c r="BH158" s="8">
        <f t="shared" si="312"/>
        <v>9.9287319823111897E-2</v>
      </c>
      <c r="BI158" s="8">
        <f t="shared" si="312"/>
        <v>0.1291747680161226</v>
      </c>
      <c r="BJ158" s="8">
        <f t="shared" si="312"/>
        <v>4.2689456834628992E-2</v>
      </c>
      <c r="BK158" s="8"/>
      <c r="BL158" s="8"/>
      <c r="BM158" s="8"/>
      <c r="BN158" s="8">
        <f>IF(2-BN150-BN105&lt;0, 0, 2-BN150-BN105)</f>
        <v>0.30657169214087832</v>
      </c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</row>
    <row r="159" spans="1:79" s="26" customFormat="1">
      <c r="A159" s="24"/>
      <c r="B159" s="56"/>
      <c r="C159" s="25"/>
      <c r="D159" s="25"/>
      <c r="E159" s="25"/>
      <c r="F159" s="25"/>
      <c r="G159" s="25"/>
      <c r="H159" s="25"/>
      <c r="I159" s="25"/>
      <c r="J159" s="25"/>
      <c r="K159" s="56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</row>
    <row r="160" spans="1:79" s="5" customFormat="1">
      <c r="A160" s="4"/>
      <c r="B160" s="54"/>
      <c r="C160" s="8"/>
      <c r="D160" s="8"/>
      <c r="E160" s="8"/>
      <c r="F160" s="8"/>
      <c r="G160" s="8"/>
      <c r="H160" s="8"/>
      <c r="I160" s="8"/>
      <c r="J160" s="8"/>
      <c r="K160" s="54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</row>
    <row r="161" spans="1:79" s="5" customFormat="1">
      <c r="A161" s="4" t="s">
        <v>95</v>
      </c>
      <c r="B161" s="57"/>
      <c r="C161" s="41"/>
      <c r="D161" s="41"/>
      <c r="E161" s="41"/>
      <c r="F161" s="41"/>
      <c r="G161" s="41"/>
      <c r="H161" s="41"/>
      <c r="I161" s="41"/>
      <c r="J161" s="41"/>
      <c r="K161" s="57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</row>
    <row r="162" spans="1:79" s="5" customFormat="1">
      <c r="A162" s="4" t="s">
        <v>20</v>
      </c>
      <c r="B162" s="57" t="str">
        <f t="shared" ref="B162:T162" si="313">IF(8-B96&gt;B99, "X", " ")</f>
        <v xml:space="preserve"> </v>
      </c>
      <c r="C162" s="41" t="str">
        <f t="shared" si="313"/>
        <v xml:space="preserve"> </v>
      </c>
      <c r="D162" s="41" t="str">
        <f t="shared" si="313"/>
        <v xml:space="preserve"> </v>
      </c>
      <c r="E162" s="41" t="str">
        <f t="shared" si="313"/>
        <v xml:space="preserve"> </v>
      </c>
      <c r="F162" s="41" t="str">
        <f t="shared" si="313"/>
        <v xml:space="preserve"> </v>
      </c>
      <c r="G162" s="41" t="str">
        <f t="shared" si="313"/>
        <v xml:space="preserve"> </v>
      </c>
      <c r="H162" s="41" t="str">
        <f t="shared" si="313"/>
        <v xml:space="preserve"> </v>
      </c>
      <c r="I162" s="41" t="str">
        <f t="shared" si="313"/>
        <v xml:space="preserve"> </v>
      </c>
      <c r="J162" s="41" t="str">
        <f t="shared" si="313"/>
        <v xml:space="preserve"> </v>
      </c>
      <c r="K162" s="57" t="str">
        <f t="shared" si="313"/>
        <v xml:space="preserve"> </v>
      </c>
      <c r="L162" s="41" t="str">
        <f t="shared" si="313"/>
        <v xml:space="preserve"> </v>
      </c>
      <c r="M162" s="41" t="str">
        <f t="shared" si="313"/>
        <v xml:space="preserve"> </v>
      </c>
      <c r="N162" s="41" t="str">
        <f t="shared" si="313"/>
        <v xml:space="preserve"> </v>
      </c>
      <c r="O162" s="41" t="str">
        <f t="shared" si="313"/>
        <v xml:space="preserve"> </v>
      </c>
      <c r="P162" s="41" t="str">
        <f t="shared" si="313"/>
        <v xml:space="preserve"> </v>
      </c>
      <c r="Q162" s="41" t="str">
        <f t="shared" si="313"/>
        <v xml:space="preserve"> </v>
      </c>
      <c r="R162" s="41" t="str">
        <f t="shared" si="313"/>
        <v xml:space="preserve"> </v>
      </c>
      <c r="S162" s="41" t="str">
        <f t="shared" si="313"/>
        <v xml:space="preserve"> </v>
      </c>
      <c r="T162" s="41" t="str">
        <f t="shared" si="313"/>
        <v xml:space="preserve"> </v>
      </c>
      <c r="U162" s="41" t="str">
        <f t="shared" ref="U162:AI162" si="314">IF(8-U96&gt;U99, "X", " ")</f>
        <v xml:space="preserve"> </v>
      </c>
      <c r="V162" s="41" t="str">
        <f t="shared" si="314"/>
        <v xml:space="preserve"> </v>
      </c>
      <c r="W162" s="41" t="str">
        <f t="shared" si="314"/>
        <v xml:space="preserve"> </v>
      </c>
      <c r="X162" s="41" t="str">
        <f t="shared" si="314"/>
        <v xml:space="preserve"> </v>
      </c>
      <c r="Y162" s="41" t="str">
        <f t="shared" si="314"/>
        <v xml:space="preserve"> </v>
      </c>
      <c r="Z162" s="41" t="str">
        <f t="shared" si="314"/>
        <v xml:space="preserve"> </v>
      </c>
      <c r="AA162" s="41" t="str">
        <f t="shared" si="314"/>
        <v xml:space="preserve"> </v>
      </c>
      <c r="AB162" s="41" t="str">
        <f t="shared" si="314"/>
        <v xml:space="preserve"> </v>
      </c>
      <c r="AC162" s="41" t="str">
        <f t="shared" si="314"/>
        <v xml:space="preserve"> </v>
      </c>
      <c r="AD162" s="41" t="str">
        <f t="shared" si="314"/>
        <v xml:space="preserve"> </v>
      </c>
      <c r="AE162" s="41" t="str">
        <f t="shared" si="314"/>
        <v xml:space="preserve"> </v>
      </c>
      <c r="AF162" s="41" t="str">
        <f t="shared" si="314"/>
        <v xml:space="preserve"> </v>
      </c>
      <c r="AG162" s="41" t="str">
        <f t="shared" si="314"/>
        <v xml:space="preserve"> </v>
      </c>
      <c r="AH162" s="41" t="str">
        <f t="shared" si="314"/>
        <v xml:space="preserve"> </v>
      </c>
      <c r="AI162" s="41" t="str">
        <f t="shared" si="314"/>
        <v xml:space="preserve"> </v>
      </c>
      <c r="AJ162" s="41" t="str">
        <f t="shared" ref="AJ162:BJ162" si="315">IF(8-AJ96&gt;AJ99, "X", " ")</f>
        <v xml:space="preserve"> </v>
      </c>
      <c r="AK162" s="41" t="str">
        <f t="shared" si="315"/>
        <v xml:space="preserve"> </v>
      </c>
      <c r="AL162" s="41" t="str">
        <f t="shared" si="315"/>
        <v xml:space="preserve"> </v>
      </c>
      <c r="AM162" s="41" t="str">
        <f t="shared" si="315"/>
        <v xml:space="preserve"> </v>
      </c>
      <c r="AN162" s="41" t="str">
        <f t="shared" si="315"/>
        <v xml:space="preserve"> </v>
      </c>
      <c r="AO162" s="41" t="str">
        <f t="shared" si="315"/>
        <v xml:space="preserve"> </v>
      </c>
      <c r="AP162" s="41" t="str">
        <f t="shared" si="315"/>
        <v xml:space="preserve"> </v>
      </c>
      <c r="AQ162" s="41" t="str">
        <f t="shared" si="315"/>
        <v xml:space="preserve"> </v>
      </c>
      <c r="AR162" s="41" t="str">
        <f t="shared" si="315"/>
        <v xml:space="preserve"> </v>
      </c>
      <c r="AS162" s="41" t="str">
        <f t="shared" si="315"/>
        <v xml:space="preserve"> </v>
      </c>
      <c r="AT162" s="41" t="str">
        <f t="shared" si="315"/>
        <v xml:space="preserve"> </v>
      </c>
      <c r="AU162" s="41" t="str">
        <f t="shared" si="315"/>
        <v xml:space="preserve"> </v>
      </c>
      <c r="AV162" s="41" t="str">
        <f t="shared" si="315"/>
        <v xml:space="preserve"> </v>
      </c>
      <c r="AW162" s="41" t="str">
        <f t="shared" si="315"/>
        <v xml:space="preserve"> </v>
      </c>
      <c r="AX162" s="41" t="str">
        <f t="shared" si="315"/>
        <v xml:space="preserve"> </v>
      </c>
      <c r="AY162" s="41" t="str">
        <f t="shared" si="315"/>
        <v xml:space="preserve"> </v>
      </c>
      <c r="AZ162" s="41" t="str">
        <f t="shared" si="315"/>
        <v xml:space="preserve"> </v>
      </c>
      <c r="BA162" s="41" t="str">
        <f t="shared" si="315"/>
        <v xml:space="preserve"> </v>
      </c>
      <c r="BB162" s="41" t="str">
        <f t="shared" si="315"/>
        <v xml:space="preserve"> </v>
      </c>
      <c r="BC162" s="41" t="str">
        <f t="shared" si="315"/>
        <v xml:space="preserve"> </v>
      </c>
      <c r="BD162" s="41" t="str">
        <f t="shared" si="315"/>
        <v xml:space="preserve"> </v>
      </c>
      <c r="BE162" s="41" t="str">
        <f t="shared" si="315"/>
        <v xml:space="preserve"> </v>
      </c>
      <c r="BF162" s="41" t="str">
        <f t="shared" si="315"/>
        <v xml:space="preserve"> </v>
      </c>
      <c r="BG162" s="41" t="str">
        <f t="shared" si="315"/>
        <v xml:space="preserve"> </v>
      </c>
      <c r="BH162" s="41" t="str">
        <f t="shared" si="315"/>
        <v xml:space="preserve"> </v>
      </c>
      <c r="BI162" s="41" t="str">
        <f t="shared" si="315"/>
        <v xml:space="preserve"> </v>
      </c>
      <c r="BJ162" s="41" t="str">
        <f t="shared" si="315"/>
        <v xml:space="preserve"> </v>
      </c>
      <c r="BK162" s="41"/>
      <c r="BL162" s="41"/>
      <c r="BM162" s="41"/>
      <c r="BN162" s="41" t="str">
        <f>IF(8-BN96&gt;BN99, "X", " ")</f>
        <v xml:space="preserve"> </v>
      </c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</row>
    <row r="163" spans="1:79" s="5" customFormat="1">
      <c r="A163" s="4" t="s">
        <v>22</v>
      </c>
      <c r="B163" s="57" t="str">
        <f t="shared" ref="B163:T163" si="316">IF(B111-15&lt;0, "X", " ")</f>
        <v xml:space="preserve"> </v>
      </c>
      <c r="C163" s="41" t="str">
        <f t="shared" si="316"/>
        <v xml:space="preserve"> </v>
      </c>
      <c r="D163" s="41" t="str">
        <f t="shared" si="316"/>
        <v xml:space="preserve"> </v>
      </c>
      <c r="E163" s="41" t="str">
        <f t="shared" si="316"/>
        <v xml:space="preserve"> </v>
      </c>
      <c r="F163" s="41" t="str">
        <f t="shared" si="316"/>
        <v xml:space="preserve"> </v>
      </c>
      <c r="G163" s="41" t="str">
        <f t="shared" si="316"/>
        <v xml:space="preserve"> </v>
      </c>
      <c r="H163" s="41" t="str">
        <f t="shared" si="316"/>
        <v xml:space="preserve"> </v>
      </c>
      <c r="I163" s="41" t="str">
        <f t="shared" si="316"/>
        <v xml:space="preserve"> </v>
      </c>
      <c r="J163" s="41" t="str">
        <f t="shared" si="316"/>
        <v xml:space="preserve"> </v>
      </c>
      <c r="K163" s="57" t="str">
        <f t="shared" si="316"/>
        <v xml:space="preserve"> </v>
      </c>
      <c r="L163" s="41" t="str">
        <f t="shared" si="316"/>
        <v xml:space="preserve"> </v>
      </c>
      <c r="M163" s="41" t="str">
        <f t="shared" si="316"/>
        <v xml:space="preserve"> </v>
      </c>
      <c r="N163" s="41" t="str">
        <f t="shared" si="316"/>
        <v xml:space="preserve"> </v>
      </c>
      <c r="O163" s="41" t="str">
        <f t="shared" si="316"/>
        <v xml:space="preserve"> </v>
      </c>
      <c r="P163" s="41" t="str">
        <f t="shared" si="316"/>
        <v xml:space="preserve"> </v>
      </c>
      <c r="Q163" s="41" t="str">
        <f t="shared" si="316"/>
        <v xml:space="preserve"> </v>
      </c>
      <c r="R163" s="41" t="str">
        <f t="shared" si="316"/>
        <v xml:space="preserve"> </v>
      </c>
      <c r="S163" s="41" t="str">
        <f t="shared" si="316"/>
        <v xml:space="preserve"> </v>
      </c>
      <c r="T163" s="41" t="str">
        <f t="shared" si="316"/>
        <v xml:space="preserve"> </v>
      </c>
      <c r="U163" s="41" t="str">
        <f t="shared" ref="U163:AI163" si="317">IF(U111-15&lt;0, "X", " ")</f>
        <v xml:space="preserve"> </v>
      </c>
      <c r="V163" s="41" t="str">
        <f t="shared" si="317"/>
        <v xml:space="preserve"> </v>
      </c>
      <c r="W163" s="41" t="str">
        <f t="shared" si="317"/>
        <v xml:space="preserve"> </v>
      </c>
      <c r="X163" s="41" t="str">
        <f t="shared" si="317"/>
        <v xml:space="preserve"> </v>
      </c>
      <c r="Y163" s="41" t="str">
        <f t="shared" si="317"/>
        <v xml:space="preserve"> </v>
      </c>
      <c r="Z163" s="41" t="str">
        <f t="shared" si="317"/>
        <v xml:space="preserve"> </v>
      </c>
      <c r="AA163" s="41" t="str">
        <f t="shared" si="317"/>
        <v xml:space="preserve"> </v>
      </c>
      <c r="AB163" s="41" t="str">
        <f t="shared" si="317"/>
        <v xml:space="preserve"> </v>
      </c>
      <c r="AC163" s="41" t="str">
        <f t="shared" si="317"/>
        <v xml:space="preserve"> </v>
      </c>
      <c r="AD163" s="41" t="str">
        <f t="shared" si="317"/>
        <v xml:space="preserve"> </v>
      </c>
      <c r="AE163" s="41" t="str">
        <f t="shared" si="317"/>
        <v xml:space="preserve"> </v>
      </c>
      <c r="AF163" s="41" t="str">
        <f t="shared" si="317"/>
        <v xml:space="preserve"> </v>
      </c>
      <c r="AG163" s="41" t="str">
        <f t="shared" si="317"/>
        <v xml:space="preserve"> </v>
      </c>
      <c r="AH163" s="41" t="str">
        <f t="shared" si="317"/>
        <v xml:space="preserve"> </v>
      </c>
      <c r="AI163" s="41" t="str">
        <f t="shared" si="317"/>
        <v xml:space="preserve"> </v>
      </c>
      <c r="AJ163" s="41" t="str">
        <f t="shared" ref="AJ163:BJ163" si="318">IF(AJ111-15&lt;0, "X", " ")</f>
        <v xml:space="preserve"> </v>
      </c>
      <c r="AK163" s="41" t="str">
        <f t="shared" si="318"/>
        <v xml:space="preserve"> </v>
      </c>
      <c r="AL163" s="41" t="str">
        <f t="shared" si="318"/>
        <v xml:space="preserve"> </v>
      </c>
      <c r="AM163" s="41" t="str">
        <f t="shared" si="318"/>
        <v xml:space="preserve"> </v>
      </c>
      <c r="AN163" s="41" t="str">
        <f t="shared" si="318"/>
        <v xml:space="preserve"> </v>
      </c>
      <c r="AO163" s="41" t="str">
        <f t="shared" si="318"/>
        <v xml:space="preserve"> </v>
      </c>
      <c r="AP163" s="41" t="str">
        <f t="shared" si="318"/>
        <v xml:space="preserve"> </v>
      </c>
      <c r="AQ163" s="41" t="str">
        <f t="shared" si="318"/>
        <v xml:space="preserve"> </v>
      </c>
      <c r="AR163" s="41" t="str">
        <f t="shared" si="318"/>
        <v xml:space="preserve"> </v>
      </c>
      <c r="AS163" s="41" t="str">
        <f t="shared" si="318"/>
        <v xml:space="preserve"> </v>
      </c>
      <c r="AT163" s="41" t="str">
        <f t="shared" si="318"/>
        <v xml:space="preserve"> </v>
      </c>
      <c r="AU163" s="41" t="str">
        <f t="shared" si="318"/>
        <v xml:space="preserve"> </v>
      </c>
      <c r="AV163" s="41" t="str">
        <f t="shared" si="318"/>
        <v xml:space="preserve"> </v>
      </c>
      <c r="AW163" s="41" t="str">
        <f t="shared" si="318"/>
        <v xml:space="preserve"> </v>
      </c>
      <c r="AX163" s="41" t="str">
        <f t="shared" si="318"/>
        <v xml:space="preserve"> </v>
      </c>
      <c r="AY163" s="41" t="str">
        <f t="shared" si="318"/>
        <v xml:space="preserve"> </v>
      </c>
      <c r="AZ163" s="41" t="str">
        <f t="shared" si="318"/>
        <v xml:space="preserve"> </v>
      </c>
      <c r="BA163" s="41" t="str">
        <f t="shared" si="318"/>
        <v xml:space="preserve"> </v>
      </c>
      <c r="BB163" s="41" t="str">
        <f t="shared" si="318"/>
        <v xml:space="preserve"> </v>
      </c>
      <c r="BC163" s="41" t="str">
        <f t="shared" si="318"/>
        <v xml:space="preserve"> </v>
      </c>
      <c r="BD163" s="41" t="str">
        <f t="shared" si="318"/>
        <v xml:space="preserve"> </v>
      </c>
      <c r="BE163" s="41" t="str">
        <f t="shared" si="318"/>
        <v xml:space="preserve"> </v>
      </c>
      <c r="BF163" s="41" t="str">
        <f t="shared" si="318"/>
        <v xml:space="preserve"> </v>
      </c>
      <c r="BG163" s="41" t="str">
        <f t="shared" si="318"/>
        <v xml:space="preserve"> </v>
      </c>
      <c r="BH163" s="41" t="str">
        <f t="shared" si="318"/>
        <v xml:space="preserve"> </v>
      </c>
      <c r="BI163" s="41" t="str">
        <f t="shared" si="318"/>
        <v xml:space="preserve"> </v>
      </c>
      <c r="BJ163" s="41" t="str">
        <f t="shared" si="318"/>
        <v xml:space="preserve"> </v>
      </c>
      <c r="BK163" s="41"/>
      <c r="BL163" s="41"/>
      <c r="BM163" s="41"/>
      <c r="BN163" s="41" t="str">
        <f>IF(BN111-15&lt;0, "X", " ")</f>
        <v xml:space="preserve"> </v>
      </c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</row>
    <row r="164" spans="1:79" s="5" customFormat="1">
      <c r="A164" s="4" t="s">
        <v>209</v>
      </c>
      <c r="B164" s="57" t="str">
        <f t="shared" ref="B164:T164" si="319">IF(B111-15&gt;B106+B107+0.001, "X", " ")</f>
        <v xml:space="preserve"> </v>
      </c>
      <c r="C164" s="41" t="str">
        <f t="shared" si="319"/>
        <v xml:space="preserve"> </v>
      </c>
      <c r="D164" s="41" t="str">
        <f t="shared" si="319"/>
        <v xml:space="preserve"> </v>
      </c>
      <c r="E164" s="41" t="str">
        <f t="shared" si="319"/>
        <v xml:space="preserve"> </v>
      </c>
      <c r="F164" s="41" t="str">
        <f t="shared" si="319"/>
        <v xml:space="preserve"> </v>
      </c>
      <c r="G164" s="41" t="str">
        <f t="shared" si="319"/>
        <v xml:space="preserve"> </v>
      </c>
      <c r="H164" s="41" t="str">
        <f t="shared" si="319"/>
        <v xml:space="preserve"> </v>
      </c>
      <c r="I164" s="41" t="str">
        <f t="shared" si="319"/>
        <v xml:space="preserve"> </v>
      </c>
      <c r="J164" s="41" t="str">
        <f t="shared" si="319"/>
        <v xml:space="preserve"> </v>
      </c>
      <c r="K164" s="57" t="str">
        <f t="shared" si="319"/>
        <v xml:space="preserve"> </v>
      </c>
      <c r="L164" s="41" t="str">
        <f t="shared" si="319"/>
        <v xml:space="preserve"> </v>
      </c>
      <c r="M164" s="41" t="str">
        <f t="shared" si="319"/>
        <v xml:space="preserve"> </v>
      </c>
      <c r="N164" s="41" t="str">
        <f t="shared" si="319"/>
        <v xml:space="preserve"> </v>
      </c>
      <c r="O164" s="41" t="str">
        <f t="shared" si="319"/>
        <v xml:space="preserve"> </v>
      </c>
      <c r="P164" s="41" t="str">
        <f t="shared" si="319"/>
        <v xml:space="preserve"> </v>
      </c>
      <c r="Q164" s="41" t="str">
        <f t="shared" si="319"/>
        <v xml:space="preserve"> </v>
      </c>
      <c r="R164" s="41" t="str">
        <f t="shared" si="319"/>
        <v xml:space="preserve"> </v>
      </c>
      <c r="S164" s="41" t="str">
        <f t="shared" si="319"/>
        <v xml:space="preserve"> </v>
      </c>
      <c r="T164" s="41" t="str">
        <f t="shared" si="319"/>
        <v xml:space="preserve"> </v>
      </c>
      <c r="U164" s="41" t="str">
        <f t="shared" ref="U164:AI164" si="320">IF(U111-15&gt;U106+U107+0.001, "X", " ")</f>
        <v xml:space="preserve"> </v>
      </c>
      <c r="V164" s="41" t="str">
        <f t="shared" si="320"/>
        <v xml:space="preserve"> </v>
      </c>
      <c r="W164" s="41" t="str">
        <f t="shared" si="320"/>
        <v xml:space="preserve"> </v>
      </c>
      <c r="X164" s="41" t="str">
        <f t="shared" si="320"/>
        <v xml:space="preserve"> </v>
      </c>
      <c r="Y164" s="41" t="str">
        <f t="shared" si="320"/>
        <v xml:space="preserve"> </v>
      </c>
      <c r="Z164" s="41" t="str">
        <f t="shared" si="320"/>
        <v xml:space="preserve"> </v>
      </c>
      <c r="AA164" s="41" t="str">
        <f t="shared" si="320"/>
        <v xml:space="preserve"> </v>
      </c>
      <c r="AB164" s="41" t="str">
        <f t="shared" si="320"/>
        <v xml:space="preserve"> </v>
      </c>
      <c r="AC164" s="41" t="str">
        <f t="shared" si="320"/>
        <v xml:space="preserve"> </v>
      </c>
      <c r="AD164" s="41" t="str">
        <f t="shared" si="320"/>
        <v xml:space="preserve"> </v>
      </c>
      <c r="AE164" s="41" t="str">
        <f t="shared" si="320"/>
        <v xml:space="preserve"> </v>
      </c>
      <c r="AF164" s="41" t="str">
        <f t="shared" si="320"/>
        <v xml:space="preserve"> </v>
      </c>
      <c r="AG164" s="41" t="str">
        <f t="shared" si="320"/>
        <v xml:space="preserve"> </v>
      </c>
      <c r="AH164" s="41" t="str">
        <f t="shared" si="320"/>
        <v xml:space="preserve"> </v>
      </c>
      <c r="AI164" s="41" t="str">
        <f t="shared" si="320"/>
        <v xml:space="preserve"> </v>
      </c>
      <c r="AJ164" s="41" t="str">
        <f t="shared" ref="AJ164:BJ164" si="321">IF(AJ111-15&gt;AJ106+AJ107+0.001, "X", " ")</f>
        <v xml:space="preserve"> </v>
      </c>
      <c r="AK164" s="41" t="str">
        <f t="shared" si="321"/>
        <v xml:space="preserve"> </v>
      </c>
      <c r="AL164" s="41" t="str">
        <f t="shared" si="321"/>
        <v xml:space="preserve"> </v>
      </c>
      <c r="AM164" s="41" t="str">
        <f t="shared" si="321"/>
        <v xml:space="preserve"> </v>
      </c>
      <c r="AN164" s="41" t="str">
        <f t="shared" si="321"/>
        <v xml:space="preserve"> </v>
      </c>
      <c r="AO164" s="41" t="str">
        <f t="shared" si="321"/>
        <v xml:space="preserve"> </v>
      </c>
      <c r="AP164" s="41" t="str">
        <f t="shared" si="321"/>
        <v xml:space="preserve"> </v>
      </c>
      <c r="AQ164" s="41" t="str">
        <f t="shared" si="321"/>
        <v xml:space="preserve"> </v>
      </c>
      <c r="AR164" s="41" t="str">
        <f t="shared" si="321"/>
        <v xml:space="preserve"> </v>
      </c>
      <c r="AS164" s="41" t="str">
        <f t="shared" si="321"/>
        <v xml:space="preserve"> </v>
      </c>
      <c r="AT164" s="41" t="str">
        <f t="shared" si="321"/>
        <v xml:space="preserve"> </v>
      </c>
      <c r="AU164" s="41" t="str">
        <f t="shared" si="321"/>
        <v xml:space="preserve"> </v>
      </c>
      <c r="AV164" s="41" t="str">
        <f t="shared" si="321"/>
        <v xml:space="preserve"> </v>
      </c>
      <c r="AW164" s="41" t="str">
        <f t="shared" si="321"/>
        <v xml:space="preserve"> </v>
      </c>
      <c r="AX164" s="41" t="str">
        <f t="shared" si="321"/>
        <v xml:space="preserve"> </v>
      </c>
      <c r="AY164" s="41" t="str">
        <f t="shared" si="321"/>
        <v xml:space="preserve"> </v>
      </c>
      <c r="AZ164" s="41" t="str">
        <f t="shared" si="321"/>
        <v xml:space="preserve"> </v>
      </c>
      <c r="BA164" s="41" t="str">
        <f t="shared" si="321"/>
        <v xml:space="preserve"> </v>
      </c>
      <c r="BB164" s="41" t="str">
        <f t="shared" si="321"/>
        <v xml:space="preserve"> </v>
      </c>
      <c r="BC164" s="41" t="str">
        <f t="shared" si="321"/>
        <v xml:space="preserve"> </v>
      </c>
      <c r="BD164" s="41" t="str">
        <f t="shared" si="321"/>
        <v xml:space="preserve"> </v>
      </c>
      <c r="BE164" s="41" t="str">
        <f t="shared" si="321"/>
        <v xml:space="preserve"> </v>
      </c>
      <c r="BF164" s="41" t="str">
        <f t="shared" si="321"/>
        <v xml:space="preserve"> </v>
      </c>
      <c r="BG164" s="41" t="str">
        <f t="shared" si="321"/>
        <v xml:space="preserve"> </v>
      </c>
      <c r="BH164" s="41" t="str">
        <f t="shared" si="321"/>
        <v xml:space="preserve"> </v>
      </c>
      <c r="BI164" s="41" t="str">
        <f t="shared" si="321"/>
        <v xml:space="preserve"> </v>
      </c>
      <c r="BJ164" s="41" t="str">
        <f t="shared" si="321"/>
        <v xml:space="preserve"> </v>
      </c>
      <c r="BK164" s="41"/>
      <c r="BL164" s="41"/>
      <c r="BM164" s="41"/>
      <c r="BN164" s="41" t="str">
        <f>IF(BN111-15&gt;BN106+BN107+0.001, "X", " ")</f>
        <v xml:space="preserve"> </v>
      </c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</row>
    <row r="165" spans="1:79" s="5" customFormat="1">
      <c r="A165" s="4" t="s">
        <v>210</v>
      </c>
      <c r="B165" s="57" t="str">
        <f t="shared" ref="B165:T165" si="322">IF(B149&lt;B107,  "X", " ")</f>
        <v xml:space="preserve"> </v>
      </c>
      <c r="C165" s="41" t="str">
        <f t="shared" si="322"/>
        <v xml:space="preserve"> </v>
      </c>
      <c r="D165" s="41" t="str">
        <f t="shared" si="322"/>
        <v xml:space="preserve"> </v>
      </c>
      <c r="E165" s="41" t="str">
        <f t="shared" si="322"/>
        <v xml:space="preserve"> </v>
      </c>
      <c r="F165" s="41" t="str">
        <f t="shared" si="322"/>
        <v xml:space="preserve"> </v>
      </c>
      <c r="G165" s="41" t="str">
        <f t="shared" si="322"/>
        <v xml:space="preserve"> </v>
      </c>
      <c r="H165" s="41" t="str">
        <f t="shared" si="322"/>
        <v xml:space="preserve"> </v>
      </c>
      <c r="I165" s="41" t="str">
        <f t="shared" si="322"/>
        <v xml:space="preserve"> </v>
      </c>
      <c r="J165" s="41" t="str">
        <f t="shared" si="322"/>
        <v xml:space="preserve"> </v>
      </c>
      <c r="K165" s="57" t="str">
        <f t="shared" si="322"/>
        <v xml:space="preserve"> </v>
      </c>
      <c r="L165" s="41" t="str">
        <f t="shared" si="322"/>
        <v xml:space="preserve"> </v>
      </c>
      <c r="M165" s="41" t="str">
        <f t="shared" si="322"/>
        <v xml:space="preserve"> </v>
      </c>
      <c r="N165" s="41" t="str">
        <f t="shared" si="322"/>
        <v xml:space="preserve"> </v>
      </c>
      <c r="O165" s="41" t="str">
        <f t="shared" si="322"/>
        <v xml:space="preserve"> </v>
      </c>
      <c r="P165" s="41" t="str">
        <f t="shared" si="322"/>
        <v xml:space="preserve"> </v>
      </c>
      <c r="Q165" s="41" t="str">
        <f t="shared" si="322"/>
        <v xml:space="preserve"> </v>
      </c>
      <c r="R165" s="41" t="str">
        <f t="shared" si="322"/>
        <v xml:space="preserve"> </v>
      </c>
      <c r="S165" s="41" t="str">
        <f t="shared" si="322"/>
        <v xml:space="preserve"> </v>
      </c>
      <c r="T165" s="41" t="str">
        <f t="shared" si="322"/>
        <v xml:space="preserve"> </v>
      </c>
      <c r="U165" s="41" t="str">
        <f t="shared" ref="U165:AI165" si="323">IF(U149&lt;U107,  "X", " ")</f>
        <v xml:space="preserve"> </v>
      </c>
      <c r="V165" s="41" t="str">
        <f t="shared" si="323"/>
        <v xml:space="preserve"> </v>
      </c>
      <c r="W165" s="41" t="str">
        <f t="shared" si="323"/>
        <v xml:space="preserve"> </v>
      </c>
      <c r="X165" s="41" t="str">
        <f t="shared" si="323"/>
        <v xml:space="preserve"> </v>
      </c>
      <c r="Y165" s="41" t="str">
        <f t="shared" si="323"/>
        <v xml:space="preserve"> </v>
      </c>
      <c r="Z165" s="41" t="str">
        <f t="shared" si="323"/>
        <v xml:space="preserve"> </v>
      </c>
      <c r="AA165" s="41" t="str">
        <f t="shared" si="323"/>
        <v xml:space="preserve"> </v>
      </c>
      <c r="AB165" s="41" t="str">
        <f t="shared" si="323"/>
        <v xml:space="preserve"> </v>
      </c>
      <c r="AC165" s="41" t="str">
        <f t="shared" si="323"/>
        <v xml:space="preserve"> </v>
      </c>
      <c r="AD165" s="41" t="str">
        <f t="shared" si="323"/>
        <v xml:space="preserve"> </v>
      </c>
      <c r="AE165" s="41" t="str">
        <f t="shared" si="323"/>
        <v xml:space="preserve"> </v>
      </c>
      <c r="AF165" s="41" t="str">
        <f t="shared" si="323"/>
        <v xml:space="preserve"> </v>
      </c>
      <c r="AG165" s="41" t="str">
        <f t="shared" si="323"/>
        <v xml:space="preserve"> </v>
      </c>
      <c r="AH165" s="41" t="str">
        <f t="shared" si="323"/>
        <v xml:space="preserve"> </v>
      </c>
      <c r="AI165" s="41" t="str">
        <f t="shared" si="323"/>
        <v xml:space="preserve"> </v>
      </c>
      <c r="AJ165" s="41" t="str">
        <f t="shared" ref="AJ165:BJ165" si="324">IF(AJ149&lt;AJ107,  "X", " ")</f>
        <v xml:space="preserve"> </v>
      </c>
      <c r="AK165" s="41" t="str">
        <f t="shared" si="324"/>
        <v xml:space="preserve"> </v>
      </c>
      <c r="AL165" s="41" t="str">
        <f t="shared" si="324"/>
        <v xml:space="preserve"> </v>
      </c>
      <c r="AM165" s="41" t="str">
        <f t="shared" si="324"/>
        <v xml:space="preserve"> </v>
      </c>
      <c r="AN165" s="41" t="str">
        <f t="shared" si="324"/>
        <v xml:space="preserve"> </v>
      </c>
      <c r="AO165" s="41" t="str">
        <f t="shared" si="324"/>
        <v xml:space="preserve"> </v>
      </c>
      <c r="AP165" s="41" t="str">
        <f t="shared" si="324"/>
        <v xml:space="preserve"> </v>
      </c>
      <c r="AQ165" s="41" t="str">
        <f t="shared" si="324"/>
        <v xml:space="preserve"> </v>
      </c>
      <c r="AR165" s="41" t="str">
        <f t="shared" si="324"/>
        <v xml:space="preserve"> </v>
      </c>
      <c r="AS165" s="41" t="str">
        <f t="shared" si="324"/>
        <v xml:space="preserve"> </v>
      </c>
      <c r="AT165" s="41" t="str">
        <f t="shared" si="324"/>
        <v xml:space="preserve"> </v>
      </c>
      <c r="AU165" s="41" t="str">
        <f t="shared" si="324"/>
        <v xml:space="preserve"> </v>
      </c>
      <c r="AV165" s="41" t="str">
        <f t="shared" si="324"/>
        <v xml:space="preserve"> </v>
      </c>
      <c r="AW165" s="41" t="str">
        <f t="shared" si="324"/>
        <v xml:space="preserve"> </v>
      </c>
      <c r="AX165" s="41" t="str">
        <f t="shared" si="324"/>
        <v xml:space="preserve"> </v>
      </c>
      <c r="AY165" s="41" t="str">
        <f t="shared" si="324"/>
        <v xml:space="preserve"> </v>
      </c>
      <c r="AZ165" s="41" t="str">
        <f t="shared" si="324"/>
        <v xml:space="preserve"> </v>
      </c>
      <c r="BA165" s="41" t="str">
        <f t="shared" si="324"/>
        <v xml:space="preserve"> </v>
      </c>
      <c r="BB165" s="41" t="str">
        <f t="shared" si="324"/>
        <v xml:space="preserve"> </v>
      </c>
      <c r="BC165" s="41" t="str">
        <f t="shared" si="324"/>
        <v xml:space="preserve"> </v>
      </c>
      <c r="BD165" s="41" t="str">
        <f t="shared" si="324"/>
        <v xml:space="preserve"> </v>
      </c>
      <c r="BE165" s="41" t="str">
        <f t="shared" si="324"/>
        <v xml:space="preserve"> </v>
      </c>
      <c r="BF165" s="41" t="str">
        <f t="shared" si="324"/>
        <v xml:space="preserve"> </v>
      </c>
      <c r="BG165" s="41" t="str">
        <f t="shared" si="324"/>
        <v xml:space="preserve"> </v>
      </c>
      <c r="BH165" s="41" t="str">
        <f t="shared" si="324"/>
        <v xml:space="preserve"> </v>
      </c>
      <c r="BI165" s="41" t="str">
        <f t="shared" si="324"/>
        <v xml:space="preserve"> </v>
      </c>
      <c r="BJ165" s="41" t="str">
        <f t="shared" si="324"/>
        <v xml:space="preserve"> </v>
      </c>
      <c r="BK165" s="41"/>
      <c r="BL165" s="41"/>
      <c r="BM165" s="41"/>
      <c r="BN165" s="41" t="str">
        <f>IF(BN149&lt;BN107,  "X", " ")</f>
        <v xml:space="preserve"> </v>
      </c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</row>
    <row r="166" spans="1:79" s="5" customFormat="1">
      <c r="A166" s="4" t="s">
        <v>215</v>
      </c>
      <c r="B166" s="57" t="str">
        <f t="shared" ref="B166:T166" si="325">IF(B105+B181&gt;2.001, "X", " ")</f>
        <v xml:space="preserve"> </v>
      </c>
      <c r="C166" s="41" t="str">
        <f t="shared" si="325"/>
        <v xml:space="preserve"> </v>
      </c>
      <c r="D166" s="41" t="str">
        <f t="shared" si="325"/>
        <v xml:space="preserve"> </v>
      </c>
      <c r="E166" s="41" t="str">
        <f t="shared" si="325"/>
        <v xml:space="preserve"> </v>
      </c>
      <c r="F166" s="41" t="str">
        <f t="shared" si="325"/>
        <v xml:space="preserve"> </v>
      </c>
      <c r="G166" s="41" t="str">
        <f t="shared" si="325"/>
        <v xml:space="preserve"> </v>
      </c>
      <c r="H166" s="41" t="str">
        <f t="shared" si="325"/>
        <v xml:space="preserve"> </v>
      </c>
      <c r="I166" s="41" t="str">
        <f t="shared" si="325"/>
        <v xml:space="preserve"> </v>
      </c>
      <c r="J166" s="41" t="str">
        <f t="shared" si="325"/>
        <v xml:space="preserve"> </v>
      </c>
      <c r="K166" s="57" t="str">
        <f t="shared" si="325"/>
        <v xml:space="preserve"> </v>
      </c>
      <c r="L166" s="41" t="str">
        <f t="shared" si="325"/>
        <v xml:space="preserve"> </v>
      </c>
      <c r="M166" s="41" t="str">
        <f t="shared" si="325"/>
        <v xml:space="preserve"> </v>
      </c>
      <c r="N166" s="41" t="str">
        <f t="shared" si="325"/>
        <v xml:space="preserve"> </v>
      </c>
      <c r="O166" s="41" t="str">
        <f t="shared" si="325"/>
        <v xml:space="preserve"> </v>
      </c>
      <c r="P166" s="41" t="str">
        <f t="shared" si="325"/>
        <v xml:space="preserve"> </v>
      </c>
      <c r="Q166" s="41" t="str">
        <f t="shared" si="325"/>
        <v xml:space="preserve"> </v>
      </c>
      <c r="R166" s="41" t="str">
        <f t="shared" si="325"/>
        <v xml:space="preserve"> </v>
      </c>
      <c r="S166" s="41" t="str">
        <f t="shared" si="325"/>
        <v xml:space="preserve"> </v>
      </c>
      <c r="T166" s="41" t="str">
        <f t="shared" si="325"/>
        <v xml:space="preserve"> </v>
      </c>
      <c r="U166" s="41" t="str">
        <f t="shared" ref="U166:AI166" si="326">IF(U105+U181&gt;2.001, "X", " ")</f>
        <v xml:space="preserve"> </v>
      </c>
      <c r="V166" s="41" t="str">
        <f t="shared" si="326"/>
        <v xml:space="preserve"> </v>
      </c>
      <c r="W166" s="41" t="str">
        <f t="shared" si="326"/>
        <v xml:space="preserve"> </v>
      </c>
      <c r="X166" s="41" t="str">
        <f t="shared" si="326"/>
        <v xml:space="preserve"> </v>
      </c>
      <c r="Y166" s="41" t="str">
        <f t="shared" si="326"/>
        <v>X</v>
      </c>
      <c r="Z166" s="41" t="str">
        <f t="shared" si="326"/>
        <v>X</v>
      </c>
      <c r="AA166" s="41" t="str">
        <f t="shared" si="326"/>
        <v>X</v>
      </c>
      <c r="AB166" s="41" t="str">
        <f t="shared" si="326"/>
        <v xml:space="preserve"> </v>
      </c>
      <c r="AC166" s="41" t="str">
        <f t="shared" si="326"/>
        <v xml:space="preserve"> </v>
      </c>
      <c r="AD166" s="41" t="str">
        <f t="shared" si="326"/>
        <v xml:space="preserve"> </v>
      </c>
      <c r="AE166" s="41" t="str">
        <f t="shared" si="326"/>
        <v xml:space="preserve"> </v>
      </c>
      <c r="AF166" s="41" t="str">
        <f t="shared" si="326"/>
        <v xml:space="preserve"> </v>
      </c>
      <c r="AG166" s="41" t="str">
        <f t="shared" si="326"/>
        <v xml:space="preserve"> </v>
      </c>
      <c r="AH166" s="41" t="str">
        <f t="shared" si="326"/>
        <v xml:space="preserve"> </v>
      </c>
      <c r="AI166" s="41" t="str">
        <f t="shared" si="326"/>
        <v xml:space="preserve"> </v>
      </c>
      <c r="AJ166" s="41" t="str">
        <f t="shared" ref="AJ166:BJ166" si="327">IF(AJ105+AJ181&gt;2.001, "X", " ")</f>
        <v xml:space="preserve"> </v>
      </c>
      <c r="AK166" s="41" t="str">
        <f t="shared" si="327"/>
        <v xml:space="preserve"> </v>
      </c>
      <c r="AL166" s="41" t="str">
        <f t="shared" si="327"/>
        <v xml:space="preserve"> </v>
      </c>
      <c r="AM166" s="41" t="str">
        <f t="shared" si="327"/>
        <v xml:space="preserve"> </v>
      </c>
      <c r="AN166" s="41" t="str">
        <f t="shared" si="327"/>
        <v xml:space="preserve"> </v>
      </c>
      <c r="AO166" s="41" t="str">
        <f t="shared" si="327"/>
        <v xml:space="preserve"> </v>
      </c>
      <c r="AP166" s="41" t="str">
        <f t="shared" si="327"/>
        <v xml:space="preserve"> </v>
      </c>
      <c r="AQ166" s="41" t="str">
        <f t="shared" si="327"/>
        <v xml:space="preserve"> </v>
      </c>
      <c r="AR166" s="41" t="str">
        <f t="shared" si="327"/>
        <v xml:space="preserve"> </v>
      </c>
      <c r="AS166" s="41" t="str">
        <f t="shared" si="327"/>
        <v xml:space="preserve"> </v>
      </c>
      <c r="AT166" s="41" t="str">
        <f t="shared" si="327"/>
        <v xml:space="preserve"> </v>
      </c>
      <c r="AU166" s="41" t="str">
        <f t="shared" si="327"/>
        <v xml:space="preserve"> </v>
      </c>
      <c r="AV166" s="41" t="str">
        <f t="shared" si="327"/>
        <v xml:space="preserve"> </v>
      </c>
      <c r="AW166" s="41" t="str">
        <f t="shared" si="327"/>
        <v xml:space="preserve"> </v>
      </c>
      <c r="AX166" s="41" t="str">
        <f t="shared" si="327"/>
        <v>X</v>
      </c>
      <c r="AY166" s="41" t="str">
        <f t="shared" si="327"/>
        <v xml:space="preserve"> </v>
      </c>
      <c r="AZ166" s="41" t="str">
        <f t="shared" si="327"/>
        <v xml:space="preserve"> </v>
      </c>
      <c r="BA166" s="41" t="str">
        <f t="shared" si="327"/>
        <v xml:space="preserve"> </v>
      </c>
      <c r="BB166" s="41" t="str">
        <f t="shared" si="327"/>
        <v xml:space="preserve"> </v>
      </c>
      <c r="BC166" s="41" t="str">
        <f t="shared" si="327"/>
        <v xml:space="preserve"> </v>
      </c>
      <c r="BD166" s="41" t="str">
        <f t="shared" si="327"/>
        <v xml:space="preserve"> </v>
      </c>
      <c r="BE166" s="41" t="str">
        <f t="shared" si="327"/>
        <v xml:space="preserve"> </v>
      </c>
      <c r="BF166" s="41" t="str">
        <f t="shared" si="327"/>
        <v xml:space="preserve"> </v>
      </c>
      <c r="BG166" s="41" t="str">
        <f t="shared" si="327"/>
        <v xml:space="preserve"> </v>
      </c>
      <c r="BH166" s="41" t="str">
        <f t="shared" si="327"/>
        <v xml:space="preserve"> </v>
      </c>
      <c r="BI166" s="41" t="str">
        <f t="shared" si="327"/>
        <v xml:space="preserve"> </v>
      </c>
      <c r="BJ166" s="41" t="str">
        <f t="shared" si="327"/>
        <v xml:space="preserve"> </v>
      </c>
      <c r="BK166" s="41"/>
      <c r="BL166" s="41"/>
      <c r="BM166" s="41"/>
      <c r="BN166" s="41" t="str">
        <f>IF(BN105+BN181&gt;2.001, "X", " ")</f>
        <v xml:space="preserve"> </v>
      </c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</row>
    <row r="167" spans="1:79" s="5" customFormat="1">
      <c r="A167" s="4" t="s">
        <v>10</v>
      </c>
      <c r="B167" s="57" t="str">
        <f t="shared" ref="B167:T167" si="328">IF(B105&gt;2.001,  "X", " ")</f>
        <v xml:space="preserve"> </v>
      </c>
      <c r="C167" s="41" t="str">
        <f t="shared" si="328"/>
        <v xml:space="preserve"> </v>
      </c>
      <c r="D167" s="41" t="str">
        <f t="shared" si="328"/>
        <v xml:space="preserve"> </v>
      </c>
      <c r="E167" s="41" t="str">
        <f t="shared" si="328"/>
        <v xml:space="preserve"> </v>
      </c>
      <c r="F167" s="41" t="str">
        <f t="shared" si="328"/>
        <v xml:space="preserve"> </v>
      </c>
      <c r="G167" s="41" t="str">
        <f t="shared" si="328"/>
        <v xml:space="preserve"> </v>
      </c>
      <c r="H167" s="41" t="str">
        <f t="shared" si="328"/>
        <v xml:space="preserve"> </v>
      </c>
      <c r="I167" s="41" t="str">
        <f t="shared" si="328"/>
        <v xml:space="preserve"> </v>
      </c>
      <c r="J167" s="41" t="str">
        <f t="shared" si="328"/>
        <v xml:space="preserve"> </v>
      </c>
      <c r="K167" s="57" t="str">
        <f t="shared" si="328"/>
        <v xml:space="preserve"> </v>
      </c>
      <c r="L167" s="41" t="str">
        <f t="shared" si="328"/>
        <v xml:space="preserve"> </v>
      </c>
      <c r="M167" s="41" t="str">
        <f t="shared" si="328"/>
        <v xml:space="preserve"> </v>
      </c>
      <c r="N167" s="41" t="str">
        <f t="shared" si="328"/>
        <v xml:space="preserve"> </v>
      </c>
      <c r="O167" s="41" t="str">
        <f t="shared" si="328"/>
        <v xml:space="preserve"> </v>
      </c>
      <c r="P167" s="41" t="str">
        <f t="shared" si="328"/>
        <v xml:space="preserve"> </v>
      </c>
      <c r="Q167" s="41" t="str">
        <f t="shared" si="328"/>
        <v xml:space="preserve"> </v>
      </c>
      <c r="R167" s="41" t="str">
        <f t="shared" si="328"/>
        <v xml:space="preserve"> </v>
      </c>
      <c r="S167" s="41" t="str">
        <f t="shared" si="328"/>
        <v xml:space="preserve"> </v>
      </c>
      <c r="T167" s="41" t="str">
        <f t="shared" si="328"/>
        <v xml:space="preserve"> </v>
      </c>
      <c r="U167" s="41" t="str">
        <f t="shared" ref="U167:AI167" si="329">IF(U105&gt;2.001,  "X", " ")</f>
        <v xml:space="preserve"> </v>
      </c>
      <c r="V167" s="41" t="str">
        <f t="shared" si="329"/>
        <v xml:space="preserve"> </v>
      </c>
      <c r="W167" s="41" t="str">
        <f t="shared" si="329"/>
        <v xml:space="preserve"> </v>
      </c>
      <c r="X167" s="41" t="str">
        <f t="shared" si="329"/>
        <v xml:space="preserve"> </v>
      </c>
      <c r="Y167" s="41" t="str">
        <f t="shared" si="329"/>
        <v>X</v>
      </c>
      <c r="Z167" s="41" t="str">
        <f t="shared" si="329"/>
        <v>X</v>
      </c>
      <c r="AA167" s="41" t="str">
        <f t="shared" si="329"/>
        <v>X</v>
      </c>
      <c r="AB167" s="41" t="str">
        <f t="shared" si="329"/>
        <v xml:space="preserve"> </v>
      </c>
      <c r="AC167" s="41" t="str">
        <f t="shared" si="329"/>
        <v xml:space="preserve"> </v>
      </c>
      <c r="AD167" s="41" t="str">
        <f t="shared" si="329"/>
        <v xml:space="preserve"> </v>
      </c>
      <c r="AE167" s="41" t="str">
        <f t="shared" si="329"/>
        <v xml:space="preserve"> </v>
      </c>
      <c r="AF167" s="41" t="str">
        <f t="shared" si="329"/>
        <v xml:space="preserve"> </v>
      </c>
      <c r="AG167" s="41" t="str">
        <f t="shared" si="329"/>
        <v xml:space="preserve"> </v>
      </c>
      <c r="AH167" s="41" t="str">
        <f t="shared" si="329"/>
        <v xml:space="preserve"> </v>
      </c>
      <c r="AI167" s="41" t="str">
        <f t="shared" si="329"/>
        <v xml:space="preserve"> </v>
      </c>
      <c r="AJ167" s="41" t="str">
        <f t="shared" ref="AJ167:BJ167" si="330">IF(AJ105&gt;2.001,  "X", " ")</f>
        <v xml:space="preserve"> </v>
      </c>
      <c r="AK167" s="41" t="str">
        <f t="shared" si="330"/>
        <v xml:space="preserve"> </v>
      </c>
      <c r="AL167" s="41" t="str">
        <f t="shared" si="330"/>
        <v xml:space="preserve"> </v>
      </c>
      <c r="AM167" s="41" t="str">
        <f t="shared" si="330"/>
        <v xml:space="preserve"> </v>
      </c>
      <c r="AN167" s="41" t="str">
        <f t="shared" si="330"/>
        <v xml:space="preserve"> </v>
      </c>
      <c r="AO167" s="41" t="str">
        <f t="shared" si="330"/>
        <v xml:space="preserve"> </v>
      </c>
      <c r="AP167" s="41" t="str">
        <f t="shared" si="330"/>
        <v xml:space="preserve"> </v>
      </c>
      <c r="AQ167" s="41" t="str">
        <f t="shared" si="330"/>
        <v xml:space="preserve"> </v>
      </c>
      <c r="AR167" s="41" t="str">
        <f t="shared" si="330"/>
        <v xml:space="preserve"> </v>
      </c>
      <c r="AS167" s="41" t="str">
        <f t="shared" si="330"/>
        <v xml:space="preserve"> </v>
      </c>
      <c r="AT167" s="41" t="str">
        <f t="shared" si="330"/>
        <v xml:space="preserve"> </v>
      </c>
      <c r="AU167" s="41" t="str">
        <f t="shared" si="330"/>
        <v xml:space="preserve"> </v>
      </c>
      <c r="AV167" s="41" t="str">
        <f t="shared" si="330"/>
        <v xml:space="preserve"> </v>
      </c>
      <c r="AW167" s="41" t="str">
        <f t="shared" si="330"/>
        <v xml:space="preserve"> </v>
      </c>
      <c r="AX167" s="41" t="str">
        <f t="shared" si="330"/>
        <v>X</v>
      </c>
      <c r="AY167" s="41" t="str">
        <f t="shared" si="330"/>
        <v xml:space="preserve"> </v>
      </c>
      <c r="AZ167" s="41" t="str">
        <f t="shared" si="330"/>
        <v xml:space="preserve"> </v>
      </c>
      <c r="BA167" s="41" t="str">
        <f t="shared" si="330"/>
        <v xml:space="preserve"> </v>
      </c>
      <c r="BB167" s="41" t="str">
        <f t="shared" si="330"/>
        <v xml:space="preserve"> </v>
      </c>
      <c r="BC167" s="41" t="str">
        <f t="shared" si="330"/>
        <v xml:space="preserve"> </v>
      </c>
      <c r="BD167" s="41" t="str">
        <f t="shared" si="330"/>
        <v xml:space="preserve"> </v>
      </c>
      <c r="BE167" s="41" t="str">
        <f t="shared" si="330"/>
        <v xml:space="preserve"> </v>
      </c>
      <c r="BF167" s="41" t="str">
        <f t="shared" si="330"/>
        <v xml:space="preserve"> </v>
      </c>
      <c r="BG167" s="41" t="str">
        <f t="shared" si="330"/>
        <v xml:space="preserve"> </v>
      </c>
      <c r="BH167" s="41" t="str">
        <f t="shared" si="330"/>
        <v xml:space="preserve"> </v>
      </c>
      <c r="BI167" s="41" t="str">
        <f t="shared" si="330"/>
        <v xml:space="preserve"> </v>
      </c>
      <c r="BJ167" s="41" t="str">
        <f t="shared" si="330"/>
        <v xml:space="preserve"> </v>
      </c>
      <c r="BK167" s="41"/>
      <c r="BL167" s="41"/>
      <c r="BM167" s="41"/>
      <c r="BN167" s="41" t="str">
        <f>IF(BN105&gt;2.001,  "X", " ")</f>
        <v xml:space="preserve"> </v>
      </c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</row>
    <row r="168" spans="1:79" s="5" customFormat="1">
      <c r="A168" s="4" t="s">
        <v>11</v>
      </c>
      <c r="B168" s="57" t="str">
        <f t="shared" ref="B168:T168" si="331">IF(B184=0,  "X", " ")</f>
        <v xml:space="preserve"> </v>
      </c>
      <c r="C168" s="41" t="str">
        <f t="shared" si="331"/>
        <v xml:space="preserve"> </v>
      </c>
      <c r="D168" s="41" t="str">
        <f t="shared" si="331"/>
        <v xml:space="preserve"> </v>
      </c>
      <c r="E168" s="41" t="str">
        <f t="shared" si="331"/>
        <v xml:space="preserve"> </v>
      </c>
      <c r="F168" s="41" t="str">
        <f t="shared" si="331"/>
        <v xml:space="preserve"> </v>
      </c>
      <c r="G168" s="41" t="str">
        <f t="shared" si="331"/>
        <v xml:space="preserve"> </v>
      </c>
      <c r="H168" s="41" t="str">
        <f t="shared" si="331"/>
        <v xml:space="preserve"> </v>
      </c>
      <c r="I168" s="41" t="str">
        <f t="shared" si="331"/>
        <v xml:space="preserve"> </v>
      </c>
      <c r="J168" s="41" t="str">
        <f t="shared" si="331"/>
        <v xml:space="preserve"> </v>
      </c>
      <c r="K168" s="57" t="str">
        <f t="shared" si="331"/>
        <v xml:space="preserve"> </v>
      </c>
      <c r="L168" s="41" t="str">
        <f t="shared" si="331"/>
        <v xml:space="preserve"> </v>
      </c>
      <c r="M168" s="41" t="str">
        <f t="shared" si="331"/>
        <v xml:space="preserve"> </v>
      </c>
      <c r="N168" s="41" t="str">
        <f t="shared" si="331"/>
        <v xml:space="preserve"> </v>
      </c>
      <c r="O168" s="41" t="str">
        <f t="shared" si="331"/>
        <v xml:space="preserve"> </v>
      </c>
      <c r="P168" s="41" t="str">
        <f t="shared" si="331"/>
        <v xml:space="preserve"> </v>
      </c>
      <c r="Q168" s="41" t="str">
        <f t="shared" si="331"/>
        <v xml:space="preserve"> </v>
      </c>
      <c r="R168" s="41" t="str">
        <f t="shared" si="331"/>
        <v xml:space="preserve"> </v>
      </c>
      <c r="S168" s="41" t="str">
        <f t="shared" si="331"/>
        <v xml:space="preserve"> </v>
      </c>
      <c r="T168" s="41" t="str">
        <f t="shared" si="331"/>
        <v xml:space="preserve"> </v>
      </c>
      <c r="U168" s="41" t="str">
        <f t="shared" ref="U168:AI168" si="332">IF(U184=0,  "X", " ")</f>
        <v xml:space="preserve"> </v>
      </c>
      <c r="V168" s="41" t="str">
        <f t="shared" si="332"/>
        <v xml:space="preserve"> </v>
      </c>
      <c r="W168" s="41" t="str">
        <f t="shared" si="332"/>
        <v xml:space="preserve"> </v>
      </c>
      <c r="X168" s="41" t="str">
        <f t="shared" si="332"/>
        <v xml:space="preserve"> </v>
      </c>
      <c r="Y168" s="41" t="str">
        <f t="shared" si="332"/>
        <v xml:space="preserve"> </v>
      </c>
      <c r="Z168" s="41" t="str">
        <f t="shared" si="332"/>
        <v xml:space="preserve"> </v>
      </c>
      <c r="AA168" s="41" t="str">
        <f t="shared" si="332"/>
        <v xml:space="preserve"> </v>
      </c>
      <c r="AB168" s="41" t="str">
        <f t="shared" si="332"/>
        <v xml:space="preserve"> </v>
      </c>
      <c r="AC168" s="41" t="str">
        <f t="shared" si="332"/>
        <v xml:space="preserve"> </v>
      </c>
      <c r="AD168" s="41" t="str">
        <f t="shared" si="332"/>
        <v xml:space="preserve"> </v>
      </c>
      <c r="AE168" s="41" t="str">
        <f t="shared" si="332"/>
        <v xml:space="preserve"> </v>
      </c>
      <c r="AF168" s="41" t="str">
        <f t="shared" si="332"/>
        <v xml:space="preserve"> </v>
      </c>
      <c r="AG168" s="41" t="str">
        <f t="shared" si="332"/>
        <v xml:space="preserve"> </v>
      </c>
      <c r="AH168" s="41" t="str">
        <f t="shared" si="332"/>
        <v xml:space="preserve"> </v>
      </c>
      <c r="AI168" s="41" t="str">
        <f t="shared" si="332"/>
        <v xml:space="preserve"> </v>
      </c>
      <c r="AJ168" s="41" t="str">
        <f t="shared" ref="AJ168:BJ168" si="333">IF(AJ184=0,  "X", " ")</f>
        <v xml:space="preserve"> </v>
      </c>
      <c r="AK168" s="41" t="str">
        <f t="shared" si="333"/>
        <v xml:space="preserve"> </v>
      </c>
      <c r="AL168" s="41" t="str">
        <f t="shared" si="333"/>
        <v xml:space="preserve"> </v>
      </c>
      <c r="AM168" s="41" t="str">
        <f t="shared" si="333"/>
        <v xml:space="preserve"> </v>
      </c>
      <c r="AN168" s="41" t="str">
        <f t="shared" si="333"/>
        <v xml:space="preserve"> </v>
      </c>
      <c r="AO168" s="41" t="str">
        <f t="shared" si="333"/>
        <v xml:space="preserve"> </v>
      </c>
      <c r="AP168" s="41" t="str">
        <f t="shared" si="333"/>
        <v xml:space="preserve"> </v>
      </c>
      <c r="AQ168" s="41" t="str">
        <f t="shared" si="333"/>
        <v xml:space="preserve"> </v>
      </c>
      <c r="AR168" s="41" t="str">
        <f t="shared" si="333"/>
        <v xml:space="preserve"> </v>
      </c>
      <c r="AS168" s="41" t="str">
        <f t="shared" si="333"/>
        <v xml:space="preserve"> </v>
      </c>
      <c r="AT168" s="41" t="str">
        <f t="shared" si="333"/>
        <v xml:space="preserve"> </v>
      </c>
      <c r="AU168" s="41" t="str">
        <f t="shared" si="333"/>
        <v xml:space="preserve"> </v>
      </c>
      <c r="AV168" s="41" t="str">
        <f t="shared" si="333"/>
        <v xml:space="preserve"> </v>
      </c>
      <c r="AW168" s="41" t="str">
        <f t="shared" si="333"/>
        <v xml:space="preserve"> </v>
      </c>
      <c r="AX168" s="41" t="str">
        <f t="shared" si="333"/>
        <v xml:space="preserve"> </v>
      </c>
      <c r="AY168" s="41" t="str">
        <f t="shared" si="333"/>
        <v xml:space="preserve"> </v>
      </c>
      <c r="AZ168" s="41" t="str">
        <f t="shared" si="333"/>
        <v xml:space="preserve"> </v>
      </c>
      <c r="BA168" s="41" t="str">
        <f t="shared" si="333"/>
        <v xml:space="preserve"> </v>
      </c>
      <c r="BB168" s="41" t="str">
        <f t="shared" si="333"/>
        <v xml:space="preserve"> </v>
      </c>
      <c r="BC168" s="41" t="str">
        <f t="shared" si="333"/>
        <v xml:space="preserve"> </v>
      </c>
      <c r="BD168" s="41" t="str">
        <f t="shared" si="333"/>
        <v xml:space="preserve"> </v>
      </c>
      <c r="BE168" s="41" t="str">
        <f t="shared" si="333"/>
        <v xml:space="preserve"> </v>
      </c>
      <c r="BF168" s="41" t="str">
        <f t="shared" si="333"/>
        <v xml:space="preserve"> </v>
      </c>
      <c r="BG168" s="41" t="str">
        <f t="shared" si="333"/>
        <v xml:space="preserve"> </v>
      </c>
      <c r="BH168" s="41" t="str">
        <f t="shared" si="333"/>
        <v xml:space="preserve"> </v>
      </c>
      <c r="BI168" s="41" t="str">
        <f t="shared" si="333"/>
        <v xml:space="preserve"> </v>
      </c>
      <c r="BJ168" s="41" t="str">
        <f t="shared" si="333"/>
        <v xml:space="preserve"> </v>
      </c>
      <c r="BK168" s="41"/>
      <c r="BL168" s="41"/>
      <c r="BM168" s="41"/>
      <c r="BN168" s="41" t="str">
        <f>IF(BN184=0,  "X", " ")</f>
        <v xml:space="preserve"> </v>
      </c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</row>
    <row r="169" spans="1:79" s="5" customFormat="1">
      <c r="A169" s="4" t="s">
        <v>250</v>
      </c>
      <c r="B169" s="57" t="str">
        <f t="shared" ref="B169:T169" si="334">IF(B137+2*B97+B98+B185-B150&gt;B184+0.001,  "X", " ")</f>
        <v>X</v>
      </c>
      <c r="C169" s="41" t="str">
        <f t="shared" si="334"/>
        <v xml:space="preserve"> </v>
      </c>
      <c r="D169" s="41" t="str">
        <f t="shared" si="334"/>
        <v xml:space="preserve"> </v>
      </c>
      <c r="E169" s="41" t="str">
        <f t="shared" si="334"/>
        <v xml:space="preserve"> </v>
      </c>
      <c r="F169" s="41" t="str">
        <f t="shared" si="334"/>
        <v xml:space="preserve"> </v>
      </c>
      <c r="G169" s="41" t="str">
        <f t="shared" si="334"/>
        <v xml:space="preserve"> </v>
      </c>
      <c r="H169" s="41" t="str">
        <f t="shared" si="334"/>
        <v xml:space="preserve"> </v>
      </c>
      <c r="I169" s="41" t="str">
        <f t="shared" si="334"/>
        <v xml:space="preserve"> </v>
      </c>
      <c r="J169" s="41" t="str">
        <f t="shared" si="334"/>
        <v>X</v>
      </c>
      <c r="K169" s="57" t="str">
        <f t="shared" si="334"/>
        <v>X</v>
      </c>
      <c r="L169" s="41" t="str">
        <f t="shared" si="334"/>
        <v xml:space="preserve"> </v>
      </c>
      <c r="M169" s="41" t="str">
        <f t="shared" si="334"/>
        <v xml:space="preserve"> </v>
      </c>
      <c r="N169" s="41" t="str">
        <f t="shared" si="334"/>
        <v>X</v>
      </c>
      <c r="O169" s="41" t="str">
        <f t="shared" si="334"/>
        <v xml:space="preserve"> </v>
      </c>
      <c r="P169" s="41" t="str">
        <f t="shared" si="334"/>
        <v xml:space="preserve"> </v>
      </c>
      <c r="Q169" s="41" t="str">
        <f t="shared" si="334"/>
        <v xml:space="preserve"> </v>
      </c>
      <c r="R169" s="41" t="str">
        <f t="shared" si="334"/>
        <v xml:space="preserve"> </v>
      </c>
      <c r="S169" s="41" t="str">
        <f t="shared" si="334"/>
        <v xml:space="preserve"> </v>
      </c>
      <c r="T169" s="41" t="str">
        <f t="shared" si="334"/>
        <v xml:space="preserve"> </v>
      </c>
      <c r="U169" s="41" t="str">
        <f t="shared" ref="U169:AI169" si="335">IF(U137+2*U97+U98+U185-U150&gt;U184+0.001,  "X", " ")</f>
        <v xml:space="preserve"> </v>
      </c>
      <c r="V169" s="41" t="str">
        <f t="shared" si="335"/>
        <v xml:space="preserve"> </v>
      </c>
      <c r="W169" s="41" t="str">
        <f t="shared" si="335"/>
        <v xml:space="preserve"> </v>
      </c>
      <c r="X169" s="41" t="str">
        <f t="shared" si="335"/>
        <v xml:space="preserve"> </v>
      </c>
      <c r="Y169" s="41" t="str">
        <f t="shared" si="335"/>
        <v xml:space="preserve"> </v>
      </c>
      <c r="Z169" s="41" t="str">
        <f t="shared" si="335"/>
        <v xml:space="preserve"> </v>
      </c>
      <c r="AA169" s="41" t="str">
        <f t="shared" si="335"/>
        <v>X</v>
      </c>
      <c r="AB169" s="41" t="str">
        <f t="shared" si="335"/>
        <v>X</v>
      </c>
      <c r="AC169" s="41" t="str">
        <f t="shared" si="335"/>
        <v>X</v>
      </c>
      <c r="AD169" s="41" t="str">
        <f t="shared" si="335"/>
        <v>X</v>
      </c>
      <c r="AE169" s="41" t="str">
        <f t="shared" si="335"/>
        <v>X</v>
      </c>
      <c r="AF169" s="41" t="str">
        <f t="shared" si="335"/>
        <v>X</v>
      </c>
      <c r="AG169" s="41" t="str">
        <f t="shared" si="335"/>
        <v>X</v>
      </c>
      <c r="AH169" s="41" t="str">
        <f t="shared" si="335"/>
        <v>X</v>
      </c>
      <c r="AI169" s="41" t="str">
        <f t="shared" si="335"/>
        <v>X</v>
      </c>
      <c r="AJ169" s="41" t="str">
        <f t="shared" ref="AJ169:BJ169" si="336">IF(AJ137+2*AJ97+AJ98+AJ185-AJ150&gt;AJ184+0.001,  "X", " ")</f>
        <v>X</v>
      </c>
      <c r="AK169" s="41" t="str">
        <f t="shared" si="336"/>
        <v>X</v>
      </c>
      <c r="AL169" s="41" t="str">
        <f t="shared" si="336"/>
        <v>X</v>
      </c>
      <c r="AM169" s="41" t="str">
        <f t="shared" si="336"/>
        <v>X</v>
      </c>
      <c r="AN169" s="41" t="str">
        <f t="shared" si="336"/>
        <v>X</v>
      </c>
      <c r="AO169" s="41" t="str">
        <f t="shared" si="336"/>
        <v>X</v>
      </c>
      <c r="AP169" s="41" t="str">
        <f t="shared" si="336"/>
        <v xml:space="preserve"> </v>
      </c>
      <c r="AQ169" s="41" t="str">
        <f t="shared" si="336"/>
        <v xml:space="preserve"> </v>
      </c>
      <c r="AR169" s="41" t="str">
        <f t="shared" si="336"/>
        <v xml:space="preserve"> </v>
      </c>
      <c r="AS169" s="41" t="str">
        <f t="shared" si="336"/>
        <v xml:space="preserve"> </v>
      </c>
      <c r="AT169" s="41" t="str">
        <f t="shared" si="336"/>
        <v xml:space="preserve"> </v>
      </c>
      <c r="AU169" s="41" t="str">
        <f t="shared" si="336"/>
        <v xml:space="preserve"> </v>
      </c>
      <c r="AV169" s="41" t="str">
        <f t="shared" si="336"/>
        <v xml:space="preserve"> </v>
      </c>
      <c r="AW169" s="41" t="str">
        <f t="shared" si="336"/>
        <v xml:space="preserve"> </v>
      </c>
      <c r="AX169" s="41" t="str">
        <f t="shared" si="336"/>
        <v xml:space="preserve"> </v>
      </c>
      <c r="AY169" s="41" t="str">
        <f t="shared" si="336"/>
        <v xml:space="preserve"> </v>
      </c>
      <c r="AZ169" s="41" t="str">
        <f t="shared" si="336"/>
        <v xml:space="preserve"> </v>
      </c>
      <c r="BA169" s="41" t="str">
        <f t="shared" si="336"/>
        <v xml:space="preserve"> </v>
      </c>
      <c r="BB169" s="41" t="str">
        <f t="shared" si="336"/>
        <v xml:space="preserve"> </v>
      </c>
      <c r="BC169" s="41" t="str">
        <f t="shared" si="336"/>
        <v xml:space="preserve"> </v>
      </c>
      <c r="BD169" s="41" t="str">
        <f t="shared" si="336"/>
        <v xml:space="preserve"> </v>
      </c>
      <c r="BE169" s="41" t="str">
        <f t="shared" si="336"/>
        <v xml:space="preserve"> </v>
      </c>
      <c r="BF169" s="41" t="str">
        <f t="shared" si="336"/>
        <v>X</v>
      </c>
      <c r="BG169" s="41" t="str">
        <f t="shared" si="336"/>
        <v>X</v>
      </c>
      <c r="BH169" s="41" t="str">
        <f t="shared" si="336"/>
        <v>X</v>
      </c>
      <c r="BI169" s="41" t="str">
        <f t="shared" si="336"/>
        <v>X</v>
      </c>
      <c r="BJ169" s="41" t="str">
        <f t="shared" si="336"/>
        <v xml:space="preserve"> </v>
      </c>
      <c r="BK169" s="41"/>
      <c r="BL169" s="41"/>
      <c r="BM169" s="41"/>
      <c r="BN169" s="41" t="str">
        <f>IF(BN137+2*BN97+BN98+BN185-BN150&gt;BN184+0.001,  "X", " ")</f>
        <v xml:space="preserve"> </v>
      </c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</row>
    <row r="170" spans="1:79" s="5" customFormat="1">
      <c r="A170" s="4" t="s">
        <v>55</v>
      </c>
      <c r="B170" s="57" t="str">
        <f t="shared" ref="B170:T170" si="337">IF(B154&gt;B136/2,  "X", " ")</f>
        <v xml:space="preserve"> </v>
      </c>
      <c r="C170" s="41" t="str">
        <f t="shared" si="337"/>
        <v xml:space="preserve"> </v>
      </c>
      <c r="D170" s="41" t="str">
        <f t="shared" si="337"/>
        <v xml:space="preserve"> </v>
      </c>
      <c r="E170" s="41" t="str">
        <f t="shared" si="337"/>
        <v xml:space="preserve"> </v>
      </c>
      <c r="F170" s="41" t="str">
        <f t="shared" si="337"/>
        <v xml:space="preserve"> </v>
      </c>
      <c r="G170" s="41" t="str">
        <f t="shared" si="337"/>
        <v xml:space="preserve"> </v>
      </c>
      <c r="H170" s="41" t="str">
        <f t="shared" si="337"/>
        <v xml:space="preserve"> </v>
      </c>
      <c r="I170" s="41" t="str">
        <f t="shared" si="337"/>
        <v xml:space="preserve"> </v>
      </c>
      <c r="J170" s="41" t="str">
        <f t="shared" si="337"/>
        <v xml:space="preserve"> </v>
      </c>
      <c r="K170" s="57" t="str">
        <f t="shared" si="337"/>
        <v xml:space="preserve"> </v>
      </c>
      <c r="L170" s="41" t="str">
        <f t="shared" si="337"/>
        <v xml:space="preserve"> </v>
      </c>
      <c r="M170" s="41" t="str">
        <f t="shared" si="337"/>
        <v xml:space="preserve"> </v>
      </c>
      <c r="N170" s="41" t="str">
        <f t="shared" si="337"/>
        <v xml:space="preserve"> </v>
      </c>
      <c r="O170" s="41" t="str">
        <f t="shared" si="337"/>
        <v xml:space="preserve"> </v>
      </c>
      <c r="P170" s="41" t="str">
        <f t="shared" si="337"/>
        <v xml:space="preserve"> </v>
      </c>
      <c r="Q170" s="41" t="str">
        <f t="shared" si="337"/>
        <v xml:space="preserve"> </v>
      </c>
      <c r="R170" s="41" t="str">
        <f t="shared" si="337"/>
        <v xml:space="preserve"> </v>
      </c>
      <c r="S170" s="41" t="str">
        <f t="shared" si="337"/>
        <v xml:space="preserve"> </v>
      </c>
      <c r="T170" s="41" t="str">
        <f t="shared" si="337"/>
        <v xml:space="preserve"> </v>
      </c>
      <c r="U170" s="41" t="str">
        <f t="shared" ref="U170:AI170" si="338">IF(U154&gt;U136/2,  "X", " ")</f>
        <v xml:space="preserve"> </v>
      </c>
      <c r="V170" s="41" t="str">
        <f t="shared" si="338"/>
        <v xml:space="preserve"> </v>
      </c>
      <c r="W170" s="41" t="str">
        <f t="shared" si="338"/>
        <v xml:space="preserve"> </v>
      </c>
      <c r="X170" s="41" t="str">
        <f t="shared" si="338"/>
        <v xml:space="preserve"> </v>
      </c>
      <c r="Y170" s="41" t="str">
        <f t="shared" si="338"/>
        <v xml:space="preserve"> </v>
      </c>
      <c r="Z170" s="41" t="str">
        <f t="shared" si="338"/>
        <v xml:space="preserve"> </v>
      </c>
      <c r="AA170" s="41" t="str">
        <f t="shared" si="338"/>
        <v xml:space="preserve"> </v>
      </c>
      <c r="AB170" s="41" t="str">
        <f t="shared" si="338"/>
        <v xml:space="preserve"> </v>
      </c>
      <c r="AC170" s="41" t="str">
        <f t="shared" si="338"/>
        <v xml:space="preserve"> </v>
      </c>
      <c r="AD170" s="41" t="str">
        <f t="shared" si="338"/>
        <v xml:space="preserve"> </v>
      </c>
      <c r="AE170" s="41" t="str">
        <f t="shared" si="338"/>
        <v xml:space="preserve"> </v>
      </c>
      <c r="AF170" s="41" t="str">
        <f t="shared" si="338"/>
        <v xml:space="preserve"> </v>
      </c>
      <c r="AG170" s="41" t="str">
        <f t="shared" si="338"/>
        <v xml:space="preserve"> </v>
      </c>
      <c r="AH170" s="41" t="str">
        <f t="shared" si="338"/>
        <v xml:space="preserve"> </v>
      </c>
      <c r="AI170" s="41" t="str">
        <f t="shared" si="338"/>
        <v xml:space="preserve"> </v>
      </c>
      <c r="AJ170" s="41" t="str">
        <f t="shared" ref="AJ170:BJ170" si="339">IF(AJ154&gt;AJ136/2,  "X", " ")</f>
        <v xml:space="preserve"> </v>
      </c>
      <c r="AK170" s="41" t="str">
        <f t="shared" si="339"/>
        <v xml:space="preserve"> </v>
      </c>
      <c r="AL170" s="41" t="str">
        <f t="shared" si="339"/>
        <v xml:space="preserve"> </v>
      </c>
      <c r="AM170" s="41" t="str">
        <f t="shared" si="339"/>
        <v xml:space="preserve"> </v>
      </c>
      <c r="AN170" s="41" t="str">
        <f t="shared" si="339"/>
        <v xml:space="preserve"> </v>
      </c>
      <c r="AO170" s="41" t="str">
        <f t="shared" si="339"/>
        <v xml:space="preserve"> </v>
      </c>
      <c r="AP170" s="41" t="str">
        <f t="shared" si="339"/>
        <v xml:space="preserve"> </v>
      </c>
      <c r="AQ170" s="41" t="str">
        <f t="shared" si="339"/>
        <v xml:space="preserve"> </v>
      </c>
      <c r="AR170" s="41" t="str">
        <f t="shared" si="339"/>
        <v xml:space="preserve"> </v>
      </c>
      <c r="AS170" s="41" t="str">
        <f t="shared" si="339"/>
        <v xml:space="preserve"> </v>
      </c>
      <c r="AT170" s="41" t="str">
        <f t="shared" si="339"/>
        <v xml:space="preserve"> </v>
      </c>
      <c r="AU170" s="41" t="str">
        <f t="shared" si="339"/>
        <v xml:space="preserve"> </v>
      </c>
      <c r="AV170" s="41" t="str">
        <f t="shared" si="339"/>
        <v xml:space="preserve"> </v>
      </c>
      <c r="AW170" s="41" t="str">
        <f t="shared" si="339"/>
        <v xml:space="preserve"> </v>
      </c>
      <c r="AX170" s="41" t="str">
        <f t="shared" si="339"/>
        <v xml:space="preserve"> </v>
      </c>
      <c r="AY170" s="41" t="str">
        <f t="shared" si="339"/>
        <v xml:space="preserve"> </v>
      </c>
      <c r="AZ170" s="41" t="str">
        <f t="shared" si="339"/>
        <v xml:space="preserve"> </v>
      </c>
      <c r="BA170" s="41" t="str">
        <f t="shared" si="339"/>
        <v xml:space="preserve"> </v>
      </c>
      <c r="BB170" s="41" t="str">
        <f t="shared" si="339"/>
        <v xml:space="preserve"> </v>
      </c>
      <c r="BC170" s="41" t="str">
        <f t="shared" si="339"/>
        <v xml:space="preserve"> </v>
      </c>
      <c r="BD170" s="41" t="str">
        <f t="shared" si="339"/>
        <v xml:space="preserve"> </v>
      </c>
      <c r="BE170" s="41" t="str">
        <f t="shared" si="339"/>
        <v xml:space="preserve"> </v>
      </c>
      <c r="BF170" s="41" t="str">
        <f t="shared" si="339"/>
        <v xml:space="preserve"> </v>
      </c>
      <c r="BG170" s="41" t="str">
        <f t="shared" si="339"/>
        <v xml:space="preserve"> </v>
      </c>
      <c r="BH170" s="41" t="str">
        <f t="shared" si="339"/>
        <v xml:space="preserve"> </v>
      </c>
      <c r="BI170" s="41" t="str">
        <f t="shared" si="339"/>
        <v xml:space="preserve"> </v>
      </c>
      <c r="BJ170" s="41" t="str">
        <f t="shared" si="339"/>
        <v xml:space="preserve"> </v>
      </c>
      <c r="BK170" s="41"/>
      <c r="BL170" s="41"/>
      <c r="BM170" s="41"/>
      <c r="BN170" s="41" t="str">
        <f>IF(BN154&gt;BN136/2,  "X", " ")</f>
        <v xml:space="preserve"> </v>
      </c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</row>
    <row r="171" spans="1:79" s="5" customFormat="1">
      <c r="A171" s="4" t="s">
        <v>260</v>
      </c>
      <c r="B171" s="57" t="str">
        <f t="shared" ref="B171:T171" si="340">IF(5-B191&gt;0.01, "X", IF(5-B191&lt;-0.01,  "X", " "))</f>
        <v xml:space="preserve"> </v>
      </c>
      <c r="C171" s="41" t="str">
        <f t="shared" si="340"/>
        <v xml:space="preserve"> </v>
      </c>
      <c r="D171" s="41" t="str">
        <f t="shared" si="340"/>
        <v xml:space="preserve"> </v>
      </c>
      <c r="E171" s="41" t="str">
        <f t="shared" si="340"/>
        <v xml:space="preserve"> </v>
      </c>
      <c r="F171" s="41" t="str">
        <f t="shared" si="340"/>
        <v xml:space="preserve"> </v>
      </c>
      <c r="G171" s="41" t="str">
        <f t="shared" si="340"/>
        <v xml:space="preserve"> </v>
      </c>
      <c r="H171" s="41" t="str">
        <f t="shared" si="340"/>
        <v xml:space="preserve"> </v>
      </c>
      <c r="I171" s="41" t="str">
        <f t="shared" si="340"/>
        <v xml:space="preserve"> </v>
      </c>
      <c r="J171" s="41" t="str">
        <f t="shared" si="340"/>
        <v xml:space="preserve"> </v>
      </c>
      <c r="K171" s="57" t="str">
        <f t="shared" si="340"/>
        <v xml:space="preserve"> </v>
      </c>
      <c r="L171" s="41" t="str">
        <f t="shared" si="340"/>
        <v xml:space="preserve"> </v>
      </c>
      <c r="M171" s="41" t="str">
        <f t="shared" si="340"/>
        <v xml:space="preserve"> </v>
      </c>
      <c r="N171" s="41" t="str">
        <f t="shared" si="340"/>
        <v xml:space="preserve"> </v>
      </c>
      <c r="O171" s="41" t="str">
        <f t="shared" si="340"/>
        <v xml:space="preserve"> </v>
      </c>
      <c r="P171" s="41" t="str">
        <f t="shared" si="340"/>
        <v xml:space="preserve"> </v>
      </c>
      <c r="Q171" s="41" t="str">
        <f t="shared" si="340"/>
        <v xml:space="preserve"> </v>
      </c>
      <c r="R171" s="41" t="str">
        <f t="shared" si="340"/>
        <v xml:space="preserve"> </v>
      </c>
      <c r="S171" s="41" t="str">
        <f t="shared" si="340"/>
        <v xml:space="preserve"> </v>
      </c>
      <c r="T171" s="41" t="str">
        <f t="shared" si="340"/>
        <v xml:space="preserve"> </v>
      </c>
      <c r="U171" s="41" t="str">
        <f t="shared" ref="U171:AI171" si="341">IF(5-U191&gt;0.01, "X", IF(5-U191&lt;-0.01,  "X", " "))</f>
        <v xml:space="preserve"> </v>
      </c>
      <c r="V171" s="41" t="str">
        <f t="shared" si="341"/>
        <v xml:space="preserve"> </v>
      </c>
      <c r="W171" s="41" t="str">
        <f t="shared" si="341"/>
        <v xml:space="preserve"> </v>
      </c>
      <c r="X171" s="41" t="str">
        <f t="shared" si="341"/>
        <v xml:space="preserve"> </v>
      </c>
      <c r="Y171" s="41" t="str">
        <f t="shared" si="341"/>
        <v>X</v>
      </c>
      <c r="Z171" s="41" t="str">
        <f t="shared" si="341"/>
        <v>X</v>
      </c>
      <c r="AA171" s="41" t="str">
        <f t="shared" si="341"/>
        <v>X</v>
      </c>
      <c r="AB171" s="41" t="str">
        <f t="shared" si="341"/>
        <v xml:space="preserve"> </v>
      </c>
      <c r="AC171" s="41" t="str">
        <f t="shared" si="341"/>
        <v xml:space="preserve"> </v>
      </c>
      <c r="AD171" s="41" t="str">
        <f t="shared" si="341"/>
        <v xml:space="preserve"> </v>
      </c>
      <c r="AE171" s="41" t="str">
        <f t="shared" si="341"/>
        <v xml:space="preserve"> </v>
      </c>
      <c r="AF171" s="41" t="str">
        <f t="shared" si="341"/>
        <v xml:space="preserve"> </v>
      </c>
      <c r="AG171" s="41" t="str">
        <f t="shared" si="341"/>
        <v xml:space="preserve"> </v>
      </c>
      <c r="AH171" s="41" t="str">
        <f t="shared" si="341"/>
        <v xml:space="preserve"> </v>
      </c>
      <c r="AI171" s="41" t="str">
        <f t="shared" si="341"/>
        <v xml:space="preserve"> </v>
      </c>
      <c r="AJ171" s="41" t="str">
        <f t="shared" ref="AJ171:BJ171" si="342">IF(5-AJ191&gt;0.01, "X", IF(5-AJ191&lt;-0.01,  "X", " "))</f>
        <v xml:space="preserve"> </v>
      </c>
      <c r="AK171" s="41" t="str">
        <f t="shared" si="342"/>
        <v xml:space="preserve"> </v>
      </c>
      <c r="AL171" s="41" t="str">
        <f t="shared" si="342"/>
        <v xml:space="preserve"> </v>
      </c>
      <c r="AM171" s="41" t="str">
        <f t="shared" si="342"/>
        <v xml:space="preserve"> </v>
      </c>
      <c r="AN171" s="41" t="str">
        <f t="shared" si="342"/>
        <v xml:space="preserve"> </v>
      </c>
      <c r="AO171" s="41" t="str">
        <f t="shared" si="342"/>
        <v xml:space="preserve"> </v>
      </c>
      <c r="AP171" s="41" t="str">
        <f t="shared" si="342"/>
        <v xml:space="preserve"> </v>
      </c>
      <c r="AQ171" s="41" t="str">
        <f t="shared" si="342"/>
        <v xml:space="preserve"> </v>
      </c>
      <c r="AR171" s="41" t="str">
        <f t="shared" si="342"/>
        <v xml:space="preserve"> </v>
      </c>
      <c r="AS171" s="41" t="str">
        <f t="shared" si="342"/>
        <v xml:space="preserve"> </v>
      </c>
      <c r="AT171" s="41" t="str">
        <f t="shared" si="342"/>
        <v xml:space="preserve"> </v>
      </c>
      <c r="AU171" s="41" t="str">
        <f t="shared" si="342"/>
        <v xml:space="preserve"> </v>
      </c>
      <c r="AV171" s="41" t="str">
        <f t="shared" si="342"/>
        <v xml:space="preserve"> </v>
      </c>
      <c r="AW171" s="41" t="str">
        <f t="shared" si="342"/>
        <v xml:space="preserve"> </v>
      </c>
      <c r="AX171" s="41" t="str">
        <f t="shared" si="342"/>
        <v>X</v>
      </c>
      <c r="AY171" s="41" t="str">
        <f t="shared" si="342"/>
        <v xml:space="preserve"> </v>
      </c>
      <c r="AZ171" s="41" t="str">
        <f t="shared" si="342"/>
        <v xml:space="preserve"> </v>
      </c>
      <c r="BA171" s="41" t="str">
        <f t="shared" si="342"/>
        <v xml:space="preserve"> </v>
      </c>
      <c r="BB171" s="41" t="str">
        <f t="shared" si="342"/>
        <v xml:space="preserve"> </v>
      </c>
      <c r="BC171" s="41" t="str">
        <f t="shared" si="342"/>
        <v xml:space="preserve"> </v>
      </c>
      <c r="BD171" s="41" t="str">
        <f t="shared" si="342"/>
        <v xml:space="preserve"> </v>
      </c>
      <c r="BE171" s="41" t="str">
        <f t="shared" si="342"/>
        <v xml:space="preserve"> </v>
      </c>
      <c r="BF171" s="41" t="str">
        <f t="shared" si="342"/>
        <v xml:space="preserve"> </v>
      </c>
      <c r="BG171" s="41" t="str">
        <f t="shared" si="342"/>
        <v xml:space="preserve"> </v>
      </c>
      <c r="BH171" s="41" t="str">
        <f t="shared" si="342"/>
        <v xml:space="preserve"> </v>
      </c>
      <c r="BI171" s="41" t="str">
        <f t="shared" si="342"/>
        <v xml:space="preserve"> </v>
      </c>
      <c r="BJ171" s="41" t="str">
        <f t="shared" si="342"/>
        <v xml:space="preserve"> </v>
      </c>
      <c r="BK171" s="41"/>
      <c r="BL171" s="41"/>
      <c r="BM171" s="41"/>
      <c r="BN171" s="41" t="str">
        <f>IF(5-BN191&gt;0.01, "X", IF(5-BN191&lt;-0.01,  "X", " "))</f>
        <v xml:space="preserve"> </v>
      </c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</row>
    <row r="172" spans="1:79" s="5" customFormat="1">
      <c r="A172" s="4" t="s">
        <v>262</v>
      </c>
      <c r="B172" s="57" t="str">
        <f t="shared" ref="B172:T172" si="343">IF(B97+B98+B100+B137&gt;2.001,  "X", " ")</f>
        <v xml:space="preserve"> </v>
      </c>
      <c r="C172" s="41" t="str">
        <f t="shared" si="343"/>
        <v xml:space="preserve"> </v>
      </c>
      <c r="D172" s="41" t="str">
        <f t="shared" si="343"/>
        <v xml:space="preserve"> </v>
      </c>
      <c r="E172" s="41" t="str">
        <f t="shared" si="343"/>
        <v xml:space="preserve"> </v>
      </c>
      <c r="F172" s="41" t="str">
        <f t="shared" si="343"/>
        <v xml:space="preserve"> </v>
      </c>
      <c r="G172" s="41" t="str">
        <f t="shared" si="343"/>
        <v xml:space="preserve"> </v>
      </c>
      <c r="H172" s="41" t="str">
        <f t="shared" si="343"/>
        <v xml:space="preserve"> </v>
      </c>
      <c r="I172" s="41" t="str">
        <f t="shared" si="343"/>
        <v xml:space="preserve"> </v>
      </c>
      <c r="J172" s="41" t="str">
        <f t="shared" si="343"/>
        <v xml:space="preserve"> </v>
      </c>
      <c r="K172" s="57" t="str">
        <f t="shared" si="343"/>
        <v xml:space="preserve"> </v>
      </c>
      <c r="L172" s="41" t="str">
        <f t="shared" si="343"/>
        <v xml:space="preserve"> </v>
      </c>
      <c r="M172" s="41" t="str">
        <f t="shared" si="343"/>
        <v xml:space="preserve"> </v>
      </c>
      <c r="N172" s="41" t="str">
        <f t="shared" si="343"/>
        <v xml:space="preserve"> </v>
      </c>
      <c r="O172" s="41" t="str">
        <f t="shared" si="343"/>
        <v xml:space="preserve"> </v>
      </c>
      <c r="P172" s="41" t="str">
        <f t="shared" si="343"/>
        <v xml:space="preserve"> </v>
      </c>
      <c r="Q172" s="41" t="str">
        <f t="shared" si="343"/>
        <v xml:space="preserve"> </v>
      </c>
      <c r="R172" s="41" t="str">
        <f t="shared" si="343"/>
        <v xml:space="preserve"> </v>
      </c>
      <c r="S172" s="41" t="str">
        <f t="shared" si="343"/>
        <v xml:space="preserve"> </v>
      </c>
      <c r="T172" s="41" t="str">
        <f t="shared" si="343"/>
        <v xml:space="preserve"> </v>
      </c>
      <c r="U172" s="41" t="str">
        <f t="shared" ref="U172:AI172" si="344">IF(U97+U98+U100+U137&gt;2.001,  "X", " ")</f>
        <v xml:space="preserve"> </v>
      </c>
      <c r="V172" s="41" t="str">
        <f t="shared" si="344"/>
        <v xml:space="preserve"> </v>
      </c>
      <c r="W172" s="41" t="str">
        <f t="shared" si="344"/>
        <v xml:space="preserve"> </v>
      </c>
      <c r="X172" s="41" t="str">
        <f t="shared" si="344"/>
        <v xml:space="preserve"> </v>
      </c>
      <c r="Y172" s="41" t="str">
        <f t="shared" si="344"/>
        <v xml:space="preserve"> </v>
      </c>
      <c r="Z172" s="41" t="str">
        <f t="shared" si="344"/>
        <v xml:space="preserve"> </v>
      </c>
      <c r="AA172" s="41" t="str">
        <f t="shared" si="344"/>
        <v xml:space="preserve"> </v>
      </c>
      <c r="AB172" s="41" t="str">
        <f t="shared" si="344"/>
        <v xml:space="preserve"> </v>
      </c>
      <c r="AC172" s="41" t="str">
        <f t="shared" si="344"/>
        <v xml:space="preserve"> </v>
      </c>
      <c r="AD172" s="41" t="str">
        <f t="shared" si="344"/>
        <v xml:space="preserve"> </v>
      </c>
      <c r="AE172" s="41" t="str">
        <f t="shared" si="344"/>
        <v xml:space="preserve"> </v>
      </c>
      <c r="AF172" s="41" t="str">
        <f t="shared" si="344"/>
        <v xml:space="preserve"> </v>
      </c>
      <c r="AG172" s="41" t="str">
        <f t="shared" si="344"/>
        <v xml:space="preserve"> </v>
      </c>
      <c r="AH172" s="41" t="str">
        <f t="shared" si="344"/>
        <v xml:space="preserve"> </v>
      </c>
      <c r="AI172" s="41" t="str">
        <f t="shared" si="344"/>
        <v xml:space="preserve"> </v>
      </c>
      <c r="AJ172" s="41" t="str">
        <f t="shared" ref="AJ172:BJ172" si="345">IF(AJ97+AJ98+AJ100+AJ137&gt;2.001,  "X", " ")</f>
        <v xml:space="preserve"> </v>
      </c>
      <c r="AK172" s="41" t="str">
        <f t="shared" si="345"/>
        <v xml:space="preserve"> </v>
      </c>
      <c r="AL172" s="41" t="str">
        <f t="shared" si="345"/>
        <v xml:space="preserve"> </v>
      </c>
      <c r="AM172" s="41" t="str">
        <f t="shared" si="345"/>
        <v xml:space="preserve"> </v>
      </c>
      <c r="AN172" s="41" t="str">
        <f t="shared" si="345"/>
        <v xml:space="preserve"> </v>
      </c>
      <c r="AO172" s="41" t="str">
        <f t="shared" si="345"/>
        <v xml:space="preserve"> </v>
      </c>
      <c r="AP172" s="41" t="str">
        <f t="shared" si="345"/>
        <v xml:space="preserve"> </v>
      </c>
      <c r="AQ172" s="41" t="str">
        <f t="shared" si="345"/>
        <v xml:space="preserve"> </v>
      </c>
      <c r="AR172" s="41" t="str">
        <f t="shared" si="345"/>
        <v xml:space="preserve"> </v>
      </c>
      <c r="AS172" s="41" t="str">
        <f t="shared" si="345"/>
        <v xml:space="preserve"> </v>
      </c>
      <c r="AT172" s="41" t="str">
        <f t="shared" si="345"/>
        <v xml:space="preserve"> </v>
      </c>
      <c r="AU172" s="41" t="str">
        <f t="shared" si="345"/>
        <v xml:space="preserve"> </v>
      </c>
      <c r="AV172" s="41" t="str">
        <f t="shared" si="345"/>
        <v xml:space="preserve"> </v>
      </c>
      <c r="AW172" s="41" t="str">
        <f t="shared" si="345"/>
        <v xml:space="preserve"> </v>
      </c>
      <c r="AX172" s="41" t="str">
        <f t="shared" si="345"/>
        <v xml:space="preserve"> </v>
      </c>
      <c r="AY172" s="41" t="str">
        <f t="shared" si="345"/>
        <v xml:space="preserve"> </v>
      </c>
      <c r="AZ172" s="41" t="str">
        <f t="shared" si="345"/>
        <v xml:space="preserve"> </v>
      </c>
      <c r="BA172" s="41" t="str">
        <f t="shared" si="345"/>
        <v xml:space="preserve"> </v>
      </c>
      <c r="BB172" s="41" t="str">
        <f t="shared" si="345"/>
        <v xml:space="preserve"> </v>
      </c>
      <c r="BC172" s="41" t="str">
        <f t="shared" si="345"/>
        <v xml:space="preserve"> </v>
      </c>
      <c r="BD172" s="41" t="str">
        <f t="shared" si="345"/>
        <v xml:space="preserve"> </v>
      </c>
      <c r="BE172" s="41" t="str">
        <f t="shared" si="345"/>
        <v xml:space="preserve"> </v>
      </c>
      <c r="BF172" s="41" t="str">
        <f t="shared" si="345"/>
        <v xml:space="preserve"> </v>
      </c>
      <c r="BG172" s="41" t="str">
        <f t="shared" si="345"/>
        <v xml:space="preserve"> </v>
      </c>
      <c r="BH172" s="41" t="str">
        <f t="shared" si="345"/>
        <v xml:space="preserve"> </v>
      </c>
      <c r="BI172" s="41" t="str">
        <f t="shared" si="345"/>
        <v xml:space="preserve"> </v>
      </c>
      <c r="BJ172" s="41" t="str">
        <f t="shared" si="345"/>
        <v xml:space="preserve"> </v>
      </c>
      <c r="BK172" s="41"/>
      <c r="BL172" s="41"/>
      <c r="BM172" s="41"/>
      <c r="BN172" s="41" t="str">
        <f>IF(BN97+BN98+BN100+BN137&gt;2.001,  "X", " ")</f>
        <v xml:space="preserve"> </v>
      </c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</row>
    <row r="173" spans="1:79" s="5" customFormat="1">
      <c r="A173" s="4" t="s">
        <v>261</v>
      </c>
      <c r="B173" s="57" t="str">
        <f t="shared" ref="B173:T173" si="346">IF(B111&gt;16.001,  "X", " ")</f>
        <v xml:space="preserve"> </v>
      </c>
      <c r="C173" s="41" t="str">
        <f t="shared" si="346"/>
        <v xml:space="preserve"> </v>
      </c>
      <c r="D173" s="41" t="str">
        <f t="shared" si="346"/>
        <v xml:space="preserve"> </v>
      </c>
      <c r="E173" s="41" t="str">
        <f t="shared" si="346"/>
        <v xml:space="preserve"> </v>
      </c>
      <c r="F173" s="41" t="str">
        <f t="shared" si="346"/>
        <v xml:space="preserve"> </v>
      </c>
      <c r="G173" s="41" t="str">
        <f t="shared" si="346"/>
        <v xml:space="preserve"> </v>
      </c>
      <c r="H173" s="41" t="str">
        <f t="shared" si="346"/>
        <v xml:space="preserve"> </v>
      </c>
      <c r="I173" s="41" t="str">
        <f t="shared" si="346"/>
        <v xml:space="preserve"> </v>
      </c>
      <c r="J173" s="41" t="str">
        <f t="shared" si="346"/>
        <v xml:space="preserve"> </v>
      </c>
      <c r="K173" s="57" t="str">
        <f t="shared" si="346"/>
        <v xml:space="preserve"> </v>
      </c>
      <c r="L173" s="41" t="str">
        <f t="shared" si="346"/>
        <v xml:space="preserve"> </v>
      </c>
      <c r="M173" s="41" t="str">
        <f t="shared" si="346"/>
        <v xml:space="preserve"> </v>
      </c>
      <c r="N173" s="41" t="str">
        <f t="shared" si="346"/>
        <v xml:space="preserve"> </v>
      </c>
      <c r="O173" s="41" t="str">
        <f t="shared" si="346"/>
        <v xml:space="preserve"> </v>
      </c>
      <c r="P173" s="41" t="str">
        <f t="shared" si="346"/>
        <v xml:space="preserve"> </v>
      </c>
      <c r="Q173" s="41" t="str">
        <f t="shared" si="346"/>
        <v xml:space="preserve"> </v>
      </c>
      <c r="R173" s="41" t="str">
        <f t="shared" si="346"/>
        <v xml:space="preserve"> </v>
      </c>
      <c r="S173" s="41" t="str">
        <f t="shared" si="346"/>
        <v xml:space="preserve"> </v>
      </c>
      <c r="T173" s="41" t="str">
        <f t="shared" si="346"/>
        <v xml:space="preserve"> </v>
      </c>
      <c r="U173" s="41" t="str">
        <f t="shared" ref="U173:AI173" si="347">IF(U111&gt;16.001,  "X", " ")</f>
        <v xml:space="preserve"> </v>
      </c>
      <c r="V173" s="41" t="str">
        <f t="shared" si="347"/>
        <v xml:space="preserve"> </v>
      </c>
      <c r="W173" s="41" t="str">
        <f t="shared" si="347"/>
        <v xml:space="preserve"> </v>
      </c>
      <c r="X173" s="41" t="str">
        <f t="shared" si="347"/>
        <v xml:space="preserve"> </v>
      </c>
      <c r="Y173" s="41" t="str">
        <f t="shared" si="347"/>
        <v xml:space="preserve"> </v>
      </c>
      <c r="Z173" s="41" t="str">
        <f t="shared" si="347"/>
        <v xml:space="preserve"> </v>
      </c>
      <c r="AA173" s="41" t="str">
        <f t="shared" si="347"/>
        <v xml:space="preserve"> </v>
      </c>
      <c r="AB173" s="41" t="str">
        <f t="shared" si="347"/>
        <v xml:space="preserve"> </v>
      </c>
      <c r="AC173" s="41" t="str">
        <f t="shared" si="347"/>
        <v xml:space="preserve"> </v>
      </c>
      <c r="AD173" s="41" t="str">
        <f t="shared" si="347"/>
        <v xml:space="preserve"> </v>
      </c>
      <c r="AE173" s="41" t="str">
        <f t="shared" si="347"/>
        <v xml:space="preserve"> </v>
      </c>
      <c r="AF173" s="41" t="str">
        <f t="shared" si="347"/>
        <v xml:space="preserve"> </v>
      </c>
      <c r="AG173" s="41" t="str">
        <f t="shared" si="347"/>
        <v xml:space="preserve"> </v>
      </c>
      <c r="AH173" s="41" t="str">
        <f t="shared" si="347"/>
        <v xml:space="preserve"> </v>
      </c>
      <c r="AI173" s="41" t="str">
        <f t="shared" si="347"/>
        <v xml:space="preserve"> </v>
      </c>
      <c r="AJ173" s="41" t="str">
        <f t="shared" ref="AJ173:BJ173" si="348">IF(AJ111&gt;16.001,  "X", " ")</f>
        <v xml:space="preserve"> </v>
      </c>
      <c r="AK173" s="41" t="str">
        <f t="shared" si="348"/>
        <v xml:space="preserve"> </v>
      </c>
      <c r="AL173" s="41" t="str">
        <f t="shared" si="348"/>
        <v xml:space="preserve"> </v>
      </c>
      <c r="AM173" s="41" t="str">
        <f t="shared" si="348"/>
        <v xml:space="preserve"> </v>
      </c>
      <c r="AN173" s="41" t="str">
        <f t="shared" si="348"/>
        <v xml:space="preserve"> </v>
      </c>
      <c r="AO173" s="41" t="str">
        <f t="shared" si="348"/>
        <v xml:space="preserve"> </v>
      </c>
      <c r="AP173" s="41" t="str">
        <f t="shared" si="348"/>
        <v xml:space="preserve"> </v>
      </c>
      <c r="AQ173" s="41" t="str">
        <f t="shared" si="348"/>
        <v xml:space="preserve"> </v>
      </c>
      <c r="AR173" s="41" t="str">
        <f t="shared" si="348"/>
        <v xml:space="preserve"> </v>
      </c>
      <c r="AS173" s="41" t="str">
        <f t="shared" si="348"/>
        <v xml:space="preserve"> </v>
      </c>
      <c r="AT173" s="41" t="str">
        <f t="shared" si="348"/>
        <v xml:space="preserve"> </v>
      </c>
      <c r="AU173" s="41" t="str">
        <f t="shared" si="348"/>
        <v xml:space="preserve"> </v>
      </c>
      <c r="AV173" s="41" t="str">
        <f t="shared" si="348"/>
        <v xml:space="preserve"> </v>
      </c>
      <c r="AW173" s="41" t="str">
        <f t="shared" si="348"/>
        <v xml:space="preserve"> </v>
      </c>
      <c r="AX173" s="41" t="str">
        <f t="shared" si="348"/>
        <v xml:space="preserve"> </v>
      </c>
      <c r="AY173" s="41" t="str">
        <f t="shared" si="348"/>
        <v xml:space="preserve"> </v>
      </c>
      <c r="AZ173" s="41" t="str">
        <f t="shared" si="348"/>
        <v xml:space="preserve"> </v>
      </c>
      <c r="BA173" s="41" t="str">
        <f t="shared" si="348"/>
        <v xml:space="preserve"> </v>
      </c>
      <c r="BB173" s="41" t="str">
        <f t="shared" si="348"/>
        <v xml:space="preserve"> </v>
      </c>
      <c r="BC173" s="41" t="str">
        <f t="shared" si="348"/>
        <v xml:space="preserve"> </v>
      </c>
      <c r="BD173" s="41" t="str">
        <f t="shared" si="348"/>
        <v xml:space="preserve"> </v>
      </c>
      <c r="BE173" s="41" t="str">
        <f t="shared" si="348"/>
        <v xml:space="preserve"> </v>
      </c>
      <c r="BF173" s="41" t="str">
        <f t="shared" si="348"/>
        <v xml:space="preserve"> </v>
      </c>
      <c r="BG173" s="41" t="str">
        <f t="shared" si="348"/>
        <v xml:space="preserve"> </v>
      </c>
      <c r="BH173" s="41" t="str">
        <f t="shared" si="348"/>
        <v xml:space="preserve"> </v>
      </c>
      <c r="BI173" s="41" t="str">
        <f t="shared" si="348"/>
        <v xml:space="preserve"> </v>
      </c>
      <c r="BJ173" s="41" t="str">
        <f t="shared" si="348"/>
        <v xml:space="preserve"> </v>
      </c>
      <c r="BK173" s="41"/>
      <c r="BL173" s="41"/>
      <c r="BM173" s="41"/>
      <c r="BN173" s="41" t="str">
        <f>IF(BN111&gt;16.001,  "X", " ")</f>
        <v xml:space="preserve"> </v>
      </c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</row>
    <row r="174" spans="1:79" s="5" customFormat="1">
      <c r="A174" s="4" t="s">
        <v>263</v>
      </c>
      <c r="B174" s="57" t="str">
        <f t="shared" ref="B174:T174" si="349">IF(B96&lt;5,  "X", " ")</f>
        <v xml:space="preserve"> </v>
      </c>
      <c r="C174" s="41" t="str">
        <f t="shared" si="349"/>
        <v xml:space="preserve"> </v>
      </c>
      <c r="D174" s="41" t="str">
        <f t="shared" si="349"/>
        <v xml:space="preserve"> </v>
      </c>
      <c r="E174" s="41" t="str">
        <f t="shared" si="349"/>
        <v xml:space="preserve"> </v>
      </c>
      <c r="F174" s="41" t="str">
        <f t="shared" si="349"/>
        <v xml:space="preserve"> </v>
      </c>
      <c r="G174" s="41" t="str">
        <f t="shared" si="349"/>
        <v xml:space="preserve"> </v>
      </c>
      <c r="H174" s="41" t="str">
        <f t="shared" si="349"/>
        <v xml:space="preserve"> </v>
      </c>
      <c r="I174" s="41" t="str">
        <f t="shared" si="349"/>
        <v xml:space="preserve"> </v>
      </c>
      <c r="J174" s="41" t="str">
        <f t="shared" si="349"/>
        <v xml:space="preserve"> </v>
      </c>
      <c r="K174" s="57" t="str">
        <f t="shared" si="349"/>
        <v xml:space="preserve"> </v>
      </c>
      <c r="L174" s="41" t="str">
        <f t="shared" si="349"/>
        <v xml:space="preserve"> </v>
      </c>
      <c r="M174" s="41" t="str">
        <f t="shared" si="349"/>
        <v xml:space="preserve"> </v>
      </c>
      <c r="N174" s="41" t="str">
        <f t="shared" si="349"/>
        <v xml:space="preserve"> </v>
      </c>
      <c r="O174" s="41" t="str">
        <f t="shared" si="349"/>
        <v xml:space="preserve"> </v>
      </c>
      <c r="P174" s="41" t="str">
        <f t="shared" si="349"/>
        <v xml:space="preserve"> </v>
      </c>
      <c r="Q174" s="41" t="str">
        <f t="shared" si="349"/>
        <v xml:space="preserve"> </v>
      </c>
      <c r="R174" s="41" t="str">
        <f t="shared" si="349"/>
        <v xml:space="preserve"> </v>
      </c>
      <c r="S174" s="41" t="str">
        <f t="shared" si="349"/>
        <v xml:space="preserve"> </v>
      </c>
      <c r="T174" s="41" t="str">
        <f t="shared" si="349"/>
        <v xml:space="preserve"> </v>
      </c>
      <c r="U174" s="41" t="str">
        <f t="shared" ref="U174:AI174" si="350">IF(U96&lt;5,  "X", " ")</f>
        <v xml:space="preserve"> </v>
      </c>
      <c r="V174" s="41" t="str">
        <f t="shared" si="350"/>
        <v xml:space="preserve"> </v>
      </c>
      <c r="W174" s="41" t="str">
        <f t="shared" si="350"/>
        <v xml:space="preserve"> </v>
      </c>
      <c r="X174" s="41" t="str">
        <f t="shared" si="350"/>
        <v xml:space="preserve"> </v>
      </c>
      <c r="Y174" s="41" t="str">
        <f t="shared" si="350"/>
        <v xml:space="preserve"> </v>
      </c>
      <c r="Z174" s="41" t="str">
        <f t="shared" si="350"/>
        <v xml:space="preserve"> </v>
      </c>
      <c r="AA174" s="41" t="str">
        <f t="shared" si="350"/>
        <v xml:space="preserve"> </v>
      </c>
      <c r="AB174" s="41" t="str">
        <f t="shared" si="350"/>
        <v xml:space="preserve"> </v>
      </c>
      <c r="AC174" s="41" t="str">
        <f t="shared" si="350"/>
        <v xml:space="preserve"> </v>
      </c>
      <c r="AD174" s="41" t="str">
        <f t="shared" si="350"/>
        <v xml:space="preserve"> </v>
      </c>
      <c r="AE174" s="41" t="str">
        <f t="shared" si="350"/>
        <v xml:space="preserve"> </v>
      </c>
      <c r="AF174" s="41" t="str">
        <f t="shared" si="350"/>
        <v xml:space="preserve"> </v>
      </c>
      <c r="AG174" s="41" t="str">
        <f t="shared" si="350"/>
        <v xml:space="preserve"> </v>
      </c>
      <c r="AH174" s="41" t="str">
        <f t="shared" si="350"/>
        <v xml:space="preserve"> </v>
      </c>
      <c r="AI174" s="41" t="str">
        <f t="shared" si="350"/>
        <v xml:space="preserve"> </v>
      </c>
      <c r="AJ174" s="41" t="str">
        <f t="shared" ref="AJ174:BJ174" si="351">IF(AJ96&lt;5,  "X", " ")</f>
        <v xml:space="preserve"> </v>
      </c>
      <c r="AK174" s="41" t="str">
        <f t="shared" si="351"/>
        <v xml:space="preserve"> </v>
      </c>
      <c r="AL174" s="41" t="str">
        <f t="shared" si="351"/>
        <v xml:space="preserve"> </v>
      </c>
      <c r="AM174" s="41" t="str">
        <f t="shared" si="351"/>
        <v xml:space="preserve"> </v>
      </c>
      <c r="AN174" s="41" t="str">
        <f t="shared" si="351"/>
        <v xml:space="preserve"> </v>
      </c>
      <c r="AO174" s="41" t="str">
        <f t="shared" si="351"/>
        <v xml:space="preserve"> </v>
      </c>
      <c r="AP174" s="41" t="str">
        <f t="shared" si="351"/>
        <v xml:space="preserve"> </v>
      </c>
      <c r="AQ174" s="41" t="str">
        <f t="shared" si="351"/>
        <v xml:space="preserve"> </v>
      </c>
      <c r="AR174" s="41" t="str">
        <f t="shared" si="351"/>
        <v xml:space="preserve"> </v>
      </c>
      <c r="AS174" s="41" t="str">
        <f t="shared" si="351"/>
        <v xml:space="preserve"> </v>
      </c>
      <c r="AT174" s="41" t="str">
        <f t="shared" si="351"/>
        <v xml:space="preserve"> </v>
      </c>
      <c r="AU174" s="41" t="str">
        <f t="shared" si="351"/>
        <v xml:space="preserve"> </v>
      </c>
      <c r="AV174" s="41" t="str">
        <f t="shared" si="351"/>
        <v xml:space="preserve"> </v>
      </c>
      <c r="AW174" s="41" t="str">
        <f t="shared" si="351"/>
        <v xml:space="preserve"> </v>
      </c>
      <c r="AX174" s="41" t="str">
        <f t="shared" si="351"/>
        <v xml:space="preserve"> </v>
      </c>
      <c r="AY174" s="41" t="str">
        <f t="shared" si="351"/>
        <v xml:space="preserve"> </v>
      </c>
      <c r="AZ174" s="41" t="str">
        <f t="shared" si="351"/>
        <v xml:space="preserve"> </v>
      </c>
      <c r="BA174" s="41" t="str">
        <f t="shared" si="351"/>
        <v xml:space="preserve"> </v>
      </c>
      <c r="BB174" s="41" t="str">
        <f t="shared" si="351"/>
        <v xml:space="preserve"> </v>
      </c>
      <c r="BC174" s="41" t="str">
        <f t="shared" si="351"/>
        <v xml:space="preserve"> </v>
      </c>
      <c r="BD174" s="41" t="str">
        <f t="shared" si="351"/>
        <v xml:space="preserve"> </v>
      </c>
      <c r="BE174" s="41" t="str">
        <f t="shared" si="351"/>
        <v xml:space="preserve"> </v>
      </c>
      <c r="BF174" s="41" t="str">
        <f t="shared" si="351"/>
        <v xml:space="preserve"> </v>
      </c>
      <c r="BG174" s="41" t="str">
        <f t="shared" si="351"/>
        <v xml:space="preserve"> </v>
      </c>
      <c r="BH174" s="41" t="str">
        <f t="shared" si="351"/>
        <v xml:space="preserve"> </v>
      </c>
      <c r="BI174" s="41" t="str">
        <f t="shared" si="351"/>
        <v xml:space="preserve"> </v>
      </c>
      <c r="BJ174" s="41" t="str">
        <f t="shared" si="351"/>
        <v xml:space="preserve"> </v>
      </c>
      <c r="BK174" s="41"/>
      <c r="BL174" s="41"/>
      <c r="BM174" s="41"/>
      <c r="BN174" s="41" t="str">
        <f>IF(BN96&lt;5,  "X", " ")</f>
        <v xml:space="preserve"> </v>
      </c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</row>
    <row r="175" spans="1:79" s="5" customFormat="1">
      <c r="A175" s="4" t="s">
        <v>18</v>
      </c>
      <c r="B175" s="57" t="str">
        <f t="shared" ref="B175:T175" si="352">IF(B146&lt;&gt;0,  "X", " ")</f>
        <v>X</v>
      </c>
      <c r="C175" s="41" t="str">
        <f t="shared" si="352"/>
        <v xml:space="preserve"> </v>
      </c>
      <c r="D175" s="41" t="str">
        <f t="shared" si="352"/>
        <v xml:space="preserve"> </v>
      </c>
      <c r="E175" s="41" t="str">
        <f t="shared" si="352"/>
        <v xml:space="preserve"> </v>
      </c>
      <c r="F175" s="41" t="str">
        <f t="shared" si="352"/>
        <v xml:space="preserve"> </v>
      </c>
      <c r="G175" s="41" t="str">
        <f t="shared" si="352"/>
        <v xml:space="preserve"> </v>
      </c>
      <c r="H175" s="41" t="str">
        <f t="shared" si="352"/>
        <v xml:space="preserve"> </v>
      </c>
      <c r="I175" s="41" t="str">
        <f t="shared" si="352"/>
        <v xml:space="preserve"> </v>
      </c>
      <c r="J175" s="41" t="str">
        <f t="shared" si="352"/>
        <v>X</v>
      </c>
      <c r="K175" s="57" t="str">
        <f t="shared" si="352"/>
        <v>X</v>
      </c>
      <c r="L175" s="41" t="str">
        <f t="shared" si="352"/>
        <v xml:space="preserve"> </v>
      </c>
      <c r="M175" s="41" t="str">
        <f t="shared" si="352"/>
        <v xml:space="preserve"> </v>
      </c>
      <c r="N175" s="41" t="str">
        <f t="shared" si="352"/>
        <v>X</v>
      </c>
      <c r="O175" s="41" t="str">
        <f t="shared" si="352"/>
        <v xml:space="preserve"> </v>
      </c>
      <c r="P175" s="41" t="str">
        <f t="shared" si="352"/>
        <v xml:space="preserve"> </v>
      </c>
      <c r="Q175" s="41" t="str">
        <f t="shared" si="352"/>
        <v xml:space="preserve"> </v>
      </c>
      <c r="R175" s="41" t="str">
        <f t="shared" si="352"/>
        <v xml:space="preserve"> </v>
      </c>
      <c r="S175" s="41" t="str">
        <f t="shared" si="352"/>
        <v xml:space="preserve"> </v>
      </c>
      <c r="T175" s="41" t="str">
        <f t="shared" si="352"/>
        <v xml:space="preserve"> </v>
      </c>
      <c r="U175" s="41" t="str">
        <f t="shared" ref="U175:AI175" si="353">IF(U146&lt;&gt;0,  "X", " ")</f>
        <v xml:space="preserve"> </v>
      </c>
      <c r="V175" s="41" t="str">
        <f t="shared" si="353"/>
        <v xml:space="preserve"> </v>
      </c>
      <c r="W175" s="41" t="str">
        <f t="shared" si="353"/>
        <v xml:space="preserve"> </v>
      </c>
      <c r="X175" s="41" t="str">
        <f t="shared" si="353"/>
        <v xml:space="preserve"> </v>
      </c>
      <c r="Y175" s="41" t="str">
        <f t="shared" si="353"/>
        <v xml:space="preserve"> </v>
      </c>
      <c r="Z175" s="41" t="str">
        <f t="shared" si="353"/>
        <v xml:space="preserve"> </v>
      </c>
      <c r="AA175" s="41" t="str">
        <f t="shared" si="353"/>
        <v>X</v>
      </c>
      <c r="AB175" s="41" t="str">
        <f t="shared" si="353"/>
        <v>X</v>
      </c>
      <c r="AC175" s="41" t="str">
        <f t="shared" si="353"/>
        <v>X</v>
      </c>
      <c r="AD175" s="41" t="str">
        <f t="shared" si="353"/>
        <v>X</v>
      </c>
      <c r="AE175" s="41" t="str">
        <f t="shared" si="353"/>
        <v>X</v>
      </c>
      <c r="AF175" s="41" t="str">
        <f t="shared" si="353"/>
        <v>X</v>
      </c>
      <c r="AG175" s="41" t="str">
        <f t="shared" si="353"/>
        <v>X</v>
      </c>
      <c r="AH175" s="41" t="str">
        <f t="shared" si="353"/>
        <v>X</v>
      </c>
      <c r="AI175" s="41" t="str">
        <f t="shared" si="353"/>
        <v>X</v>
      </c>
      <c r="AJ175" s="41" t="str">
        <f t="shared" ref="AJ175:BJ175" si="354">IF(AJ146&lt;&gt;0,  "X", " ")</f>
        <v>X</v>
      </c>
      <c r="AK175" s="41" t="str">
        <f t="shared" si="354"/>
        <v>X</v>
      </c>
      <c r="AL175" s="41" t="str">
        <f t="shared" si="354"/>
        <v>X</v>
      </c>
      <c r="AM175" s="41" t="str">
        <f t="shared" si="354"/>
        <v>X</v>
      </c>
      <c r="AN175" s="41" t="str">
        <f t="shared" si="354"/>
        <v>X</v>
      </c>
      <c r="AO175" s="41" t="str">
        <f t="shared" si="354"/>
        <v>X</v>
      </c>
      <c r="AP175" s="41" t="str">
        <f t="shared" si="354"/>
        <v xml:space="preserve"> </v>
      </c>
      <c r="AQ175" s="41" t="str">
        <f t="shared" si="354"/>
        <v xml:space="preserve"> </v>
      </c>
      <c r="AR175" s="41" t="str">
        <f t="shared" si="354"/>
        <v xml:space="preserve"> </v>
      </c>
      <c r="AS175" s="41" t="str">
        <f t="shared" si="354"/>
        <v xml:space="preserve"> </v>
      </c>
      <c r="AT175" s="41" t="str">
        <f t="shared" si="354"/>
        <v xml:space="preserve"> </v>
      </c>
      <c r="AU175" s="41" t="str">
        <f t="shared" si="354"/>
        <v xml:space="preserve"> </v>
      </c>
      <c r="AV175" s="41" t="str">
        <f t="shared" si="354"/>
        <v xml:space="preserve"> </v>
      </c>
      <c r="AW175" s="41" t="str">
        <f t="shared" si="354"/>
        <v xml:space="preserve"> </v>
      </c>
      <c r="AX175" s="41" t="str">
        <f t="shared" si="354"/>
        <v xml:space="preserve"> </v>
      </c>
      <c r="AY175" s="41" t="str">
        <f t="shared" si="354"/>
        <v xml:space="preserve"> </v>
      </c>
      <c r="AZ175" s="41" t="str">
        <f t="shared" si="354"/>
        <v xml:space="preserve"> </v>
      </c>
      <c r="BA175" s="41" t="str">
        <f t="shared" si="354"/>
        <v xml:space="preserve"> </v>
      </c>
      <c r="BB175" s="41" t="str">
        <f t="shared" si="354"/>
        <v xml:space="preserve"> </v>
      </c>
      <c r="BC175" s="41" t="str">
        <f t="shared" si="354"/>
        <v xml:space="preserve"> </v>
      </c>
      <c r="BD175" s="41" t="str">
        <f t="shared" si="354"/>
        <v xml:space="preserve"> </v>
      </c>
      <c r="BE175" s="41" t="str">
        <f t="shared" si="354"/>
        <v xml:space="preserve"> </v>
      </c>
      <c r="BF175" s="41" t="str">
        <f t="shared" si="354"/>
        <v>X</v>
      </c>
      <c r="BG175" s="41" t="str">
        <f t="shared" si="354"/>
        <v>X</v>
      </c>
      <c r="BH175" s="41" t="str">
        <f t="shared" si="354"/>
        <v>X</v>
      </c>
      <c r="BI175" s="41" t="str">
        <f t="shared" si="354"/>
        <v>X</v>
      </c>
      <c r="BJ175" s="41" t="str">
        <f t="shared" si="354"/>
        <v xml:space="preserve"> </v>
      </c>
      <c r="BK175" s="41"/>
      <c r="BL175" s="41"/>
      <c r="BM175" s="41"/>
      <c r="BN175" s="41" t="str">
        <f>IF(BN146&lt;&gt;0,  "X", " ")</f>
        <v xml:space="preserve"> </v>
      </c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</row>
    <row r="176" spans="1:79" s="5" customFormat="1">
      <c r="A176" s="4"/>
      <c r="B176" s="57"/>
      <c r="C176" s="41"/>
      <c r="D176" s="41"/>
      <c r="E176" s="41"/>
      <c r="F176" s="41"/>
      <c r="G176" s="41"/>
      <c r="H176" s="41"/>
      <c r="I176" s="41"/>
      <c r="J176" s="41"/>
      <c r="K176" s="57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</row>
    <row r="177" spans="1:79" s="5" customFormat="1">
      <c r="A177" s="4" t="s">
        <v>180</v>
      </c>
      <c r="B177" s="57" t="str">
        <f t="shared" ref="B177:T177" ca="1" si="355">B280</f>
        <v xml:space="preserve">Magnesio-Hbl </v>
      </c>
      <c r="C177" s="41" t="str">
        <f t="shared" ca="1" si="355"/>
        <v xml:space="preserve">Magnesio-Hbl </v>
      </c>
      <c r="D177" s="41" t="str">
        <f t="shared" ca="1" si="355"/>
        <v xml:space="preserve">Magnesio-Hbl </v>
      </c>
      <c r="E177" s="41" t="str">
        <f t="shared" ca="1" si="355"/>
        <v xml:space="preserve">Magnesio-Hbl </v>
      </c>
      <c r="F177" s="41" t="str">
        <f t="shared" ca="1" si="355"/>
        <v xml:space="preserve">Magnesio-Hbl </v>
      </c>
      <c r="G177" s="41" t="str">
        <f t="shared" ca="1" si="355"/>
        <v xml:space="preserve">Magnesio-Hbl </v>
      </c>
      <c r="H177" s="41" t="str">
        <f t="shared" ca="1" si="355"/>
        <v xml:space="preserve">Magnesio-Hbl </v>
      </c>
      <c r="I177" s="41" t="str">
        <f t="shared" ca="1" si="355"/>
        <v xml:space="preserve">Magnesio-Hbl </v>
      </c>
      <c r="J177" s="41" t="str">
        <f t="shared" ca="1" si="355"/>
        <v xml:space="preserve">Magnesio-Hbl </v>
      </c>
      <c r="K177" s="57" t="str">
        <f t="shared" ca="1" si="355"/>
        <v xml:space="preserve">Magnesio-Hbl </v>
      </c>
      <c r="L177" s="41" t="str">
        <f t="shared" ca="1" si="355"/>
        <v xml:space="preserve">Magnesio-Hbl </v>
      </c>
      <c r="M177" s="41" t="str">
        <f t="shared" ca="1" si="355"/>
        <v xml:space="preserve">Magnesio-Hbl </v>
      </c>
      <c r="N177" s="41" t="str">
        <f t="shared" ca="1" si="355"/>
        <v>Edenite</v>
      </c>
      <c r="O177" s="41" t="str">
        <f t="shared" ca="1" si="355"/>
        <v xml:space="preserve">Magnesio-Hbl </v>
      </c>
      <c r="P177" s="41" t="str">
        <f t="shared" ca="1" si="355"/>
        <v>Edenitic Hbl</v>
      </c>
      <c r="Q177" s="41" t="str">
        <f t="shared" ca="1" si="355"/>
        <v>Actinolitic Hbl</v>
      </c>
      <c r="R177" s="41" t="str">
        <f t="shared" ca="1" si="355"/>
        <v>Ferroan Paragasitic Hbl</v>
      </c>
      <c r="S177" s="41" t="str">
        <f t="shared" ca="1" si="355"/>
        <v>Ferroan Paragasitic Hbl</v>
      </c>
      <c r="T177" s="41" t="str">
        <f t="shared" ca="1" si="355"/>
        <v>Ferroan Paragasitic Hbl</v>
      </c>
      <c r="U177" s="41" t="str">
        <f t="shared" ref="U177:AI177" ca="1" si="356">U280</f>
        <v>Ferroan Paragasitic Hbl</v>
      </c>
      <c r="V177" s="41" t="str">
        <f t="shared" ca="1" si="356"/>
        <v>Ferroan Paragasitic Hbl</v>
      </c>
      <c r="W177" s="41" t="str">
        <f t="shared" ca="1" si="356"/>
        <v xml:space="preserve">Magnesio-Hbl </v>
      </c>
      <c r="X177" s="41" t="str">
        <f t="shared" ca="1" si="356"/>
        <v>Edenitic Hbl</v>
      </c>
      <c r="Y177" s="41" t="str">
        <f t="shared" ca="1" si="356"/>
        <v>Tschermakite</v>
      </c>
      <c r="Z177" s="41" t="str">
        <f t="shared" ca="1" si="356"/>
        <v xml:space="preserve">Magnesio-Hbl </v>
      </c>
      <c r="AA177" s="41" t="str">
        <f t="shared" ca="1" si="356"/>
        <v xml:space="preserve">Magnesio-Hbl </v>
      </c>
      <c r="AB177" s="41" t="str">
        <f t="shared" ca="1" si="356"/>
        <v>Edenitic Hbl</v>
      </c>
      <c r="AC177" s="41" t="str">
        <f t="shared" ca="1" si="356"/>
        <v>Ferroan Paragasitic Hbl</v>
      </c>
      <c r="AD177" s="41" t="str">
        <f t="shared" ca="1" si="356"/>
        <v>Ferroan Paragasitic Hbl</v>
      </c>
      <c r="AE177" s="41" t="str">
        <f t="shared" ca="1" si="356"/>
        <v>Ferroan Paragasitic Hbl</v>
      </c>
      <c r="AF177" s="41" t="str">
        <f t="shared" ca="1" si="356"/>
        <v>Ferroan Paragasitic Hbl</v>
      </c>
      <c r="AG177" s="41" t="str">
        <f t="shared" ca="1" si="356"/>
        <v>Ferroan Paragasitic Hbl</v>
      </c>
      <c r="AH177" s="41" t="str">
        <f t="shared" ca="1" si="356"/>
        <v>Ferroan Paragasitic Hbl</v>
      </c>
      <c r="AI177" s="41" t="str">
        <f t="shared" ca="1" si="356"/>
        <v>Ferroan Paragasitic Hbl</v>
      </c>
      <c r="AJ177" s="41" t="str">
        <f t="shared" ref="AJ177:BJ177" ca="1" si="357">AJ280</f>
        <v>Ferroan Paragasitic Hbl</v>
      </c>
      <c r="AK177" s="41" t="str">
        <f t="shared" ca="1" si="357"/>
        <v>Edenitic Hbl</v>
      </c>
      <c r="AL177" s="41" t="str">
        <f t="shared" ca="1" si="357"/>
        <v>Edenitic Hbl</v>
      </c>
      <c r="AM177" s="41" t="str">
        <f t="shared" ca="1" si="357"/>
        <v>Edenitic Hbl</v>
      </c>
      <c r="AN177" s="41" t="str">
        <f t="shared" ca="1" si="357"/>
        <v>Edenitic Hbl</v>
      </c>
      <c r="AO177" s="41" t="str">
        <f t="shared" ca="1" si="357"/>
        <v>Edenitic Hbl</v>
      </c>
      <c r="AP177" s="41" t="str">
        <f t="shared" ca="1" si="357"/>
        <v xml:space="preserve">Magnesio-Hbl </v>
      </c>
      <c r="AQ177" s="41" t="str">
        <f t="shared" ca="1" si="357"/>
        <v xml:space="preserve">Magnesio-Hbl </v>
      </c>
      <c r="AR177" s="41" t="str">
        <f t="shared" ca="1" si="357"/>
        <v xml:space="preserve">Magnesio-Hbl </v>
      </c>
      <c r="AS177" s="41" t="str">
        <f t="shared" ca="1" si="357"/>
        <v xml:space="preserve">Magnesio-Hbl </v>
      </c>
      <c r="AT177" s="41" t="str">
        <f t="shared" ca="1" si="357"/>
        <v xml:space="preserve">Magnesio-Hbl </v>
      </c>
      <c r="AU177" s="41" t="str">
        <f t="shared" ca="1" si="357"/>
        <v xml:space="preserve">Magnesio-Hbl </v>
      </c>
      <c r="AV177" s="41" t="str">
        <f t="shared" ca="1" si="357"/>
        <v>Ferro-Hbl</v>
      </c>
      <c r="AW177" s="41" t="str">
        <f t="shared" ca="1" si="357"/>
        <v xml:space="preserve">Magnesio-Hbl </v>
      </c>
      <c r="AX177" s="41" t="str">
        <f t="shared" ca="1" si="357"/>
        <v>Ferro-Hbl</v>
      </c>
      <c r="AY177" s="41" t="str">
        <f t="shared" ca="1" si="357"/>
        <v>Ferro-Hbl</v>
      </c>
      <c r="AZ177" s="41" t="str">
        <f t="shared" ca="1" si="357"/>
        <v xml:space="preserve">Magnesio-Hbl </v>
      </c>
      <c r="BA177" s="41" t="str">
        <f t="shared" ca="1" si="357"/>
        <v>Ferroan Paragasitic Hbl</v>
      </c>
      <c r="BB177" s="41" t="str">
        <f t="shared" ca="1" si="357"/>
        <v>Ferroan Paragasitic Hbl</v>
      </c>
      <c r="BC177" s="41" t="str">
        <f t="shared" ca="1" si="357"/>
        <v>Ferroan Paragasitic Hbl</v>
      </c>
      <c r="BD177" s="41" t="str">
        <f t="shared" ca="1" si="357"/>
        <v>Ferroan Paragasitic Hbl</v>
      </c>
      <c r="BE177" s="41" t="str">
        <f t="shared" ca="1" si="357"/>
        <v>Ferroan Paragasitic Hbl</v>
      </c>
      <c r="BF177" s="41" t="str">
        <f t="shared" ca="1" si="357"/>
        <v>Ferroan Paragasitic Hbl</v>
      </c>
      <c r="BG177" s="41" t="str">
        <f t="shared" ca="1" si="357"/>
        <v>Ferroan Paragasitic Hbl</v>
      </c>
      <c r="BH177" s="41" t="str">
        <f t="shared" ca="1" si="357"/>
        <v>Ferroan Paragasitic Hbl</v>
      </c>
      <c r="BI177" s="41" t="str">
        <f t="shared" ca="1" si="357"/>
        <v>Ferroan Paragasitic Hbl</v>
      </c>
      <c r="BJ177" s="41" t="str">
        <f t="shared" ca="1" si="357"/>
        <v>Ferroan Paragasitic Hbl</v>
      </c>
      <c r="BK177" s="41"/>
      <c r="BL177" s="41"/>
      <c r="BM177" s="41"/>
      <c r="BN177" s="41" t="str">
        <f ca="1">BN280</f>
        <v xml:space="preserve">Magnesio-Hbl </v>
      </c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</row>
    <row r="178" spans="1:79" s="26" customFormat="1">
      <c r="A178" s="24"/>
      <c r="B178" s="58"/>
      <c r="C178" s="42"/>
      <c r="D178" s="42"/>
      <c r="E178" s="42"/>
      <c r="F178" s="42"/>
      <c r="G178" s="42"/>
      <c r="H178" s="42"/>
      <c r="I178" s="42"/>
      <c r="J178" s="42"/>
      <c r="K178" s="58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</row>
    <row r="179" spans="1:79">
      <c r="BU179" s="2"/>
      <c r="BV179" s="2"/>
      <c r="BW179" s="2"/>
      <c r="BX179" s="2"/>
      <c r="BY179" s="2"/>
      <c r="BZ179" s="2"/>
      <c r="CA179" s="2"/>
    </row>
    <row r="180" spans="1:79" s="11" customFormat="1">
      <c r="A180" s="9" t="s">
        <v>213</v>
      </c>
      <c r="B180" s="54"/>
      <c r="C180" s="10"/>
      <c r="D180" s="10"/>
      <c r="E180" s="10"/>
      <c r="F180" s="10"/>
      <c r="G180" s="10"/>
      <c r="H180" s="10"/>
      <c r="I180" s="10"/>
      <c r="J180" s="10"/>
      <c r="K180" s="54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</row>
    <row r="181" spans="1:79" s="11" customFormat="1">
      <c r="A181" s="9" t="s">
        <v>212</v>
      </c>
      <c r="B181" s="54">
        <f t="shared" ref="B181:T181" si="358">B106+B107-B149</f>
        <v>4.9960036108132044E-16</v>
      </c>
      <c r="C181" s="10">
        <f t="shared" si="358"/>
        <v>1.7208456881689926E-15</v>
      </c>
      <c r="D181" s="10">
        <f t="shared" si="358"/>
        <v>4.163336342344337E-15</v>
      </c>
      <c r="E181" s="10">
        <f t="shared" si="358"/>
        <v>0</v>
      </c>
      <c r="F181" s="10">
        <f t="shared" si="358"/>
        <v>7.7715611723760958E-16</v>
      </c>
      <c r="G181" s="10">
        <f t="shared" si="358"/>
        <v>9.4368957093138306E-16</v>
      </c>
      <c r="H181" s="10">
        <f t="shared" si="358"/>
        <v>0</v>
      </c>
      <c r="I181" s="10">
        <f t="shared" si="358"/>
        <v>4.4408920985006262E-16</v>
      </c>
      <c r="J181" s="10">
        <f t="shared" si="358"/>
        <v>0</v>
      </c>
      <c r="K181" s="54">
        <f t="shared" si="358"/>
        <v>2.9976021664879227E-15</v>
      </c>
      <c r="L181" s="10">
        <f t="shared" si="358"/>
        <v>0</v>
      </c>
      <c r="M181" s="10">
        <f t="shared" si="358"/>
        <v>0</v>
      </c>
      <c r="N181" s="10">
        <f t="shared" si="358"/>
        <v>3.5527136788005009E-15</v>
      </c>
      <c r="O181" s="10">
        <f t="shared" si="358"/>
        <v>2.1094237467877974E-15</v>
      </c>
      <c r="P181" s="10">
        <f t="shared" si="358"/>
        <v>0</v>
      </c>
      <c r="Q181" s="10">
        <f t="shared" si="358"/>
        <v>4.4408920985006262E-16</v>
      </c>
      <c r="R181" s="10">
        <f t="shared" si="358"/>
        <v>3.4416913763379853E-15</v>
      </c>
      <c r="S181" s="10">
        <f t="shared" si="358"/>
        <v>1.6653345369377348E-15</v>
      </c>
      <c r="T181" s="10">
        <f t="shared" si="358"/>
        <v>0</v>
      </c>
      <c r="U181" s="10">
        <f t="shared" ref="U181:AI181" si="359">U106+U107-U149</f>
        <v>0</v>
      </c>
      <c r="V181" s="10">
        <f t="shared" si="359"/>
        <v>1.4432899320127035E-15</v>
      </c>
      <c r="W181" s="10">
        <f t="shared" si="359"/>
        <v>9.9920072216264089E-16</v>
      </c>
      <c r="X181" s="10">
        <f t="shared" si="359"/>
        <v>0</v>
      </c>
      <c r="Y181" s="10">
        <f t="shared" si="359"/>
        <v>0</v>
      </c>
      <c r="Z181" s="10">
        <f t="shared" si="359"/>
        <v>4.4408920985006262E-16</v>
      </c>
      <c r="AA181" s="10">
        <f t="shared" si="359"/>
        <v>0</v>
      </c>
      <c r="AB181" s="10">
        <f t="shared" si="359"/>
        <v>3.1086244689504383E-15</v>
      </c>
      <c r="AC181" s="10">
        <f t="shared" si="359"/>
        <v>0</v>
      </c>
      <c r="AD181" s="10">
        <f t="shared" si="359"/>
        <v>0</v>
      </c>
      <c r="AE181" s="10">
        <f t="shared" si="359"/>
        <v>5.6621374255882984E-15</v>
      </c>
      <c r="AF181" s="10">
        <f t="shared" si="359"/>
        <v>3.7747582837255322E-15</v>
      </c>
      <c r="AG181" s="10">
        <f t="shared" si="359"/>
        <v>2.2204460492503131E-15</v>
      </c>
      <c r="AH181" s="10">
        <f t="shared" si="359"/>
        <v>0</v>
      </c>
      <c r="AI181" s="10">
        <f t="shared" si="359"/>
        <v>0</v>
      </c>
      <c r="AJ181" s="10">
        <f t="shared" ref="AJ181:BJ181" si="360">AJ106+AJ107-AJ149</f>
        <v>0</v>
      </c>
      <c r="AK181" s="10">
        <f t="shared" si="360"/>
        <v>0</v>
      </c>
      <c r="AL181" s="10">
        <f t="shared" si="360"/>
        <v>3.219646771412954E-15</v>
      </c>
      <c r="AM181" s="10">
        <f t="shared" si="360"/>
        <v>0</v>
      </c>
      <c r="AN181" s="10">
        <f t="shared" si="360"/>
        <v>2.7755575615628914E-15</v>
      </c>
      <c r="AO181" s="10">
        <f t="shared" si="360"/>
        <v>1.1102230246251565E-15</v>
      </c>
      <c r="AP181" s="10">
        <f t="shared" si="360"/>
        <v>1.2212453270876722E-15</v>
      </c>
      <c r="AQ181" s="10">
        <f t="shared" si="360"/>
        <v>2.7755575615628914E-15</v>
      </c>
      <c r="AR181" s="10">
        <f t="shared" si="360"/>
        <v>0</v>
      </c>
      <c r="AS181" s="10">
        <f t="shared" si="360"/>
        <v>1.8318679906315083E-15</v>
      </c>
      <c r="AT181" s="10">
        <f t="shared" si="360"/>
        <v>0</v>
      </c>
      <c r="AU181" s="10">
        <f t="shared" si="360"/>
        <v>0</v>
      </c>
      <c r="AV181" s="10">
        <f t="shared" si="360"/>
        <v>2.6645352591003757E-15</v>
      </c>
      <c r="AW181" s="10">
        <f t="shared" si="360"/>
        <v>2.7755575615628914E-15</v>
      </c>
      <c r="AX181" s="10">
        <f t="shared" si="360"/>
        <v>3.5527136788005009E-15</v>
      </c>
      <c r="AY181" s="10">
        <f t="shared" si="360"/>
        <v>0</v>
      </c>
      <c r="AZ181" s="10">
        <f t="shared" si="360"/>
        <v>0</v>
      </c>
      <c r="BA181" s="10">
        <f t="shared" si="360"/>
        <v>0</v>
      </c>
      <c r="BB181" s="10">
        <f t="shared" si="360"/>
        <v>0</v>
      </c>
      <c r="BC181" s="10">
        <f t="shared" si="360"/>
        <v>1.2212453270876722E-15</v>
      </c>
      <c r="BD181" s="10">
        <f t="shared" si="360"/>
        <v>3.3306690738754696E-15</v>
      </c>
      <c r="BE181" s="10">
        <f t="shared" si="360"/>
        <v>0</v>
      </c>
      <c r="BF181" s="10">
        <f t="shared" si="360"/>
        <v>1.5543122344752192E-15</v>
      </c>
      <c r="BG181" s="10">
        <f t="shared" si="360"/>
        <v>3.3306690738754696E-15</v>
      </c>
      <c r="BH181" s="10">
        <f t="shared" si="360"/>
        <v>0</v>
      </c>
      <c r="BI181" s="10">
        <f t="shared" si="360"/>
        <v>0</v>
      </c>
      <c r="BJ181" s="10">
        <f t="shared" si="360"/>
        <v>4.1078251911130792E-15</v>
      </c>
      <c r="BK181" s="10"/>
      <c r="BL181" s="10"/>
      <c r="BM181" s="10"/>
      <c r="BN181" s="10">
        <f>BN106+BN107-BN149</f>
        <v>0</v>
      </c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</row>
    <row r="182" spans="1:79" s="11" customFormat="1">
      <c r="A182" s="9" t="s">
        <v>214</v>
      </c>
      <c r="B182" s="54">
        <f t="shared" ref="B182:T182" si="361">B105+B181</f>
        <v>1.6855474855929466</v>
      </c>
      <c r="C182" s="10">
        <f t="shared" si="361"/>
        <v>1.6673918318879919</v>
      </c>
      <c r="D182" s="10">
        <f t="shared" si="361"/>
        <v>1.6690826262811622</v>
      </c>
      <c r="E182" s="10">
        <f t="shared" si="361"/>
        <v>1.6079694629955499</v>
      </c>
      <c r="F182" s="10">
        <f t="shared" si="361"/>
        <v>1.7260324936151403</v>
      </c>
      <c r="G182" s="10">
        <f t="shared" si="361"/>
        <v>1.7377385243519949</v>
      </c>
      <c r="H182" s="10">
        <f t="shared" si="361"/>
        <v>1.748183877697816</v>
      </c>
      <c r="I182" s="10">
        <f t="shared" si="361"/>
        <v>1.7043670974140375</v>
      </c>
      <c r="J182" s="10">
        <f t="shared" si="361"/>
        <v>1.6227901796155355</v>
      </c>
      <c r="K182" s="54">
        <f t="shared" si="361"/>
        <v>1.7317861917212176</v>
      </c>
      <c r="L182" s="10">
        <f t="shared" si="361"/>
        <v>1.6491231633462284</v>
      </c>
      <c r="M182" s="10">
        <f t="shared" si="361"/>
        <v>1.7186777196477869</v>
      </c>
      <c r="N182" s="10">
        <f t="shared" si="361"/>
        <v>1.6558879173819989</v>
      </c>
      <c r="O182" s="10">
        <f t="shared" si="361"/>
        <v>1.7149321567319804</v>
      </c>
      <c r="P182" s="10">
        <f t="shared" si="361"/>
        <v>1.9527755759678018</v>
      </c>
      <c r="Q182" s="10">
        <f t="shared" si="361"/>
        <v>1.9637989054975569</v>
      </c>
      <c r="R182" s="10">
        <f t="shared" si="361"/>
        <v>1.9228511686648777</v>
      </c>
      <c r="S182" s="10">
        <f t="shared" si="361"/>
        <v>1.9330602697267487</v>
      </c>
      <c r="T182" s="10">
        <f t="shared" si="361"/>
        <v>1.9381950399477066</v>
      </c>
      <c r="U182" s="10">
        <f t="shared" ref="U182:AI182" si="362">U105+U181</f>
        <v>1.9245657873294166</v>
      </c>
      <c r="V182" s="10">
        <f t="shared" si="362"/>
        <v>1.9517812104998673</v>
      </c>
      <c r="W182" s="10">
        <f t="shared" si="362"/>
        <v>1.9480194537794775</v>
      </c>
      <c r="X182" s="10">
        <f t="shared" si="362"/>
        <v>1.9005277091564128</v>
      </c>
      <c r="Y182" s="10">
        <f t="shared" si="362"/>
        <v>2.6233567665288371</v>
      </c>
      <c r="Z182" s="10">
        <f t="shared" si="362"/>
        <v>2.0927073028503616</v>
      </c>
      <c r="AA182" s="10">
        <f t="shared" si="362"/>
        <v>2.1417476099034576</v>
      </c>
      <c r="AB182" s="10">
        <f t="shared" si="362"/>
        <v>1.7875007640804474</v>
      </c>
      <c r="AC182" s="10">
        <f t="shared" si="362"/>
        <v>1.7905387400542274</v>
      </c>
      <c r="AD182" s="10">
        <f t="shared" si="362"/>
        <v>1.8292849898223094</v>
      </c>
      <c r="AE182" s="10">
        <f t="shared" si="362"/>
        <v>1.7746137321649744</v>
      </c>
      <c r="AF182" s="10">
        <f t="shared" si="362"/>
        <v>1.7882901184708819</v>
      </c>
      <c r="AG182" s="10">
        <f t="shared" si="362"/>
        <v>1.7879836658500003</v>
      </c>
      <c r="AH182" s="10">
        <f t="shared" si="362"/>
        <v>1.7602647335059398</v>
      </c>
      <c r="AI182" s="10">
        <f t="shared" si="362"/>
        <v>1.8069254351590331</v>
      </c>
      <c r="AJ182" s="10">
        <f t="shared" ref="AJ182:BJ182" si="363">AJ105+AJ181</f>
        <v>1.7558833833943615</v>
      </c>
      <c r="AK182" s="10">
        <f t="shared" si="363"/>
        <v>1.7723745076980613</v>
      </c>
      <c r="AL182" s="10">
        <f t="shared" si="363"/>
        <v>1.7601034129659259</v>
      </c>
      <c r="AM182" s="10">
        <f t="shared" si="363"/>
        <v>1.7339571922979311</v>
      </c>
      <c r="AN182" s="10">
        <f t="shared" si="363"/>
        <v>1.7218060482375699</v>
      </c>
      <c r="AO182" s="10">
        <f t="shared" si="363"/>
        <v>1.7457482514334359</v>
      </c>
      <c r="AP182" s="10">
        <f t="shared" si="363"/>
        <v>1.9004143773009607</v>
      </c>
      <c r="AQ182" s="10">
        <f t="shared" si="363"/>
        <v>1.8819479358022027</v>
      </c>
      <c r="AR182" s="10">
        <f t="shared" si="363"/>
        <v>1.910949703935845</v>
      </c>
      <c r="AS182" s="10">
        <f t="shared" si="363"/>
        <v>1.8979291179483651</v>
      </c>
      <c r="AT182" s="10">
        <f t="shared" si="363"/>
        <v>1.857867350086819</v>
      </c>
      <c r="AU182" s="10">
        <f t="shared" si="363"/>
        <v>1.8893847483030148</v>
      </c>
      <c r="AV182" s="10">
        <f t="shared" si="363"/>
        <v>1.8517304427122538</v>
      </c>
      <c r="AW182" s="10">
        <f t="shared" si="363"/>
        <v>1.9023604095990669</v>
      </c>
      <c r="AX182" s="10">
        <f t="shared" si="363"/>
        <v>2.3502931310574793</v>
      </c>
      <c r="AY182" s="10">
        <f t="shared" si="363"/>
        <v>1.8672769018028756</v>
      </c>
      <c r="AZ182" s="10">
        <f t="shared" si="363"/>
        <v>1.890968468026111</v>
      </c>
      <c r="BA182" s="10">
        <f t="shared" si="363"/>
        <v>1.9259687672591692</v>
      </c>
      <c r="BB182" s="10">
        <f t="shared" si="363"/>
        <v>1.8974416112710499</v>
      </c>
      <c r="BC182" s="10">
        <f t="shared" si="363"/>
        <v>1.9373324363793842</v>
      </c>
      <c r="BD182" s="10">
        <f t="shared" si="363"/>
        <v>1.9205413451484188</v>
      </c>
      <c r="BE182" s="10">
        <f t="shared" si="363"/>
        <v>1.9147886913214887</v>
      </c>
      <c r="BF182" s="10">
        <f t="shared" si="363"/>
        <v>1.8928493416087717</v>
      </c>
      <c r="BG182" s="10">
        <f t="shared" si="363"/>
        <v>1.8600251187257939</v>
      </c>
      <c r="BH182" s="10">
        <f t="shared" si="363"/>
        <v>1.9007126801768881</v>
      </c>
      <c r="BI182" s="10">
        <f t="shared" si="363"/>
        <v>1.8708252319838774</v>
      </c>
      <c r="BJ182" s="10">
        <f t="shared" si="363"/>
        <v>1.957310543165371</v>
      </c>
      <c r="BK182" s="10"/>
      <c r="BL182" s="10"/>
      <c r="BM182" s="10"/>
      <c r="BN182" s="10">
        <f>BN105+BN181</f>
        <v>1.6934283078591217</v>
      </c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</row>
    <row r="183" spans="1:79" s="11" customFormat="1">
      <c r="A183" s="9" t="s">
        <v>212</v>
      </c>
      <c r="B183" s="54">
        <f t="shared" ref="B183:T183" si="364">B181-B150</f>
        <v>0</v>
      </c>
      <c r="C183" s="10">
        <f t="shared" si="364"/>
        <v>0</v>
      </c>
      <c r="D183" s="10">
        <f t="shared" si="364"/>
        <v>0</v>
      </c>
      <c r="E183" s="10">
        <f t="shared" si="364"/>
        <v>0</v>
      </c>
      <c r="F183" s="10">
        <f t="shared" si="364"/>
        <v>0</v>
      </c>
      <c r="G183" s="10">
        <f t="shared" si="364"/>
        <v>0</v>
      </c>
      <c r="H183" s="10">
        <f t="shared" si="364"/>
        <v>0</v>
      </c>
      <c r="I183" s="10">
        <f t="shared" si="364"/>
        <v>0</v>
      </c>
      <c r="J183" s="10">
        <f t="shared" si="364"/>
        <v>0</v>
      </c>
      <c r="K183" s="54">
        <f t="shared" si="364"/>
        <v>0</v>
      </c>
      <c r="L183" s="10">
        <f t="shared" si="364"/>
        <v>0</v>
      </c>
      <c r="M183" s="10">
        <f t="shared" si="364"/>
        <v>0</v>
      </c>
      <c r="N183" s="10">
        <f t="shared" si="364"/>
        <v>0</v>
      </c>
      <c r="O183" s="10">
        <f t="shared" si="364"/>
        <v>0</v>
      </c>
      <c r="P183" s="10">
        <f t="shared" si="364"/>
        <v>0</v>
      </c>
      <c r="Q183" s="10">
        <f t="shared" si="364"/>
        <v>0</v>
      </c>
      <c r="R183" s="10">
        <f t="shared" si="364"/>
        <v>0</v>
      </c>
      <c r="S183" s="10">
        <f t="shared" si="364"/>
        <v>0</v>
      </c>
      <c r="T183" s="10">
        <f t="shared" si="364"/>
        <v>0</v>
      </c>
      <c r="U183" s="10">
        <f t="shared" ref="U183:AI183" si="365">U181-U150</f>
        <v>0</v>
      </c>
      <c r="V183" s="10">
        <f t="shared" si="365"/>
        <v>0</v>
      </c>
      <c r="W183" s="10">
        <f t="shared" si="365"/>
        <v>0</v>
      </c>
      <c r="X183" s="10">
        <f t="shared" si="365"/>
        <v>0</v>
      </c>
      <c r="Y183" s="10">
        <f t="shared" si="365"/>
        <v>0</v>
      </c>
      <c r="Z183" s="10">
        <f t="shared" si="365"/>
        <v>4.4408920985006262E-16</v>
      </c>
      <c r="AA183" s="10">
        <f t="shared" si="365"/>
        <v>0</v>
      </c>
      <c r="AB183" s="10">
        <f t="shared" si="365"/>
        <v>0</v>
      </c>
      <c r="AC183" s="10">
        <f t="shared" si="365"/>
        <v>0</v>
      </c>
      <c r="AD183" s="10">
        <f t="shared" si="365"/>
        <v>0</v>
      </c>
      <c r="AE183" s="10">
        <f t="shared" si="365"/>
        <v>0</v>
      </c>
      <c r="AF183" s="10">
        <f t="shared" si="365"/>
        <v>0</v>
      </c>
      <c r="AG183" s="10">
        <f t="shared" si="365"/>
        <v>0</v>
      </c>
      <c r="AH183" s="10">
        <f t="shared" si="365"/>
        <v>0</v>
      </c>
      <c r="AI183" s="10">
        <f t="shared" si="365"/>
        <v>0</v>
      </c>
      <c r="AJ183" s="10">
        <f t="shared" ref="AJ183:BJ183" si="366">AJ181-AJ150</f>
        <v>0</v>
      </c>
      <c r="AK183" s="10">
        <f t="shared" si="366"/>
        <v>0</v>
      </c>
      <c r="AL183" s="10">
        <f t="shared" si="366"/>
        <v>0</v>
      </c>
      <c r="AM183" s="10">
        <f t="shared" si="366"/>
        <v>0</v>
      </c>
      <c r="AN183" s="10">
        <f t="shared" si="366"/>
        <v>0</v>
      </c>
      <c r="AO183" s="10">
        <f t="shared" si="366"/>
        <v>0</v>
      </c>
      <c r="AP183" s="10">
        <f t="shared" si="366"/>
        <v>0</v>
      </c>
      <c r="AQ183" s="10">
        <f t="shared" si="366"/>
        <v>0</v>
      </c>
      <c r="AR183" s="10">
        <f t="shared" si="366"/>
        <v>0</v>
      </c>
      <c r="AS183" s="10">
        <f t="shared" si="366"/>
        <v>0</v>
      </c>
      <c r="AT183" s="10">
        <f t="shared" si="366"/>
        <v>0</v>
      </c>
      <c r="AU183" s="10">
        <f t="shared" si="366"/>
        <v>0</v>
      </c>
      <c r="AV183" s="10">
        <f t="shared" si="366"/>
        <v>0</v>
      </c>
      <c r="AW183" s="10">
        <f t="shared" si="366"/>
        <v>0</v>
      </c>
      <c r="AX183" s="10">
        <f t="shared" si="366"/>
        <v>3.5527136788005009E-15</v>
      </c>
      <c r="AY183" s="10">
        <f t="shared" si="366"/>
        <v>0</v>
      </c>
      <c r="AZ183" s="10">
        <f t="shared" si="366"/>
        <v>0</v>
      </c>
      <c r="BA183" s="10">
        <f t="shared" si="366"/>
        <v>0</v>
      </c>
      <c r="BB183" s="10">
        <f t="shared" si="366"/>
        <v>0</v>
      </c>
      <c r="BC183" s="10">
        <f t="shared" si="366"/>
        <v>0</v>
      </c>
      <c r="BD183" s="10">
        <f t="shared" si="366"/>
        <v>0</v>
      </c>
      <c r="BE183" s="10">
        <f t="shared" si="366"/>
        <v>0</v>
      </c>
      <c r="BF183" s="10">
        <f t="shared" si="366"/>
        <v>0</v>
      </c>
      <c r="BG183" s="10">
        <f t="shared" si="366"/>
        <v>0</v>
      </c>
      <c r="BH183" s="10">
        <f t="shared" si="366"/>
        <v>0</v>
      </c>
      <c r="BI183" s="10">
        <f t="shared" si="366"/>
        <v>0</v>
      </c>
      <c r="BJ183" s="10">
        <f t="shared" si="366"/>
        <v>0</v>
      </c>
      <c r="BK183" s="10"/>
      <c r="BL183" s="10"/>
      <c r="BM183" s="10"/>
      <c r="BN183" s="10">
        <f>BN181-BN150</f>
        <v>0</v>
      </c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</row>
    <row r="184" spans="1:79" s="11" customFormat="1">
      <c r="A184" s="9" t="s">
        <v>78</v>
      </c>
      <c r="B184" s="54">
        <f t="shared" ref="B184:T184" si="367">IF(B136-B149&lt;0, 0, B136-B149)</f>
        <v>0.59631971973117004</v>
      </c>
      <c r="C184" s="10">
        <f t="shared" si="367"/>
        <v>0.88873688038356313</v>
      </c>
      <c r="D184" s="10">
        <f t="shared" si="367"/>
        <v>0.87448282462314442</v>
      </c>
      <c r="E184" s="10">
        <f t="shared" si="367"/>
        <v>0.93916089526547086</v>
      </c>
      <c r="F184" s="10">
        <f t="shared" si="367"/>
        <v>0.87397363338360456</v>
      </c>
      <c r="G184" s="10">
        <f t="shared" si="367"/>
        <v>0.97043778017489402</v>
      </c>
      <c r="H184" s="10">
        <f t="shared" si="367"/>
        <v>0.90957718981349167</v>
      </c>
      <c r="I184" s="10">
        <f t="shared" si="367"/>
        <v>0.88338419031628934</v>
      </c>
      <c r="J184" s="10">
        <f t="shared" si="367"/>
        <v>0.78242284657802852</v>
      </c>
      <c r="K184" s="54">
        <f t="shared" si="367"/>
        <v>0.65392531117446939</v>
      </c>
      <c r="L184" s="10">
        <f t="shared" si="367"/>
        <v>0.83585556688770646</v>
      </c>
      <c r="M184" s="10">
        <f t="shared" si="367"/>
        <v>0.90305756675179438</v>
      </c>
      <c r="N184" s="10">
        <f t="shared" si="367"/>
        <v>0.6810547663366</v>
      </c>
      <c r="O184" s="10">
        <f t="shared" si="367"/>
        <v>0.98378895666780153</v>
      </c>
      <c r="P184" s="10">
        <f t="shared" si="367"/>
        <v>0.74102961332021555</v>
      </c>
      <c r="Q184" s="10">
        <f t="shared" si="367"/>
        <v>0.33478653402135095</v>
      </c>
      <c r="R184" s="10">
        <f t="shared" si="367"/>
        <v>0.87919854811736009</v>
      </c>
      <c r="S184" s="10">
        <f t="shared" si="367"/>
        <v>0.91533397882132839</v>
      </c>
      <c r="T184" s="10">
        <f t="shared" si="367"/>
        <v>0.96860307357587871</v>
      </c>
      <c r="U184" s="10">
        <f t="shared" ref="U184:AI184" si="368">IF(U136-U149&lt;0, 0, U136-U149)</f>
        <v>0.95688252999632473</v>
      </c>
      <c r="V184" s="10">
        <f t="shared" si="368"/>
        <v>0.93993168831927498</v>
      </c>
      <c r="W184" s="10">
        <f t="shared" si="368"/>
        <v>0.62910031963770763</v>
      </c>
      <c r="X184" s="10">
        <f t="shared" si="368"/>
        <v>0.77413512015524977</v>
      </c>
      <c r="Y184" s="10">
        <f t="shared" si="368"/>
        <v>1.3776257379940071</v>
      </c>
      <c r="Z184" s="10">
        <f t="shared" si="368"/>
        <v>0.88092820079007872</v>
      </c>
      <c r="AA184" s="10">
        <f t="shared" si="368"/>
        <v>0.74103485221916399</v>
      </c>
      <c r="AB184" s="10">
        <f t="shared" si="368"/>
        <v>0.8743438088297335</v>
      </c>
      <c r="AC184" s="10">
        <f t="shared" si="368"/>
        <v>0.81732212999734988</v>
      </c>
      <c r="AD184" s="10">
        <f t="shared" si="368"/>
        <v>0.88228365170905287</v>
      </c>
      <c r="AE184" s="10">
        <f t="shared" si="368"/>
        <v>0.89742927588889554</v>
      </c>
      <c r="AF184" s="10">
        <f t="shared" si="368"/>
        <v>0.79970989101818191</v>
      </c>
      <c r="AG184" s="10">
        <f t="shared" si="368"/>
        <v>0.90340848962783227</v>
      </c>
      <c r="AH184" s="10">
        <f t="shared" si="368"/>
        <v>0.85785048608556047</v>
      </c>
      <c r="AI184" s="10">
        <f t="shared" si="368"/>
        <v>0.88240038398979426</v>
      </c>
      <c r="AJ184" s="10">
        <f t="shared" ref="AJ184:BJ184" si="369">IF(AJ136-AJ149&lt;0, 0, AJ136-AJ149)</f>
        <v>0.79712699573048373</v>
      </c>
      <c r="AK184" s="10">
        <f t="shared" si="369"/>
        <v>0.63028786626004063</v>
      </c>
      <c r="AL184" s="10">
        <f t="shared" si="369"/>
        <v>0.63706825885364271</v>
      </c>
      <c r="AM184" s="10">
        <f t="shared" si="369"/>
        <v>0.62316004406776915</v>
      </c>
      <c r="AN184" s="10">
        <f t="shared" si="369"/>
        <v>0.57352339464812641</v>
      </c>
      <c r="AO184" s="10">
        <f t="shared" si="369"/>
        <v>0.56698912203918184</v>
      </c>
      <c r="AP184" s="10">
        <f t="shared" si="369"/>
        <v>0.90003789882263252</v>
      </c>
      <c r="AQ184" s="10">
        <f t="shared" si="369"/>
        <v>0.89077145732617513</v>
      </c>
      <c r="AR184" s="10">
        <f t="shared" si="369"/>
        <v>0.90078955915700298</v>
      </c>
      <c r="AS184" s="10">
        <f t="shared" si="369"/>
        <v>0.91633354506855902</v>
      </c>
      <c r="AT184" s="10">
        <f t="shared" si="369"/>
        <v>0.85920192843164944</v>
      </c>
      <c r="AU184" s="10">
        <f t="shared" si="369"/>
        <v>0.75741410369701612</v>
      </c>
      <c r="AV184" s="10">
        <f t="shared" si="369"/>
        <v>0.88163216457100813</v>
      </c>
      <c r="AW184" s="10">
        <f t="shared" si="369"/>
        <v>0.98498294665276998</v>
      </c>
      <c r="AX184" s="10">
        <f t="shared" si="369"/>
        <v>1.0748935350701254</v>
      </c>
      <c r="AY184" s="10">
        <f t="shared" si="369"/>
        <v>0.86503872683273364</v>
      </c>
      <c r="AZ184" s="10">
        <f t="shared" si="369"/>
        <v>0.88431424545883675</v>
      </c>
      <c r="BA184" s="10">
        <f t="shared" si="369"/>
        <v>0.9540905650550453</v>
      </c>
      <c r="BB184" s="10">
        <f t="shared" si="369"/>
        <v>0.95358333977096121</v>
      </c>
      <c r="BC184" s="10">
        <f t="shared" si="369"/>
        <v>1.0133102107748755</v>
      </c>
      <c r="BD184" s="10">
        <f t="shared" si="369"/>
        <v>0.98987064136266234</v>
      </c>
      <c r="BE184" s="10">
        <f t="shared" si="369"/>
        <v>1.0392601581681875</v>
      </c>
      <c r="BF184" s="10">
        <f t="shared" si="369"/>
        <v>0.91458979251217709</v>
      </c>
      <c r="BG184" s="10">
        <f t="shared" si="369"/>
        <v>0.93734724241952261</v>
      </c>
      <c r="BH184" s="10">
        <f t="shared" si="369"/>
        <v>0.85416461115951847</v>
      </c>
      <c r="BI184" s="10">
        <f t="shared" si="369"/>
        <v>0.97394055465423601</v>
      </c>
      <c r="BJ184" s="10">
        <f t="shared" si="369"/>
        <v>0.9544291945095118</v>
      </c>
      <c r="BK184" s="10"/>
      <c r="BL184" s="10"/>
      <c r="BM184" s="10"/>
      <c r="BN184" s="10">
        <f>IF(BN136-BN149&lt;0, 0, BN136-BN149)</f>
        <v>0.86732172570005506</v>
      </c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</row>
    <row r="185" spans="1:79" s="11" customFormat="1">
      <c r="A185" s="9" t="s">
        <v>26</v>
      </c>
      <c r="B185" s="54">
        <f t="shared" ref="B185:T185" si="370">B100</f>
        <v>0</v>
      </c>
      <c r="C185" s="10">
        <f t="shared" si="370"/>
        <v>0.12506644722474647</v>
      </c>
      <c r="D185" s="10">
        <f t="shared" si="370"/>
        <v>5.1504953245036234E-2</v>
      </c>
      <c r="E185" s="10">
        <f t="shared" si="370"/>
        <v>0.16142792392552963</v>
      </c>
      <c r="F185" s="10">
        <f t="shared" si="370"/>
        <v>6.4266048681652421E-2</v>
      </c>
      <c r="G185" s="10">
        <f t="shared" si="370"/>
        <v>0.1994275261874634</v>
      </c>
      <c r="H185" s="10">
        <f t="shared" si="370"/>
        <v>9.6079669018003244E-2</v>
      </c>
      <c r="I185" s="10">
        <f t="shared" si="370"/>
        <v>8.6874557970730848E-2</v>
      </c>
      <c r="J185" s="10">
        <f t="shared" si="370"/>
        <v>0</v>
      </c>
      <c r="K185" s="54">
        <f t="shared" si="370"/>
        <v>0</v>
      </c>
      <c r="L185" s="10">
        <f t="shared" si="370"/>
        <v>2.6721095709682174E-2</v>
      </c>
      <c r="M185" s="10">
        <f t="shared" si="370"/>
        <v>6.5962049974160664E-2</v>
      </c>
      <c r="N185" s="10">
        <f t="shared" si="370"/>
        <v>0</v>
      </c>
      <c r="O185" s="10">
        <f t="shared" si="370"/>
        <v>0.1397120953968809</v>
      </c>
      <c r="P185" s="10">
        <f t="shared" si="370"/>
        <v>2.2772585673884294E-2</v>
      </c>
      <c r="Q185" s="10">
        <f t="shared" si="370"/>
        <v>8.3751625489377091E-2</v>
      </c>
      <c r="R185" s="10">
        <f t="shared" si="370"/>
        <v>5.0766022235436026E-2</v>
      </c>
      <c r="S185" s="10">
        <f t="shared" si="370"/>
        <v>8.6320189850972895E-2</v>
      </c>
      <c r="T185" s="10">
        <f t="shared" si="370"/>
        <v>0.21689625337442919</v>
      </c>
      <c r="U185" s="10">
        <f t="shared" ref="U185:AI185" si="371">U100</f>
        <v>0.11716327393250481</v>
      </c>
      <c r="V185" s="10">
        <f t="shared" si="371"/>
        <v>0.10237383603268313</v>
      </c>
      <c r="W185" s="10">
        <f t="shared" si="371"/>
        <v>6.9235490227853802E-2</v>
      </c>
      <c r="X185" s="10">
        <f t="shared" si="371"/>
        <v>0.13563821484286365</v>
      </c>
      <c r="Y185" s="10">
        <f t="shared" si="371"/>
        <v>0.20762672537548355</v>
      </c>
      <c r="Z185" s="10">
        <f t="shared" si="371"/>
        <v>0.1333714917265354</v>
      </c>
      <c r="AA185" s="10">
        <f t="shared" si="371"/>
        <v>0</v>
      </c>
      <c r="AB185" s="10">
        <f t="shared" si="371"/>
        <v>0</v>
      </c>
      <c r="AC185" s="10">
        <f t="shared" si="371"/>
        <v>0</v>
      </c>
      <c r="AD185" s="10">
        <f t="shared" si="371"/>
        <v>0</v>
      </c>
      <c r="AE185" s="10">
        <f t="shared" si="371"/>
        <v>0</v>
      </c>
      <c r="AF185" s="10">
        <f t="shared" si="371"/>
        <v>0</v>
      </c>
      <c r="AG185" s="10">
        <f t="shared" si="371"/>
        <v>0</v>
      </c>
      <c r="AH185" s="10">
        <f t="shared" si="371"/>
        <v>0</v>
      </c>
      <c r="AI185" s="10">
        <f t="shared" si="371"/>
        <v>0</v>
      </c>
      <c r="AJ185" s="10">
        <f t="shared" ref="AJ185:BJ185" si="372">AJ100</f>
        <v>0</v>
      </c>
      <c r="AK185" s="10">
        <f t="shared" si="372"/>
        <v>0</v>
      </c>
      <c r="AL185" s="10">
        <f t="shared" si="372"/>
        <v>0</v>
      </c>
      <c r="AM185" s="10">
        <f t="shared" si="372"/>
        <v>0</v>
      </c>
      <c r="AN185" s="10">
        <f t="shared" si="372"/>
        <v>0</v>
      </c>
      <c r="AO185" s="10">
        <f t="shared" si="372"/>
        <v>0</v>
      </c>
      <c r="AP185" s="10">
        <f t="shared" si="372"/>
        <v>0.24936545813140754</v>
      </c>
      <c r="AQ185" s="10">
        <f t="shared" si="372"/>
        <v>0.14262902733874938</v>
      </c>
      <c r="AR185" s="10">
        <f t="shared" si="372"/>
        <v>0.20964949213635009</v>
      </c>
      <c r="AS185" s="10">
        <f t="shared" si="372"/>
        <v>0.23478453124620557</v>
      </c>
      <c r="AT185" s="10">
        <f t="shared" si="372"/>
        <v>0.15432687451095006</v>
      </c>
      <c r="AU185" s="10">
        <f t="shared" si="372"/>
        <v>0.22493088351961177</v>
      </c>
      <c r="AV185" s="10">
        <f t="shared" si="372"/>
        <v>0.1570937162128061</v>
      </c>
      <c r="AW185" s="10">
        <f t="shared" si="372"/>
        <v>0.3054797451077178</v>
      </c>
      <c r="AX185" s="10">
        <f t="shared" si="372"/>
        <v>0.12621932694314353</v>
      </c>
      <c r="AY185" s="10">
        <f t="shared" si="372"/>
        <v>0.12500295993355337</v>
      </c>
      <c r="AZ185" s="10">
        <f t="shared" si="372"/>
        <v>0.1940585846499232</v>
      </c>
      <c r="BA185" s="10">
        <f t="shared" si="372"/>
        <v>0.12035750327316208</v>
      </c>
      <c r="BB185" s="10">
        <f t="shared" si="372"/>
        <v>7.4789771537894012E-2</v>
      </c>
      <c r="BC185" s="10">
        <f t="shared" si="372"/>
        <v>0.27009905869419271</v>
      </c>
      <c r="BD185" s="10">
        <f t="shared" si="372"/>
        <v>0.12991285260982011</v>
      </c>
      <c r="BE185" s="10">
        <f t="shared" si="372"/>
        <v>0.2410648947068097</v>
      </c>
      <c r="BF185" s="10">
        <f t="shared" si="372"/>
        <v>0</v>
      </c>
      <c r="BG185" s="10">
        <f t="shared" si="372"/>
        <v>0</v>
      </c>
      <c r="BH185" s="10">
        <f t="shared" si="372"/>
        <v>0</v>
      </c>
      <c r="BI185" s="10">
        <f t="shared" si="372"/>
        <v>0</v>
      </c>
      <c r="BJ185" s="10">
        <f t="shared" si="372"/>
        <v>2.1974970263428872E-2</v>
      </c>
      <c r="BK185" s="10"/>
      <c r="BL185" s="10"/>
      <c r="BM185" s="10"/>
      <c r="BN185" s="10">
        <f>BN100</f>
        <v>7.7790333026023006E-2</v>
      </c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</row>
    <row r="186" spans="1:79" s="11" customFormat="1">
      <c r="A186" s="9" t="s">
        <v>236</v>
      </c>
      <c r="B186" s="54">
        <f t="shared" ref="B186:T186" si="373">B137+B185+B98-B150</f>
        <v>0.66128100188189221</v>
      </c>
      <c r="C186" s="10">
        <f t="shared" si="373"/>
        <v>0.76648284331501371</v>
      </c>
      <c r="D186" s="10">
        <f t="shared" si="373"/>
        <v>0.74789514073238084</v>
      </c>
      <c r="E186" s="10">
        <f t="shared" si="373"/>
        <v>0.85113030272712908</v>
      </c>
      <c r="F186" s="10">
        <f t="shared" si="373"/>
        <v>0.73577545007488487</v>
      </c>
      <c r="G186" s="10">
        <f t="shared" si="373"/>
        <v>0.8411116381772914</v>
      </c>
      <c r="H186" s="10">
        <f t="shared" si="373"/>
        <v>0.77596441359645019</v>
      </c>
      <c r="I186" s="10">
        <f t="shared" si="373"/>
        <v>0.74837650109788845</v>
      </c>
      <c r="J186" s="10">
        <f t="shared" si="373"/>
        <v>0.68252761678337903</v>
      </c>
      <c r="K186" s="54">
        <f t="shared" si="373"/>
        <v>0.60951506635059594</v>
      </c>
      <c r="L186" s="10">
        <f t="shared" si="373"/>
        <v>0.70331943823387655</v>
      </c>
      <c r="M186" s="10">
        <f t="shared" si="373"/>
        <v>0.76245264476618257</v>
      </c>
      <c r="N186" s="10">
        <f t="shared" si="373"/>
        <v>0.84255201304283656</v>
      </c>
      <c r="O186" s="10">
        <f t="shared" si="373"/>
        <v>0.80850768381838445</v>
      </c>
      <c r="P186" s="10">
        <f t="shared" si="373"/>
        <v>0.43142792367441463</v>
      </c>
      <c r="Q186" s="10">
        <f t="shared" si="373"/>
        <v>0.31733911674020604</v>
      </c>
      <c r="R186" s="10">
        <f t="shared" si="373"/>
        <v>0.51102160210613501</v>
      </c>
      <c r="S186" s="10">
        <f t="shared" si="373"/>
        <v>0.55668622673142099</v>
      </c>
      <c r="T186" s="10">
        <f t="shared" si="373"/>
        <v>0.61019436516338088</v>
      </c>
      <c r="U186" s="10">
        <f t="shared" ref="U186:AI186" si="374">U137+U185+U98-U150</f>
        <v>0.60410171299398796</v>
      </c>
      <c r="V186" s="10">
        <f t="shared" si="374"/>
        <v>0.6022695847915932</v>
      </c>
      <c r="W186" s="10">
        <f t="shared" si="374"/>
        <v>0.43620735421358087</v>
      </c>
      <c r="X186" s="10">
        <f t="shared" si="374"/>
        <v>0.58018987630254004</v>
      </c>
      <c r="Y186" s="10">
        <f t="shared" si="374"/>
        <v>1.0964458597302198</v>
      </c>
      <c r="Z186" s="10">
        <f t="shared" si="374"/>
        <v>0.73965201377651058</v>
      </c>
      <c r="AA186" s="10">
        <f t="shared" si="374"/>
        <v>0.56609571546468607</v>
      </c>
      <c r="AB186" s="10">
        <f t="shared" si="374"/>
        <v>0.45320830966528952</v>
      </c>
      <c r="AC186" s="10">
        <f t="shared" si="374"/>
        <v>0.63151255387414107</v>
      </c>
      <c r="AD186" s="10">
        <f t="shared" si="374"/>
        <v>0.55440404157189449</v>
      </c>
      <c r="AE186" s="10">
        <f t="shared" si="374"/>
        <v>0.543968546977597</v>
      </c>
      <c r="AF186" s="10">
        <f t="shared" si="374"/>
        <v>0.52757070271483564</v>
      </c>
      <c r="AG186" s="10">
        <f t="shared" si="374"/>
        <v>0.59295722464922707</v>
      </c>
      <c r="AH186" s="10">
        <f t="shared" si="374"/>
        <v>0.63048424322814689</v>
      </c>
      <c r="AI186" s="10">
        <f t="shared" si="374"/>
        <v>0.57767619536842452</v>
      </c>
      <c r="AJ186" s="10">
        <f t="shared" ref="AJ186:BJ186" si="375">AJ137+AJ185+AJ98-AJ150</f>
        <v>0.59726099228543339</v>
      </c>
      <c r="AK186" s="10">
        <f t="shared" si="375"/>
        <v>0.85978024025948285</v>
      </c>
      <c r="AL186" s="10">
        <f t="shared" si="375"/>
        <v>0.9000203715654892</v>
      </c>
      <c r="AM186" s="10">
        <f t="shared" si="375"/>
        <v>0.86984877384021408</v>
      </c>
      <c r="AN186" s="10">
        <f t="shared" si="375"/>
        <v>0.89484529304949312</v>
      </c>
      <c r="AO186" s="10">
        <f t="shared" si="375"/>
        <v>0.87900539961590374</v>
      </c>
      <c r="AP186" s="10">
        <f t="shared" si="375"/>
        <v>0.70318356690697592</v>
      </c>
      <c r="AQ186" s="10">
        <f t="shared" si="375"/>
        <v>0.67608338331622253</v>
      </c>
      <c r="AR186" s="10">
        <f t="shared" si="375"/>
        <v>0.70158246533377977</v>
      </c>
      <c r="AS186" s="10">
        <f t="shared" si="375"/>
        <v>0.6969532309949249</v>
      </c>
      <c r="AT186" s="10">
        <f t="shared" si="375"/>
        <v>0.64681745282101266</v>
      </c>
      <c r="AU186" s="10">
        <f t="shared" si="375"/>
        <v>0.62186558369671796</v>
      </c>
      <c r="AV186" s="10">
        <f t="shared" si="375"/>
        <v>0.64305313792784735</v>
      </c>
      <c r="AW186" s="10">
        <f t="shared" si="375"/>
        <v>0.801918860726483</v>
      </c>
      <c r="AX186" s="10">
        <f t="shared" si="375"/>
        <v>0.90016053087032544</v>
      </c>
      <c r="AY186" s="10">
        <f t="shared" si="375"/>
        <v>0.62757821609145947</v>
      </c>
      <c r="AZ186" s="10">
        <f t="shared" si="375"/>
        <v>0.67629896496137898</v>
      </c>
      <c r="BA186" s="10">
        <f t="shared" si="375"/>
        <v>0.61895365428021676</v>
      </c>
      <c r="BB186" s="10">
        <f t="shared" si="375"/>
        <v>0.61331690351980261</v>
      </c>
      <c r="BC186" s="10">
        <f t="shared" si="375"/>
        <v>0.68477523759887449</v>
      </c>
      <c r="BD186" s="10">
        <f t="shared" si="375"/>
        <v>0.67853699120881628</v>
      </c>
      <c r="BE186" s="10">
        <f t="shared" si="375"/>
        <v>0.68983398857594391</v>
      </c>
      <c r="BF186" s="10">
        <f t="shared" si="375"/>
        <v>0.54780790632961285</v>
      </c>
      <c r="BG186" s="10">
        <f t="shared" si="375"/>
        <v>0.52234522215303891</v>
      </c>
      <c r="BH186" s="10">
        <f t="shared" si="375"/>
        <v>0.55785106848524024</v>
      </c>
      <c r="BI186" s="10">
        <f t="shared" si="375"/>
        <v>0.54062195232368204</v>
      </c>
      <c r="BJ186" s="10">
        <f t="shared" si="375"/>
        <v>0.50949491312316808</v>
      </c>
      <c r="BK186" s="10"/>
      <c r="BL186" s="10"/>
      <c r="BM186" s="10"/>
      <c r="BN186" s="10">
        <f>BN137+BN185+BN98-BN150</f>
        <v>0.74568801373241145</v>
      </c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</row>
    <row r="187" spans="1:79" s="11" customFormat="1">
      <c r="A187" s="9" t="s">
        <v>235</v>
      </c>
      <c r="B187" s="54">
        <f t="shared" ref="B187:T187" si="376">B186+2*B97</f>
        <v>0.76052617683605461</v>
      </c>
      <c r="C187" s="10">
        <f t="shared" si="376"/>
        <v>0.88873688038355536</v>
      </c>
      <c r="D187" s="10">
        <f t="shared" si="376"/>
        <v>0.87448282462315186</v>
      </c>
      <c r="E187" s="10">
        <f t="shared" si="376"/>
        <v>0.93916089526547264</v>
      </c>
      <c r="F187" s="10">
        <f t="shared" si="376"/>
        <v>0.87397363338359979</v>
      </c>
      <c r="G187" s="10">
        <f t="shared" si="376"/>
        <v>0.97043778017490423</v>
      </c>
      <c r="H187" s="10">
        <f t="shared" si="376"/>
        <v>0.90957718981349123</v>
      </c>
      <c r="I187" s="10">
        <f t="shared" si="376"/>
        <v>0.883384190316297</v>
      </c>
      <c r="J187" s="10">
        <f t="shared" si="376"/>
        <v>0.79132095715204454</v>
      </c>
      <c r="K187" s="54">
        <f t="shared" si="376"/>
        <v>0.71286205355793675</v>
      </c>
      <c r="L187" s="10">
        <f t="shared" si="376"/>
        <v>0.83585556688771356</v>
      </c>
      <c r="M187" s="10">
        <f t="shared" si="376"/>
        <v>0.90305756675179172</v>
      </c>
      <c r="N187" s="10">
        <f t="shared" si="376"/>
        <v>0.98349619730654647</v>
      </c>
      <c r="O187" s="10">
        <f t="shared" si="376"/>
        <v>0.98378895666780608</v>
      </c>
      <c r="P187" s="10">
        <f t="shared" si="376"/>
        <v>0.74102961332022255</v>
      </c>
      <c r="Q187" s="10">
        <f t="shared" si="376"/>
        <v>0.33478653402134906</v>
      </c>
      <c r="R187" s="10">
        <f t="shared" si="376"/>
        <v>0.87919854811735942</v>
      </c>
      <c r="S187" s="10">
        <f t="shared" si="376"/>
        <v>0.91533397882132306</v>
      </c>
      <c r="T187" s="10">
        <f t="shared" si="376"/>
        <v>0.96860307357587483</v>
      </c>
      <c r="U187" s="10">
        <f t="shared" ref="U187:AI187" si="377">U186+2*U97</f>
        <v>0.95688252999633228</v>
      </c>
      <c r="V187" s="10">
        <f t="shared" si="377"/>
        <v>0.93993168831926655</v>
      </c>
      <c r="W187" s="10">
        <f t="shared" si="377"/>
        <v>0.62910031963770563</v>
      </c>
      <c r="X187" s="10">
        <f t="shared" si="377"/>
        <v>0.77413512015524855</v>
      </c>
      <c r="Y187" s="10">
        <f t="shared" si="377"/>
        <v>1.3776257379940011</v>
      </c>
      <c r="Z187" s="10">
        <f t="shared" si="377"/>
        <v>0.88092820079009515</v>
      </c>
      <c r="AA187" s="10">
        <f t="shared" si="377"/>
        <v>0.76977533244967844</v>
      </c>
      <c r="AB187" s="10">
        <f t="shared" si="377"/>
        <v>0.9488552404256847</v>
      </c>
      <c r="AC187" s="10">
        <f t="shared" si="377"/>
        <v>1.1836315403059361</v>
      </c>
      <c r="AD187" s="10">
        <f t="shared" si="377"/>
        <v>1.1180822491259199</v>
      </c>
      <c r="AE187" s="10">
        <f t="shared" si="377"/>
        <v>1.1107436871990135</v>
      </c>
      <c r="AF187" s="10">
        <f t="shared" si="377"/>
        <v>1.0879101328275147</v>
      </c>
      <c r="AG187" s="10">
        <f t="shared" si="377"/>
        <v>1.1818075294340495</v>
      </c>
      <c r="AH187" s="10">
        <f t="shared" si="377"/>
        <v>1.1481290885344007</v>
      </c>
      <c r="AI187" s="10">
        <f t="shared" si="377"/>
        <v>1.1711764229700523</v>
      </c>
      <c r="AJ187" s="10">
        <f t="shared" ref="AJ187:BJ187" si="378">AJ186+2*AJ97</f>
        <v>1.1255986594470049</v>
      </c>
      <c r="AK187" s="10">
        <f t="shared" si="378"/>
        <v>1.0331507249527128</v>
      </c>
      <c r="AL187" s="10">
        <f t="shared" si="378"/>
        <v>1.1036538957491437</v>
      </c>
      <c r="AM187" s="10">
        <f t="shared" si="378"/>
        <v>1.0445092546582859</v>
      </c>
      <c r="AN187" s="10">
        <f t="shared" si="378"/>
        <v>1.0573322390179416</v>
      </c>
      <c r="AO187" s="10">
        <f t="shared" si="378"/>
        <v>1.0546919616638264</v>
      </c>
      <c r="AP187" s="10">
        <f t="shared" si="378"/>
        <v>0.90003789882264007</v>
      </c>
      <c r="AQ187" s="10">
        <f t="shared" si="378"/>
        <v>0.89077145732618157</v>
      </c>
      <c r="AR187" s="10">
        <f t="shared" si="378"/>
        <v>0.90078955915699865</v>
      </c>
      <c r="AS187" s="10">
        <f t="shared" si="378"/>
        <v>0.9163335450685608</v>
      </c>
      <c r="AT187" s="10">
        <f t="shared" si="378"/>
        <v>0.85920192843165555</v>
      </c>
      <c r="AU187" s="10">
        <f t="shared" si="378"/>
        <v>0.75741410369701612</v>
      </c>
      <c r="AV187" s="10">
        <f t="shared" si="378"/>
        <v>0.88163216457100313</v>
      </c>
      <c r="AW187" s="10">
        <f t="shared" si="378"/>
        <v>0.9849829466527692</v>
      </c>
      <c r="AX187" s="10">
        <f t="shared" si="378"/>
        <v>1.0748935350701301</v>
      </c>
      <c r="AY187" s="10">
        <f t="shared" si="378"/>
        <v>0.86503872683273775</v>
      </c>
      <c r="AZ187" s="10">
        <f t="shared" si="378"/>
        <v>0.88431424545883208</v>
      </c>
      <c r="BA187" s="10">
        <f t="shared" si="378"/>
        <v>0.95409056505504619</v>
      </c>
      <c r="BB187" s="10">
        <f t="shared" si="378"/>
        <v>0.95358333977095733</v>
      </c>
      <c r="BC187" s="10">
        <f t="shared" si="378"/>
        <v>1.0133102107748755</v>
      </c>
      <c r="BD187" s="10">
        <f t="shared" si="378"/>
        <v>0.98987064136266745</v>
      </c>
      <c r="BE187" s="10">
        <f t="shared" si="378"/>
        <v>1.0392601581681888</v>
      </c>
      <c r="BF187" s="10">
        <f t="shared" si="378"/>
        <v>0.96505682675733495</v>
      </c>
      <c r="BG187" s="10">
        <f t="shared" si="378"/>
        <v>0.95291008208758265</v>
      </c>
      <c r="BH187" s="10">
        <f t="shared" si="378"/>
        <v>0.91618904303593984</v>
      </c>
      <c r="BI187" s="10">
        <f t="shared" si="378"/>
        <v>0.99674790019518489</v>
      </c>
      <c r="BJ187" s="10">
        <f t="shared" si="378"/>
        <v>0.95442919450951003</v>
      </c>
      <c r="BK187" s="10"/>
      <c r="BL187" s="10"/>
      <c r="BM187" s="10"/>
      <c r="BN187" s="10">
        <f>BN186+2*BN97</f>
        <v>0.86732172570005095</v>
      </c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</row>
    <row r="188" spans="1:79" s="11" customFormat="1">
      <c r="A188" s="9" t="s">
        <v>78</v>
      </c>
      <c r="B188" s="54">
        <f t="shared" ref="B188:T188" si="379">B184-B151</f>
        <v>0</v>
      </c>
      <c r="C188" s="10">
        <f t="shared" si="379"/>
        <v>6.106226635438361E-15</v>
      </c>
      <c r="D188" s="10">
        <f t="shared" si="379"/>
        <v>0</v>
      </c>
      <c r="E188" s="10">
        <f t="shared" si="379"/>
        <v>0</v>
      </c>
      <c r="F188" s="10">
        <f t="shared" si="379"/>
        <v>3.9968028886505635E-15</v>
      </c>
      <c r="G188" s="10">
        <f t="shared" si="379"/>
        <v>0</v>
      </c>
      <c r="H188" s="10">
        <f t="shared" si="379"/>
        <v>0</v>
      </c>
      <c r="I188" s="10">
        <f t="shared" si="379"/>
        <v>0</v>
      </c>
      <c r="J188" s="10">
        <f t="shared" si="379"/>
        <v>0</v>
      </c>
      <c r="K188" s="54">
        <f t="shared" si="379"/>
        <v>0</v>
      </c>
      <c r="L188" s="10">
        <f t="shared" si="379"/>
        <v>0</v>
      </c>
      <c r="M188" s="10">
        <f t="shared" si="379"/>
        <v>2.6645352591003757E-15</v>
      </c>
      <c r="N188" s="10">
        <f t="shared" si="379"/>
        <v>0</v>
      </c>
      <c r="O188" s="10">
        <f t="shared" si="379"/>
        <v>0</v>
      </c>
      <c r="P188" s="10">
        <f t="shared" si="379"/>
        <v>0</v>
      </c>
      <c r="Q188" s="10">
        <f t="shared" si="379"/>
        <v>1.4432899320127035E-15</v>
      </c>
      <c r="R188" s="10">
        <f t="shared" si="379"/>
        <v>0</v>
      </c>
      <c r="S188" s="10">
        <f t="shared" si="379"/>
        <v>3.5527136788005009E-15</v>
      </c>
      <c r="T188" s="10">
        <f t="shared" si="379"/>
        <v>3.8857805861880479E-15</v>
      </c>
      <c r="U188" s="10">
        <f t="shared" ref="U188:AI188" si="380">U184-U151</f>
        <v>0</v>
      </c>
      <c r="V188" s="10">
        <f t="shared" si="380"/>
        <v>6.9944050551384862E-15</v>
      </c>
      <c r="W188" s="10">
        <f t="shared" si="380"/>
        <v>1.1102230246251565E-15</v>
      </c>
      <c r="X188" s="10">
        <f t="shared" si="380"/>
        <v>1.2212453270876722E-15</v>
      </c>
      <c r="Y188" s="10">
        <f t="shared" si="380"/>
        <v>5.9952043329758453E-15</v>
      </c>
      <c r="Z188" s="10">
        <f t="shared" si="380"/>
        <v>0</v>
      </c>
      <c r="AA188" s="10">
        <f t="shared" si="380"/>
        <v>0</v>
      </c>
      <c r="AB188" s="10">
        <f t="shared" si="380"/>
        <v>0</v>
      </c>
      <c r="AC188" s="10">
        <f t="shared" si="380"/>
        <v>0</v>
      </c>
      <c r="AD188" s="10">
        <f t="shared" si="380"/>
        <v>0</v>
      </c>
      <c r="AE188" s="10">
        <f t="shared" si="380"/>
        <v>0</v>
      </c>
      <c r="AF188" s="10">
        <f t="shared" si="380"/>
        <v>0</v>
      </c>
      <c r="AG188" s="10">
        <f t="shared" si="380"/>
        <v>0</v>
      </c>
      <c r="AH188" s="10">
        <f t="shared" si="380"/>
        <v>0</v>
      </c>
      <c r="AI188" s="10">
        <f t="shared" si="380"/>
        <v>0</v>
      </c>
      <c r="AJ188" s="10">
        <f t="shared" ref="AJ188:BJ188" si="381">AJ184-AJ151</f>
        <v>0</v>
      </c>
      <c r="AK188" s="10">
        <f t="shared" si="381"/>
        <v>0</v>
      </c>
      <c r="AL188" s="10">
        <f t="shared" si="381"/>
        <v>0</v>
      </c>
      <c r="AM188" s="10">
        <f t="shared" si="381"/>
        <v>0</v>
      </c>
      <c r="AN188" s="10">
        <f t="shared" si="381"/>
        <v>0</v>
      </c>
      <c r="AO188" s="10">
        <f t="shared" si="381"/>
        <v>0</v>
      </c>
      <c r="AP188" s="10">
        <f t="shared" si="381"/>
        <v>0</v>
      </c>
      <c r="AQ188" s="10">
        <f t="shared" si="381"/>
        <v>0</v>
      </c>
      <c r="AR188" s="10">
        <f t="shared" si="381"/>
        <v>4.3298697960381105E-15</v>
      </c>
      <c r="AS188" s="10">
        <f t="shared" si="381"/>
        <v>0</v>
      </c>
      <c r="AT188" s="10">
        <f t="shared" si="381"/>
        <v>0</v>
      </c>
      <c r="AU188" s="10">
        <f t="shared" si="381"/>
        <v>0</v>
      </c>
      <c r="AV188" s="10">
        <f t="shared" si="381"/>
        <v>2.3314683517128287E-15</v>
      </c>
      <c r="AW188" s="10">
        <f t="shared" si="381"/>
        <v>0</v>
      </c>
      <c r="AX188" s="10">
        <f t="shared" si="381"/>
        <v>-4.6629367034256575E-15</v>
      </c>
      <c r="AY188" s="10">
        <f t="shared" si="381"/>
        <v>0</v>
      </c>
      <c r="AZ188" s="10">
        <f t="shared" si="381"/>
        <v>4.6629367034256575E-15</v>
      </c>
      <c r="BA188" s="10">
        <f t="shared" si="381"/>
        <v>0</v>
      </c>
      <c r="BB188" s="10">
        <f t="shared" si="381"/>
        <v>3.8857805861880479E-15</v>
      </c>
      <c r="BC188" s="10">
        <f t="shared" si="381"/>
        <v>0</v>
      </c>
      <c r="BD188" s="10">
        <f t="shared" si="381"/>
        <v>0</v>
      </c>
      <c r="BE188" s="10">
        <f t="shared" si="381"/>
        <v>0</v>
      </c>
      <c r="BF188" s="10">
        <f t="shared" si="381"/>
        <v>0</v>
      </c>
      <c r="BG188" s="10">
        <f t="shared" si="381"/>
        <v>0</v>
      </c>
      <c r="BH188" s="10">
        <f t="shared" si="381"/>
        <v>0</v>
      </c>
      <c r="BI188" s="10">
        <f t="shared" si="381"/>
        <v>0</v>
      </c>
      <c r="BJ188" s="10">
        <f t="shared" si="381"/>
        <v>0</v>
      </c>
      <c r="BK188" s="10"/>
      <c r="BL188" s="10"/>
      <c r="BM188" s="10"/>
      <c r="BN188" s="10">
        <f>BN184-BN151</f>
        <v>4.1078251911130792E-15</v>
      </c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</row>
    <row r="189" spans="1:79" s="11" customFormat="1">
      <c r="A189" s="9" t="s">
        <v>56</v>
      </c>
      <c r="B189" s="54">
        <f t="shared" ref="B189:T189" si="382">B101+B102+B103+B104</f>
        <v>4.603548925048079</v>
      </c>
      <c r="C189" s="10">
        <f t="shared" si="382"/>
        <v>4.5049983062627224</v>
      </c>
      <c r="D189" s="10">
        <f t="shared" si="382"/>
        <v>4.5197283910410686</v>
      </c>
      <c r="E189" s="10">
        <f t="shared" si="382"/>
        <v>4.4968849380081481</v>
      </c>
      <c r="F189" s="10">
        <f t="shared" si="382"/>
        <v>4.4690929646556157</v>
      </c>
      <c r="G189" s="10">
        <f t="shared" si="382"/>
        <v>4.3564867664719058</v>
      </c>
      <c r="H189" s="10">
        <f t="shared" si="382"/>
        <v>4.4090453205972153</v>
      </c>
      <c r="I189" s="10">
        <f t="shared" si="382"/>
        <v>4.4797525568788679</v>
      </c>
      <c r="J189" s="10">
        <f t="shared" si="382"/>
        <v>4.640285533416753</v>
      </c>
      <c r="K189" s="54">
        <f t="shared" si="382"/>
        <v>4.6070252483245131</v>
      </c>
      <c r="L189" s="10">
        <f t="shared" si="382"/>
        <v>4.5812893340929746</v>
      </c>
      <c r="M189" s="10">
        <f t="shared" si="382"/>
        <v>4.4485671745932258</v>
      </c>
      <c r="N189" s="10">
        <f t="shared" si="382"/>
        <v>4.4310879774433083</v>
      </c>
      <c r="O189" s="10">
        <f t="shared" si="382"/>
        <v>4.3889195230249225</v>
      </c>
      <c r="P189" s="10">
        <f t="shared" si="382"/>
        <v>4.4609956555348784</v>
      </c>
      <c r="Q189" s="10">
        <f t="shared" si="382"/>
        <v>4.7101382691216642</v>
      </c>
      <c r="R189" s="10">
        <f t="shared" si="382"/>
        <v>4.3820387562233734</v>
      </c>
      <c r="S189" s="10">
        <f t="shared" si="382"/>
        <v>4.3309296274968769</v>
      </c>
      <c r="T189" s="10">
        <f t="shared" si="382"/>
        <v>4.2724062406826677</v>
      </c>
      <c r="U189" s="10">
        <f t="shared" ref="U189:AI189" si="383">U101+U102+U103+U104</f>
        <v>4.2949420911754235</v>
      </c>
      <c r="V189" s="10">
        <f t="shared" si="383"/>
        <v>4.277118152944702</v>
      </c>
      <c r="W189" s="10">
        <f t="shared" si="383"/>
        <v>4.5193267092948783</v>
      </c>
      <c r="X189" s="10">
        <f t="shared" si="383"/>
        <v>4.4223097926146941</v>
      </c>
      <c r="Y189" s="10">
        <f t="shared" si="383"/>
        <v>3.1396074346090552</v>
      </c>
      <c r="Z189" s="10">
        <f t="shared" si="383"/>
        <v>4.0970025898663351</v>
      </c>
      <c r="AA189" s="10">
        <f t="shared" si="383"/>
        <v>4.1903168661393604</v>
      </c>
      <c r="AB189" s="10">
        <f t="shared" si="383"/>
        <v>4.511467460874063</v>
      </c>
      <c r="AC189" s="10">
        <f t="shared" si="383"/>
        <v>4.301889212855734</v>
      </c>
      <c r="AD189" s="10">
        <f t="shared" si="383"/>
        <v>4.3344718648287861</v>
      </c>
      <c r="AE189" s="10">
        <f t="shared" si="383"/>
        <v>4.3980301507467159</v>
      </c>
      <c r="AF189" s="10">
        <f t="shared" si="383"/>
        <v>4.4039694637579405</v>
      </c>
      <c r="AG189" s="10">
        <f t="shared" si="383"/>
        <v>4.3246339571083592</v>
      </c>
      <c r="AH189" s="10">
        <f t="shared" si="383"/>
        <v>4.350428600612787</v>
      </c>
      <c r="AI189" s="10">
        <f t="shared" si="383"/>
        <v>4.3186482556717278</v>
      </c>
      <c r="AJ189" s="10">
        <f t="shared" ref="AJ189:BJ189" si="384">AJ101+AJ102+AJ103+AJ104</f>
        <v>4.3826867907394202</v>
      </c>
      <c r="AK189" s="10">
        <f t="shared" si="384"/>
        <v>4.2811600096958404</v>
      </c>
      <c r="AL189" s="10">
        <f t="shared" si="384"/>
        <v>4.2380594533767546</v>
      </c>
      <c r="AM189" s="10">
        <f t="shared" si="384"/>
        <v>4.3088637934528196</v>
      </c>
      <c r="AN189" s="10">
        <f t="shared" si="384"/>
        <v>4.3021051857287125</v>
      </c>
      <c r="AO189" s="10">
        <f t="shared" si="384"/>
        <v>4.2874030679266992</v>
      </c>
      <c r="AP189" s="10">
        <f t="shared" si="384"/>
        <v>4.2979748898342294</v>
      </c>
      <c r="AQ189" s="10">
        <f t="shared" si="384"/>
        <v>4.3346246438765936</v>
      </c>
      <c r="AR189" s="10">
        <f t="shared" si="384"/>
        <v>4.2878642838187675</v>
      </c>
      <c r="AS189" s="10">
        <f t="shared" si="384"/>
        <v>4.29542749401989</v>
      </c>
      <c r="AT189" s="10">
        <f t="shared" si="384"/>
        <v>4.3891229592868468</v>
      </c>
      <c r="AU189" s="10">
        <f t="shared" si="384"/>
        <v>4.4209754080001176</v>
      </c>
      <c r="AV189" s="10">
        <f t="shared" si="384"/>
        <v>4.3859269060383204</v>
      </c>
      <c r="AW189" s="10">
        <f t="shared" si="384"/>
        <v>4.204188686711305</v>
      </c>
      <c r="AX189" s="10">
        <f t="shared" si="384"/>
        <v>3.6621798359722963</v>
      </c>
      <c r="AY189" s="10">
        <f t="shared" si="384"/>
        <v>4.3864146267350286</v>
      </c>
      <c r="AZ189" s="10">
        <f t="shared" si="384"/>
        <v>4.3287249267637833</v>
      </c>
      <c r="BA189" s="10">
        <f t="shared" si="384"/>
        <v>4.2875091230731996</v>
      </c>
      <c r="BB189" s="10">
        <f t="shared" si="384"/>
        <v>4.3191082670835694</v>
      </c>
      <c r="BC189" s="10">
        <f t="shared" si="384"/>
        <v>4.2136248394337414</v>
      </c>
      <c r="BD189" s="10">
        <f t="shared" si="384"/>
        <v>4.2452548385658364</v>
      </c>
      <c r="BE189" s="10">
        <f t="shared" si="384"/>
        <v>4.2206642353064421</v>
      </c>
      <c r="BF189" s="10">
        <f t="shared" si="384"/>
        <v>4.3507182918477518</v>
      </c>
      <c r="BG189" s="10">
        <f t="shared" si="384"/>
        <v>4.402347229153893</v>
      </c>
      <c r="BH189" s="10">
        <f t="shared" si="384"/>
        <v>4.3622672640625204</v>
      </c>
      <c r="BI189" s="10">
        <f t="shared" si="384"/>
        <v>4.3604898417566913</v>
      </c>
      <c r="BJ189" s="10">
        <f t="shared" si="384"/>
        <v>4.3107274030182872</v>
      </c>
      <c r="BK189" s="10"/>
      <c r="BL189" s="10"/>
      <c r="BM189" s="10"/>
      <c r="BN189" s="10">
        <f>BN101+BN102+BN103+BN104</f>
        <v>4.5000668224246505</v>
      </c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</row>
    <row r="190" spans="1:79" s="11" customFormat="1">
      <c r="A190" s="9" t="s">
        <v>258</v>
      </c>
      <c r="B190" s="54">
        <f t="shared" ref="B190:T190" si="385">B189-B158</f>
        <v>4.2890964106410259</v>
      </c>
      <c r="C190" s="10">
        <f t="shared" si="385"/>
        <v>4.172390138150714</v>
      </c>
      <c r="D190" s="10">
        <f t="shared" si="385"/>
        <v>4.188811017322231</v>
      </c>
      <c r="E190" s="10">
        <f t="shared" si="385"/>
        <v>4.1048544010036982</v>
      </c>
      <c r="F190" s="10">
        <f t="shared" si="385"/>
        <v>4.1951254582707556</v>
      </c>
      <c r="G190" s="10">
        <f t="shared" si="385"/>
        <v>4.0942252908239007</v>
      </c>
      <c r="H190" s="10">
        <f t="shared" si="385"/>
        <v>4.1572291982950311</v>
      </c>
      <c r="I190" s="10">
        <f t="shared" si="385"/>
        <v>4.1841196542929051</v>
      </c>
      <c r="J190" s="10">
        <f t="shared" si="385"/>
        <v>4.263075713032288</v>
      </c>
      <c r="K190" s="54">
        <f t="shared" si="385"/>
        <v>4.3388114400457312</v>
      </c>
      <c r="L190" s="10">
        <f t="shared" si="385"/>
        <v>4.230412497439203</v>
      </c>
      <c r="M190" s="10">
        <f t="shared" si="385"/>
        <v>4.167244894241013</v>
      </c>
      <c r="N190" s="10">
        <f t="shared" si="385"/>
        <v>4.086975894825307</v>
      </c>
      <c r="O190" s="10">
        <f t="shared" si="385"/>
        <v>4.1038516797569029</v>
      </c>
      <c r="P190" s="10">
        <f t="shared" si="385"/>
        <v>4.4137712315026807</v>
      </c>
      <c r="Q190" s="10">
        <f t="shared" si="385"/>
        <v>4.6739371746192209</v>
      </c>
      <c r="R190" s="10">
        <f t="shared" si="385"/>
        <v>4.3048899248882506</v>
      </c>
      <c r="S190" s="10">
        <f t="shared" si="385"/>
        <v>4.2639898972236256</v>
      </c>
      <c r="T190" s="10">
        <f t="shared" si="385"/>
        <v>4.2106012806303745</v>
      </c>
      <c r="U190" s="10">
        <f t="shared" ref="U190:AI190" si="386">U189-U158</f>
        <v>4.2195078785048405</v>
      </c>
      <c r="V190" s="10">
        <f t="shared" si="386"/>
        <v>4.2288993634445688</v>
      </c>
      <c r="W190" s="10">
        <f t="shared" si="386"/>
        <v>4.4673461630743558</v>
      </c>
      <c r="X190" s="10">
        <f t="shared" si="386"/>
        <v>4.3228375017711071</v>
      </c>
      <c r="Y190" s="10">
        <f t="shared" si="386"/>
        <v>3.1396074346090552</v>
      </c>
      <c r="Z190" s="10">
        <f t="shared" si="386"/>
        <v>4.0970025898663351</v>
      </c>
      <c r="AA190" s="10">
        <f t="shared" si="386"/>
        <v>4.1903168661393604</v>
      </c>
      <c r="AB190" s="10">
        <f t="shared" si="386"/>
        <v>4.2989682249545105</v>
      </c>
      <c r="AC190" s="10">
        <f t="shared" si="386"/>
        <v>4.0924279529099614</v>
      </c>
      <c r="AD190" s="10">
        <f t="shared" si="386"/>
        <v>4.1637568546510959</v>
      </c>
      <c r="AE190" s="10">
        <f t="shared" si="386"/>
        <v>4.1726438829116903</v>
      </c>
      <c r="AF190" s="10">
        <f t="shared" si="386"/>
        <v>4.1922595822288224</v>
      </c>
      <c r="AG190" s="10">
        <f t="shared" si="386"/>
        <v>4.1126176229583598</v>
      </c>
      <c r="AH190" s="10">
        <f t="shared" si="386"/>
        <v>4.1106933341187268</v>
      </c>
      <c r="AI190" s="10">
        <f t="shared" si="386"/>
        <v>4.1255736908307608</v>
      </c>
      <c r="AJ190" s="10">
        <f t="shared" ref="AJ190:BJ190" si="387">AJ189-AJ158</f>
        <v>4.1385701741337817</v>
      </c>
      <c r="AK190" s="10">
        <f t="shared" si="387"/>
        <v>4.0535345173939019</v>
      </c>
      <c r="AL190" s="10">
        <f t="shared" si="387"/>
        <v>3.99816286634268</v>
      </c>
      <c r="AM190" s="10">
        <f t="shared" si="387"/>
        <v>4.0428209857507511</v>
      </c>
      <c r="AN190" s="10">
        <f t="shared" si="387"/>
        <v>4.0239112339662819</v>
      </c>
      <c r="AO190" s="10">
        <f t="shared" si="387"/>
        <v>4.0331513193601349</v>
      </c>
      <c r="AP190" s="10">
        <f t="shared" si="387"/>
        <v>4.1983892671351901</v>
      </c>
      <c r="AQ190" s="10">
        <f t="shared" si="387"/>
        <v>4.2165725796787958</v>
      </c>
      <c r="AR190" s="10">
        <f t="shared" si="387"/>
        <v>4.1988139877546127</v>
      </c>
      <c r="AS190" s="10">
        <f t="shared" si="387"/>
        <v>4.1933566119682553</v>
      </c>
      <c r="AT190" s="10">
        <f t="shared" si="387"/>
        <v>4.2469903093736656</v>
      </c>
      <c r="AU190" s="10">
        <f t="shared" si="387"/>
        <v>4.3103601563031324</v>
      </c>
      <c r="AV190" s="10">
        <f t="shared" si="387"/>
        <v>4.2376573487505738</v>
      </c>
      <c r="AW190" s="10">
        <f t="shared" si="387"/>
        <v>4.1065490963103723</v>
      </c>
      <c r="AX190" s="10">
        <f t="shared" si="387"/>
        <v>3.6621798359722963</v>
      </c>
      <c r="AY190" s="10">
        <f t="shared" si="387"/>
        <v>4.253691528537904</v>
      </c>
      <c r="AZ190" s="10">
        <f t="shared" si="387"/>
        <v>4.2196933947898945</v>
      </c>
      <c r="BA190" s="10">
        <f t="shared" si="387"/>
        <v>4.2134778903323689</v>
      </c>
      <c r="BB190" s="10">
        <f t="shared" si="387"/>
        <v>4.2165498783546198</v>
      </c>
      <c r="BC190" s="10">
        <f t="shared" si="387"/>
        <v>4.1509572758131252</v>
      </c>
      <c r="BD190" s="10">
        <f t="shared" si="387"/>
        <v>4.1657961837142548</v>
      </c>
      <c r="BE190" s="10">
        <f t="shared" si="387"/>
        <v>4.1354529266279307</v>
      </c>
      <c r="BF190" s="10">
        <f t="shared" si="387"/>
        <v>4.2435676334565233</v>
      </c>
      <c r="BG190" s="10">
        <f t="shared" si="387"/>
        <v>4.2623723478796869</v>
      </c>
      <c r="BH190" s="10">
        <f t="shared" si="387"/>
        <v>4.2629799442394081</v>
      </c>
      <c r="BI190" s="10">
        <f t="shared" si="387"/>
        <v>4.2313150737405687</v>
      </c>
      <c r="BJ190" s="10">
        <f t="shared" si="387"/>
        <v>4.2680379461836582</v>
      </c>
      <c r="BK190" s="10"/>
      <c r="BL190" s="10"/>
      <c r="BM190" s="10"/>
      <c r="BN190" s="10">
        <f>BN189-BN158</f>
        <v>4.1934951302837717</v>
      </c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</row>
    <row r="191" spans="1:79" s="11" customFormat="1">
      <c r="A191" s="9" t="s">
        <v>259</v>
      </c>
      <c r="B191" s="54">
        <f t="shared" ref="B191:T191" si="388">B190+B97+B98+B100+B137</f>
        <v>5</v>
      </c>
      <c r="C191" s="10">
        <f t="shared" si="388"/>
        <v>5</v>
      </c>
      <c r="D191" s="10">
        <f t="shared" si="388"/>
        <v>5.0000000000000009</v>
      </c>
      <c r="E191" s="10">
        <f t="shared" si="388"/>
        <v>4.9999999999999991</v>
      </c>
      <c r="F191" s="10">
        <f t="shared" si="388"/>
        <v>4.9999999999999982</v>
      </c>
      <c r="G191" s="10">
        <f t="shared" si="388"/>
        <v>4.9999999999999991</v>
      </c>
      <c r="H191" s="10">
        <f t="shared" si="388"/>
        <v>5.0000000000000018</v>
      </c>
      <c r="I191" s="10">
        <f t="shared" si="388"/>
        <v>4.9999999999999982</v>
      </c>
      <c r="J191" s="10">
        <f t="shared" si="388"/>
        <v>5</v>
      </c>
      <c r="K191" s="54">
        <f t="shared" si="388"/>
        <v>5</v>
      </c>
      <c r="L191" s="10">
        <f t="shared" si="388"/>
        <v>4.9999999999999982</v>
      </c>
      <c r="M191" s="10">
        <f t="shared" si="388"/>
        <v>5</v>
      </c>
      <c r="N191" s="10">
        <f t="shared" si="388"/>
        <v>5.0000000000000018</v>
      </c>
      <c r="O191" s="10">
        <f t="shared" si="388"/>
        <v>5</v>
      </c>
      <c r="P191" s="10">
        <f t="shared" si="388"/>
        <v>4.9999999999999991</v>
      </c>
      <c r="Q191" s="10">
        <f t="shared" si="388"/>
        <v>4.9999999999999991</v>
      </c>
      <c r="R191" s="10">
        <f t="shared" si="388"/>
        <v>5.0000000000000018</v>
      </c>
      <c r="S191" s="10">
        <f t="shared" si="388"/>
        <v>5</v>
      </c>
      <c r="T191" s="10">
        <f t="shared" si="388"/>
        <v>5.0000000000000027</v>
      </c>
      <c r="U191" s="10">
        <f t="shared" ref="U191:AI191" si="389">U190+U97+U98+U100+U137</f>
        <v>5</v>
      </c>
      <c r="V191" s="10">
        <f t="shared" si="389"/>
        <v>5</v>
      </c>
      <c r="W191" s="10">
        <f t="shared" si="389"/>
        <v>5</v>
      </c>
      <c r="X191" s="10">
        <f t="shared" si="389"/>
        <v>5.0000000000000018</v>
      </c>
      <c r="Y191" s="10">
        <f t="shared" si="389"/>
        <v>4.3766432334711656</v>
      </c>
      <c r="Z191" s="10">
        <f t="shared" si="389"/>
        <v>4.9072926971496376</v>
      </c>
      <c r="AA191" s="10">
        <f t="shared" si="389"/>
        <v>4.8582523900965429</v>
      </c>
      <c r="AB191" s="10">
        <f t="shared" si="389"/>
        <v>5.0000000000000009</v>
      </c>
      <c r="AC191" s="10">
        <f t="shared" si="389"/>
        <v>5</v>
      </c>
      <c r="AD191" s="10">
        <f t="shared" si="389"/>
        <v>5.0000000000000027</v>
      </c>
      <c r="AE191" s="10">
        <f t="shared" si="389"/>
        <v>5.0000000000000009</v>
      </c>
      <c r="AF191" s="10">
        <f t="shared" si="389"/>
        <v>5.0000000000000009</v>
      </c>
      <c r="AG191" s="10">
        <f t="shared" si="389"/>
        <v>5</v>
      </c>
      <c r="AH191" s="10">
        <f t="shared" si="389"/>
        <v>5.0000000000000009</v>
      </c>
      <c r="AI191" s="10">
        <f t="shared" si="389"/>
        <v>4.9999999999999982</v>
      </c>
      <c r="AJ191" s="10">
        <f t="shared" ref="AJ191:BJ191" si="390">AJ190+AJ97+AJ98+AJ100+AJ137</f>
        <v>5.0000000000000009</v>
      </c>
      <c r="AK191" s="10">
        <f t="shared" si="390"/>
        <v>5</v>
      </c>
      <c r="AL191" s="10">
        <f t="shared" si="390"/>
        <v>5</v>
      </c>
      <c r="AM191" s="10">
        <f t="shared" si="390"/>
        <v>5</v>
      </c>
      <c r="AN191" s="10">
        <f t="shared" si="390"/>
        <v>5.0000000000000018</v>
      </c>
      <c r="AO191" s="10">
        <f t="shared" si="390"/>
        <v>5</v>
      </c>
      <c r="AP191" s="10">
        <f t="shared" si="390"/>
        <v>5</v>
      </c>
      <c r="AQ191" s="10">
        <f t="shared" si="390"/>
        <v>5.0000000000000009</v>
      </c>
      <c r="AR191" s="10">
        <f t="shared" si="390"/>
        <v>5.0000000000000018</v>
      </c>
      <c r="AS191" s="10">
        <f t="shared" si="390"/>
        <v>5</v>
      </c>
      <c r="AT191" s="10">
        <f t="shared" si="390"/>
        <v>5</v>
      </c>
      <c r="AU191" s="10">
        <f t="shared" si="390"/>
        <v>5</v>
      </c>
      <c r="AV191" s="10">
        <f t="shared" si="390"/>
        <v>5.0000000000000018</v>
      </c>
      <c r="AW191" s="10">
        <f t="shared" si="390"/>
        <v>5.0000000000000018</v>
      </c>
      <c r="AX191" s="10">
        <f t="shared" si="390"/>
        <v>4.6497068689425243</v>
      </c>
      <c r="AY191" s="10">
        <f t="shared" si="390"/>
        <v>5.0000000000000036</v>
      </c>
      <c r="AZ191" s="10">
        <f t="shared" si="390"/>
        <v>5</v>
      </c>
      <c r="BA191" s="10">
        <f t="shared" si="390"/>
        <v>5.0000000000000009</v>
      </c>
      <c r="BB191" s="10">
        <f t="shared" si="390"/>
        <v>4.9999999999999991</v>
      </c>
      <c r="BC191" s="10">
        <f t="shared" si="390"/>
        <v>5.0000000000000018</v>
      </c>
      <c r="BD191" s="10">
        <f t="shared" si="390"/>
        <v>5</v>
      </c>
      <c r="BE191" s="10">
        <f t="shared" si="390"/>
        <v>4.9999999999999982</v>
      </c>
      <c r="BF191" s="10">
        <f t="shared" si="390"/>
        <v>4.9999999999999982</v>
      </c>
      <c r="BG191" s="10">
        <f t="shared" si="390"/>
        <v>5.0000000000000009</v>
      </c>
      <c r="BH191" s="10">
        <f t="shared" si="390"/>
        <v>4.9999999999999982</v>
      </c>
      <c r="BI191" s="10">
        <f t="shared" si="390"/>
        <v>5.0000000000000018</v>
      </c>
      <c r="BJ191" s="10">
        <f t="shared" si="390"/>
        <v>5.0000000000000018</v>
      </c>
      <c r="BK191" s="10"/>
      <c r="BL191" s="10"/>
      <c r="BM191" s="10"/>
      <c r="BN191" s="10">
        <f>BN190+BN97+BN98+BN100+BN137</f>
        <v>5.0000000000000036</v>
      </c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</row>
    <row r="193" spans="1:75">
      <c r="A193" s="1" t="s">
        <v>238</v>
      </c>
    </row>
    <row r="194" spans="1:75">
      <c r="A194" s="1" t="s">
        <v>239</v>
      </c>
    </row>
    <row r="195" spans="1:75">
      <c r="A195" s="1" t="s">
        <v>240</v>
      </c>
    </row>
    <row r="196" spans="1:75">
      <c r="A196" s="1" t="s">
        <v>241</v>
      </c>
      <c r="B196" s="54">
        <f t="shared" ref="B196:T196" si="391">B105+B141</f>
        <v>1.6855474855929462</v>
      </c>
      <c r="C196" s="2">
        <f t="shared" si="391"/>
        <v>1.6673918318879901</v>
      </c>
      <c r="D196" s="2">
        <f t="shared" si="391"/>
        <v>1.669082626281158</v>
      </c>
      <c r="E196" s="2">
        <f t="shared" si="391"/>
        <v>1.6079694629955499</v>
      </c>
      <c r="F196" s="2">
        <f t="shared" si="391"/>
        <v>1.7260324936151394</v>
      </c>
      <c r="G196" s="2">
        <f t="shared" si="391"/>
        <v>1.7377385243519941</v>
      </c>
      <c r="H196" s="2">
        <f t="shared" si="391"/>
        <v>1.748183877697816</v>
      </c>
      <c r="I196" s="2">
        <f t="shared" si="391"/>
        <v>1.704367097414037</v>
      </c>
      <c r="J196" s="2">
        <f t="shared" si="391"/>
        <v>1.6227901796155355</v>
      </c>
      <c r="K196" s="54">
        <f t="shared" si="391"/>
        <v>1.7317861917212145</v>
      </c>
      <c r="L196" s="2">
        <f t="shared" si="391"/>
        <v>1.6491231633462284</v>
      </c>
      <c r="M196" s="2">
        <f t="shared" si="391"/>
        <v>1.7186777196477869</v>
      </c>
      <c r="N196" s="2">
        <f t="shared" si="391"/>
        <v>1.6558879173819954</v>
      </c>
      <c r="O196" s="2">
        <f t="shared" si="391"/>
        <v>1.7149321567319784</v>
      </c>
      <c r="P196" s="2">
        <f t="shared" si="391"/>
        <v>1.9527755759678018</v>
      </c>
      <c r="Q196" s="2">
        <f t="shared" si="391"/>
        <v>1.9637989054975564</v>
      </c>
      <c r="R196" s="2">
        <f t="shared" si="391"/>
        <v>1.9228511686648742</v>
      </c>
      <c r="S196" s="2">
        <f t="shared" si="391"/>
        <v>1.9330602697267472</v>
      </c>
      <c r="T196" s="2">
        <f t="shared" si="391"/>
        <v>1.9381950399477066</v>
      </c>
      <c r="U196" s="2">
        <f t="shared" ref="U196:AI196" si="392">U105+U141</f>
        <v>1.9245657873294166</v>
      </c>
      <c r="V196" s="2">
        <f t="shared" si="392"/>
        <v>1.9517812104998657</v>
      </c>
      <c r="W196" s="2">
        <f t="shared" si="392"/>
        <v>1.9480194537794764</v>
      </c>
      <c r="X196" s="2">
        <f t="shared" si="392"/>
        <v>1.9005277091564128</v>
      </c>
      <c r="Y196" s="2">
        <f t="shared" si="392"/>
        <v>2.6233567665288371</v>
      </c>
      <c r="Z196" s="2">
        <f t="shared" si="392"/>
        <v>2.0927073028503611</v>
      </c>
      <c r="AA196" s="2">
        <f t="shared" si="392"/>
        <v>2.1417476099034576</v>
      </c>
      <c r="AB196" s="2">
        <f t="shared" si="392"/>
        <v>1.7875007640804443</v>
      </c>
      <c r="AC196" s="2">
        <f t="shared" si="392"/>
        <v>1.7905387400542274</v>
      </c>
      <c r="AD196" s="2">
        <f t="shared" si="392"/>
        <v>1.8292849898223094</v>
      </c>
      <c r="AE196" s="2">
        <f t="shared" si="392"/>
        <v>1.7746137321649686</v>
      </c>
      <c r="AF196" s="2">
        <f t="shared" si="392"/>
        <v>1.7882901184708782</v>
      </c>
      <c r="AG196" s="2">
        <f t="shared" si="392"/>
        <v>1.7879836658499981</v>
      </c>
      <c r="AH196" s="2">
        <f t="shared" si="392"/>
        <v>1.7602647335059398</v>
      </c>
      <c r="AI196" s="2">
        <f t="shared" si="392"/>
        <v>1.8069254351590331</v>
      </c>
      <c r="AJ196" s="2">
        <f t="shared" ref="AJ196:BJ196" si="393">AJ105+AJ141</f>
        <v>1.7558833833943615</v>
      </c>
      <c r="AK196" s="2">
        <f t="shared" si="393"/>
        <v>1.7723745076980613</v>
      </c>
      <c r="AL196" s="2">
        <f t="shared" si="393"/>
        <v>1.7601034129659225</v>
      </c>
      <c r="AM196" s="2">
        <f t="shared" si="393"/>
        <v>1.7339571922979311</v>
      </c>
      <c r="AN196" s="2">
        <f t="shared" si="393"/>
        <v>1.721806048237567</v>
      </c>
      <c r="AO196" s="2">
        <f t="shared" si="393"/>
        <v>1.7457482514334348</v>
      </c>
      <c r="AP196" s="2">
        <f t="shared" si="393"/>
        <v>1.9004143773009596</v>
      </c>
      <c r="AQ196" s="2">
        <f t="shared" si="393"/>
        <v>1.8819479358021998</v>
      </c>
      <c r="AR196" s="2">
        <f t="shared" si="393"/>
        <v>1.910949703935845</v>
      </c>
      <c r="AS196" s="2">
        <f t="shared" si="393"/>
        <v>1.8979291179483633</v>
      </c>
      <c r="AT196" s="2">
        <f t="shared" si="393"/>
        <v>1.857867350086819</v>
      </c>
      <c r="AU196" s="2">
        <f t="shared" si="393"/>
        <v>1.8893847483030148</v>
      </c>
      <c r="AV196" s="2">
        <f t="shared" si="393"/>
        <v>1.8517304427122512</v>
      </c>
      <c r="AW196" s="2">
        <f t="shared" si="393"/>
        <v>1.9023604095990643</v>
      </c>
      <c r="AX196" s="2">
        <f t="shared" si="393"/>
        <v>2.3502931310574757</v>
      </c>
      <c r="AY196" s="2">
        <f t="shared" si="393"/>
        <v>1.8672769018028756</v>
      </c>
      <c r="AZ196" s="2">
        <f t="shared" si="393"/>
        <v>1.890968468026111</v>
      </c>
      <c r="BA196" s="2">
        <f t="shared" si="393"/>
        <v>1.9259687672591692</v>
      </c>
      <c r="BB196" s="2">
        <f t="shared" si="393"/>
        <v>1.8974416112710499</v>
      </c>
      <c r="BC196" s="2">
        <f t="shared" si="393"/>
        <v>1.9373324363793829</v>
      </c>
      <c r="BD196" s="2">
        <f t="shared" si="393"/>
        <v>1.9205413451484155</v>
      </c>
      <c r="BE196" s="2">
        <f t="shared" si="393"/>
        <v>1.9147886913214887</v>
      </c>
      <c r="BF196" s="2">
        <f t="shared" si="393"/>
        <v>1.8928493416087702</v>
      </c>
      <c r="BG196" s="2">
        <f t="shared" si="393"/>
        <v>1.8600251187257906</v>
      </c>
      <c r="BH196" s="2">
        <f t="shared" si="393"/>
        <v>1.9007126801768881</v>
      </c>
      <c r="BI196" s="2">
        <f t="shared" si="393"/>
        <v>1.8708252319838774</v>
      </c>
      <c r="BJ196" s="2">
        <f t="shared" si="393"/>
        <v>1.957310543165367</v>
      </c>
      <c r="BN196" s="2">
        <f>BN105+BN141</f>
        <v>1.6934283078591217</v>
      </c>
    </row>
    <row r="197" spans="1:75">
      <c r="A197" s="1" t="s">
        <v>181</v>
      </c>
      <c r="B197" s="54">
        <f t="shared" ref="B197:T197" si="394">B141</f>
        <v>0</v>
      </c>
      <c r="C197" s="2">
        <f t="shared" si="394"/>
        <v>0</v>
      </c>
      <c r="D197" s="2">
        <f t="shared" si="394"/>
        <v>0</v>
      </c>
      <c r="E197" s="2">
        <f t="shared" si="394"/>
        <v>0</v>
      </c>
      <c r="F197" s="2">
        <f t="shared" si="394"/>
        <v>0</v>
      </c>
      <c r="G197" s="2">
        <f t="shared" si="394"/>
        <v>0</v>
      </c>
      <c r="H197" s="2">
        <f t="shared" si="394"/>
        <v>0</v>
      </c>
      <c r="I197" s="2">
        <f t="shared" si="394"/>
        <v>0</v>
      </c>
      <c r="J197" s="2">
        <f t="shared" si="394"/>
        <v>0</v>
      </c>
      <c r="K197" s="54">
        <f t="shared" si="394"/>
        <v>0</v>
      </c>
      <c r="L197" s="2">
        <f t="shared" si="394"/>
        <v>0</v>
      </c>
      <c r="M197" s="2">
        <f t="shared" si="394"/>
        <v>0</v>
      </c>
      <c r="N197" s="2">
        <f t="shared" si="394"/>
        <v>0</v>
      </c>
      <c r="O197" s="2">
        <f t="shared" si="394"/>
        <v>0</v>
      </c>
      <c r="P197" s="2">
        <f t="shared" si="394"/>
        <v>0</v>
      </c>
      <c r="Q197" s="2">
        <f t="shared" si="394"/>
        <v>0</v>
      </c>
      <c r="R197" s="2">
        <f t="shared" si="394"/>
        <v>0</v>
      </c>
      <c r="S197" s="2">
        <f t="shared" si="394"/>
        <v>0</v>
      </c>
      <c r="T197" s="2">
        <f t="shared" si="394"/>
        <v>0</v>
      </c>
      <c r="U197" s="2">
        <f t="shared" ref="U197:AI197" si="395">U141</f>
        <v>0</v>
      </c>
      <c r="V197" s="2">
        <f t="shared" si="395"/>
        <v>0</v>
      </c>
      <c r="W197" s="2">
        <f t="shared" si="395"/>
        <v>0</v>
      </c>
      <c r="X197" s="2">
        <f t="shared" si="395"/>
        <v>0</v>
      </c>
      <c r="Y197" s="2">
        <f t="shared" si="395"/>
        <v>0</v>
      </c>
      <c r="Z197" s="2">
        <f t="shared" si="395"/>
        <v>0</v>
      </c>
      <c r="AA197" s="2">
        <f t="shared" si="395"/>
        <v>0</v>
      </c>
      <c r="AB197" s="2">
        <f t="shared" si="395"/>
        <v>0</v>
      </c>
      <c r="AC197" s="2">
        <f t="shared" si="395"/>
        <v>0</v>
      </c>
      <c r="AD197" s="2">
        <f t="shared" si="395"/>
        <v>0</v>
      </c>
      <c r="AE197" s="2">
        <f t="shared" si="395"/>
        <v>0</v>
      </c>
      <c r="AF197" s="2">
        <f t="shared" si="395"/>
        <v>0</v>
      </c>
      <c r="AG197" s="2">
        <f t="shared" si="395"/>
        <v>0</v>
      </c>
      <c r="AH197" s="2">
        <f t="shared" si="395"/>
        <v>0</v>
      </c>
      <c r="AI197" s="2">
        <f t="shared" si="395"/>
        <v>0</v>
      </c>
      <c r="AJ197" s="2">
        <f t="shared" ref="AJ197:BJ197" si="396">AJ141</f>
        <v>0</v>
      </c>
      <c r="AK197" s="2">
        <f t="shared" si="396"/>
        <v>0</v>
      </c>
      <c r="AL197" s="2">
        <f t="shared" si="396"/>
        <v>0</v>
      </c>
      <c r="AM197" s="2">
        <f t="shared" si="396"/>
        <v>0</v>
      </c>
      <c r="AN197" s="2">
        <f t="shared" si="396"/>
        <v>0</v>
      </c>
      <c r="AO197" s="2">
        <f t="shared" si="396"/>
        <v>0</v>
      </c>
      <c r="AP197" s="2">
        <f t="shared" si="396"/>
        <v>0</v>
      </c>
      <c r="AQ197" s="2">
        <f t="shared" si="396"/>
        <v>0</v>
      </c>
      <c r="AR197" s="2">
        <f t="shared" si="396"/>
        <v>0</v>
      </c>
      <c r="AS197" s="2">
        <f t="shared" si="396"/>
        <v>0</v>
      </c>
      <c r="AT197" s="2">
        <f t="shared" si="396"/>
        <v>0</v>
      </c>
      <c r="AU197" s="2">
        <f t="shared" si="396"/>
        <v>0</v>
      </c>
      <c r="AV197" s="2">
        <f t="shared" si="396"/>
        <v>0</v>
      </c>
      <c r="AW197" s="2">
        <f t="shared" si="396"/>
        <v>0</v>
      </c>
      <c r="AX197" s="2">
        <f t="shared" si="396"/>
        <v>0</v>
      </c>
      <c r="AY197" s="2">
        <f t="shared" si="396"/>
        <v>0</v>
      </c>
      <c r="AZ197" s="2">
        <f t="shared" si="396"/>
        <v>0</v>
      </c>
      <c r="BA197" s="2">
        <f t="shared" si="396"/>
        <v>0</v>
      </c>
      <c r="BB197" s="2">
        <f t="shared" si="396"/>
        <v>0</v>
      </c>
      <c r="BC197" s="2">
        <f t="shared" si="396"/>
        <v>0</v>
      </c>
      <c r="BD197" s="2">
        <f t="shared" si="396"/>
        <v>0</v>
      </c>
      <c r="BE197" s="2">
        <f t="shared" si="396"/>
        <v>0</v>
      </c>
      <c r="BF197" s="2">
        <f t="shared" si="396"/>
        <v>0</v>
      </c>
      <c r="BG197" s="2">
        <f t="shared" si="396"/>
        <v>0</v>
      </c>
      <c r="BH197" s="2">
        <f t="shared" si="396"/>
        <v>0</v>
      </c>
      <c r="BI197" s="2">
        <f t="shared" si="396"/>
        <v>0</v>
      </c>
      <c r="BJ197" s="2">
        <f t="shared" si="396"/>
        <v>0</v>
      </c>
      <c r="BN197" s="2">
        <f>BN141</f>
        <v>0</v>
      </c>
    </row>
    <row r="198" spans="1:75">
      <c r="A198" s="1" t="s">
        <v>158</v>
      </c>
      <c r="B198" s="54">
        <f t="shared" ref="B198:T198" si="397">B143</f>
        <v>0.43844492367578575</v>
      </c>
      <c r="C198" s="2">
        <f t="shared" si="397"/>
        <v>0.42754789531652898</v>
      </c>
      <c r="D198" s="2">
        <f t="shared" si="397"/>
        <v>0.48314953821457135</v>
      </c>
      <c r="E198" s="2">
        <f t="shared" si="397"/>
        <v>0.45231371000196757</v>
      </c>
      <c r="F198" s="2">
        <f t="shared" si="397"/>
        <v>0.46368010861408038</v>
      </c>
      <c r="G198" s="2">
        <f t="shared" si="397"/>
        <v>0.4717024219937978</v>
      </c>
      <c r="H198" s="2">
        <f t="shared" si="397"/>
        <v>0.43294236112440365</v>
      </c>
      <c r="I198" s="2">
        <f t="shared" si="397"/>
        <v>0.44545748626780446</v>
      </c>
      <c r="J198" s="2">
        <f t="shared" si="397"/>
        <v>0.43369012870288004</v>
      </c>
      <c r="K198" s="54">
        <f t="shared" si="397"/>
        <v>0.44437583958433124</v>
      </c>
      <c r="L198" s="2">
        <f t="shared" si="397"/>
        <v>0.46189851540646532</v>
      </c>
      <c r="M198" s="2">
        <f t="shared" si="397"/>
        <v>0.45881275671556521</v>
      </c>
      <c r="N198" s="2">
        <f t="shared" si="397"/>
        <v>0.51752369581318725</v>
      </c>
      <c r="O198" s="2">
        <f t="shared" si="397"/>
        <v>0.47893179670919428</v>
      </c>
      <c r="P198" s="2">
        <f t="shared" si="397"/>
        <v>0.54194270934511002</v>
      </c>
      <c r="Q198" s="2">
        <f t="shared" si="397"/>
        <v>0.25613962104288968</v>
      </c>
      <c r="R198" s="2">
        <f t="shared" si="397"/>
        <v>0.67592849623252238</v>
      </c>
      <c r="S198" s="2">
        <f t="shared" si="397"/>
        <v>0.65166093591416885</v>
      </c>
      <c r="T198" s="2">
        <f t="shared" si="397"/>
        <v>0.64464830545562346</v>
      </c>
      <c r="U198" s="2">
        <f t="shared" ref="U198:AI198" si="398">U143</f>
        <v>0.6761499385082429</v>
      </c>
      <c r="V198" s="2">
        <f t="shared" si="398"/>
        <v>0.69645188361448762</v>
      </c>
      <c r="W198" s="2">
        <f t="shared" si="398"/>
        <v>0.49748248615061919</v>
      </c>
      <c r="X198" s="2">
        <f t="shared" si="398"/>
        <v>0.58725628012677045</v>
      </c>
      <c r="Y198" s="2">
        <f t="shared" si="398"/>
        <v>0.43579003444033165</v>
      </c>
      <c r="Z198" s="2">
        <f t="shared" si="398"/>
        <v>0.49547588808666143</v>
      </c>
      <c r="AA198" s="2">
        <f t="shared" si="398"/>
        <v>0.34141928818628531</v>
      </c>
      <c r="AB198" s="2">
        <f t="shared" si="398"/>
        <v>0.61206069863301371</v>
      </c>
      <c r="AC198" s="2">
        <f t="shared" si="398"/>
        <v>0.73718272551685504</v>
      </c>
      <c r="AD198" s="2">
        <f t="shared" si="398"/>
        <v>0.75030669467933397</v>
      </c>
      <c r="AE198" s="2">
        <f t="shared" si="398"/>
        <v>0.77166186212315713</v>
      </c>
      <c r="AF198" s="2">
        <f t="shared" si="398"/>
        <v>0.78269873992026384</v>
      </c>
      <c r="AG198" s="2">
        <f t="shared" si="398"/>
        <v>0.78855091824259782</v>
      </c>
      <c r="AH198" s="2">
        <f t="shared" si="398"/>
        <v>0.76109516539663313</v>
      </c>
      <c r="AI198" s="2">
        <f t="shared" si="398"/>
        <v>0.77625297834034568</v>
      </c>
      <c r="AJ198" s="2">
        <f t="shared" ref="AJ198:BJ198" si="399">AJ143</f>
        <v>0.761575978126802</v>
      </c>
      <c r="AK198" s="2">
        <f t="shared" si="399"/>
        <v>0.79413874404570228</v>
      </c>
      <c r="AL198" s="2">
        <f t="shared" si="399"/>
        <v>0.8168306027129596</v>
      </c>
      <c r="AM198" s="2">
        <f t="shared" si="399"/>
        <v>0.78515518395403849</v>
      </c>
      <c r="AN198" s="2">
        <f t="shared" si="399"/>
        <v>0.79520462570640327</v>
      </c>
      <c r="AO198" s="2">
        <f t="shared" si="399"/>
        <v>0.80260181079037207</v>
      </c>
      <c r="AP198" s="2">
        <f t="shared" si="399"/>
        <v>0.43621873019761581</v>
      </c>
      <c r="AQ198" s="2">
        <f t="shared" si="399"/>
        <v>0.4132144897188762</v>
      </c>
      <c r="AR198" s="2">
        <f t="shared" si="399"/>
        <v>0.4490105608697616</v>
      </c>
      <c r="AS198" s="2">
        <f t="shared" si="399"/>
        <v>0.46509673836607851</v>
      </c>
      <c r="AT198" s="2">
        <f t="shared" si="399"/>
        <v>0.47288212354331544</v>
      </c>
      <c r="AU198" s="2">
        <f t="shared" si="399"/>
        <v>0.36847704158746275</v>
      </c>
      <c r="AV198" s="2">
        <f t="shared" si="399"/>
        <v>0.47805251890468536</v>
      </c>
      <c r="AW198" s="2">
        <f t="shared" si="399"/>
        <v>0.48431700362497943</v>
      </c>
      <c r="AX198" s="2">
        <f t="shared" si="399"/>
        <v>0.31002637841287672</v>
      </c>
      <c r="AY198" s="2">
        <f t="shared" si="399"/>
        <v>0.48348308744314672</v>
      </c>
      <c r="AZ198" s="2">
        <f t="shared" si="399"/>
        <v>0.45231431855178561</v>
      </c>
      <c r="BA198" s="2">
        <f t="shared" si="399"/>
        <v>0.57882488911512109</v>
      </c>
      <c r="BB198" s="2">
        <f t="shared" si="399"/>
        <v>0.5837987021563964</v>
      </c>
      <c r="BC198" s="2">
        <f t="shared" si="399"/>
        <v>0.56947844202224951</v>
      </c>
      <c r="BD198" s="2">
        <f t="shared" si="399"/>
        <v>0.58049903709163941</v>
      </c>
      <c r="BE198" s="2">
        <f t="shared" si="399"/>
        <v>0.58303594864132324</v>
      </c>
      <c r="BF198" s="2">
        <f t="shared" si="399"/>
        <v>0.72086796716994228</v>
      </c>
      <c r="BG198" s="2">
        <f t="shared" si="399"/>
        <v>0.74562101443296647</v>
      </c>
      <c r="BH198" s="2">
        <f t="shared" si="399"/>
        <v>0.67748574897320268</v>
      </c>
      <c r="BI198" s="2">
        <f t="shared" si="399"/>
        <v>0.66902528781791049</v>
      </c>
      <c r="BJ198" s="2">
        <f t="shared" si="399"/>
        <v>0.66785699846434332</v>
      </c>
      <c r="BN198" s="2">
        <f>BN143</f>
        <v>0.45192103139741324</v>
      </c>
    </row>
    <row r="199" spans="1:75">
      <c r="A199" s="1" t="s">
        <v>242</v>
      </c>
      <c r="B199" s="54">
        <f t="shared" ref="B199:T199" si="400">B138</f>
        <v>0.61710686562587969</v>
      </c>
      <c r="C199" s="2">
        <f t="shared" si="400"/>
        <v>0.6508943480924605</v>
      </c>
      <c r="D199" s="2">
        <f t="shared" si="400"/>
        <v>0.60418035318194041</v>
      </c>
      <c r="E199" s="2">
        <f t="shared" si="400"/>
        <v>0.6157789921037633</v>
      </c>
      <c r="F199" s="2">
        <f t="shared" si="400"/>
        <v>0.61982842168669416</v>
      </c>
      <c r="G199" s="2">
        <f t="shared" si="400"/>
        <v>0.61965086104378497</v>
      </c>
      <c r="H199" s="2">
        <f t="shared" si="400"/>
        <v>0.63482007606190438</v>
      </c>
      <c r="I199" s="2">
        <f t="shared" si="400"/>
        <v>0.62286632054818947</v>
      </c>
      <c r="J199" s="2">
        <f t="shared" si="400"/>
        <v>0.62383962478496535</v>
      </c>
      <c r="K199" s="54">
        <f t="shared" si="400"/>
        <v>0.57556414176976867</v>
      </c>
      <c r="L199" s="2">
        <f t="shared" si="400"/>
        <v>0.62894091396394503</v>
      </c>
      <c r="M199" s="2">
        <f t="shared" si="400"/>
        <v>0.6190757627463378</v>
      </c>
      <c r="N199" s="2">
        <f t="shared" si="400"/>
        <v>0.60226495609013031</v>
      </c>
      <c r="O199" s="2">
        <f t="shared" si="400"/>
        <v>0.61805013512718987</v>
      </c>
      <c r="P199" s="2">
        <f t="shared" si="400"/>
        <v>0.6244646391134433</v>
      </c>
      <c r="Q199" s="2">
        <f t="shared" si="400"/>
        <v>0.75758723634849923</v>
      </c>
      <c r="R199" s="2">
        <f t="shared" si="400"/>
        <v>0.59878452292717954</v>
      </c>
      <c r="S199" s="2">
        <f t="shared" si="400"/>
        <v>0.60436878979704223</v>
      </c>
      <c r="T199" s="2">
        <f t="shared" si="400"/>
        <v>0.61773097766067342</v>
      </c>
      <c r="U199" s="2">
        <f t="shared" ref="U199:AI199" si="401">U138</f>
        <v>0.58945921574511617</v>
      </c>
      <c r="V199" s="2">
        <f t="shared" si="401"/>
        <v>0.59271962130488576</v>
      </c>
      <c r="W199" s="2">
        <f t="shared" si="401"/>
        <v>0.60995749691877299</v>
      </c>
      <c r="X199" s="2">
        <f t="shared" si="401"/>
        <v>0.62984601099080884</v>
      </c>
      <c r="Y199" s="2">
        <f t="shared" si="401"/>
        <v>0.50773626602888589</v>
      </c>
      <c r="Z199" s="2">
        <f t="shared" si="401"/>
        <v>0.6109655240584958</v>
      </c>
      <c r="AA199" s="2">
        <f t="shared" si="401"/>
        <v>0.65857682632474102</v>
      </c>
      <c r="AB199" s="2">
        <f t="shared" si="401"/>
        <v>0.63549985155295641</v>
      </c>
      <c r="AC199" s="2">
        <f t="shared" si="401"/>
        <v>0.64837637032257567</v>
      </c>
      <c r="AD199" s="2">
        <f t="shared" si="401"/>
        <v>0.63191050731215748</v>
      </c>
      <c r="AE199" s="2">
        <f t="shared" si="401"/>
        <v>0.61557438674683085</v>
      </c>
      <c r="AF199" s="2">
        <f t="shared" si="401"/>
        <v>0.62637328168030404</v>
      </c>
      <c r="AG199" s="2">
        <f t="shared" si="401"/>
        <v>0.61386089910214059</v>
      </c>
      <c r="AH199" s="2">
        <f t="shared" si="401"/>
        <v>0.62766549655723636</v>
      </c>
      <c r="AI199" s="2">
        <f t="shared" si="401"/>
        <v>0.61979012709002124</v>
      </c>
      <c r="AJ199" s="2">
        <f t="shared" ref="AJ199:BJ199" si="402">AJ138</f>
        <v>0.63364076878444653</v>
      </c>
      <c r="AK199" s="2">
        <f t="shared" si="402"/>
        <v>0.59285527344844846</v>
      </c>
      <c r="AL199" s="2">
        <f t="shared" si="402"/>
        <v>0.59086207995068829</v>
      </c>
      <c r="AM199" s="2">
        <f t="shared" si="402"/>
        <v>0.60319974149792122</v>
      </c>
      <c r="AN199" s="2">
        <f t="shared" si="402"/>
        <v>0.60055607124532695</v>
      </c>
      <c r="AO199" s="2">
        <f t="shared" si="402"/>
        <v>0.60795991901203983</v>
      </c>
      <c r="AP199" s="2">
        <f t="shared" si="402"/>
        <v>0.52027490780825736</v>
      </c>
      <c r="AQ199" s="2">
        <f t="shared" si="402"/>
        <v>0.51509782848733088</v>
      </c>
      <c r="AR199" s="2">
        <f t="shared" si="402"/>
        <v>0.51799281892005888</v>
      </c>
      <c r="AS199" s="2">
        <f t="shared" si="402"/>
        <v>0.50868807997796051</v>
      </c>
      <c r="AT199" s="2">
        <f t="shared" si="402"/>
        <v>0.50091164854123549</v>
      </c>
      <c r="AU199" s="2">
        <f t="shared" si="402"/>
        <v>0.55072983202795434</v>
      </c>
      <c r="AV199" s="2">
        <f t="shared" si="402"/>
        <v>0.49592215547789159</v>
      </c>
      <c r="AW199" s="2">
        <f t="shared" si="402"/>
        <v>0.51222523100670603</v>
      </c>
      <c r="AX199" s="2">
        <f t="shared" si="402"/>
        <v>0.47269005317358181</v>
      </c>
      <c r="AY199" s="2">
        <f t="shared" si="402"/>
        <v>0.49235666080965979</v>
      </c>
      <c r="AZ199" s="2">
        <f t="shared" si="402"/>
        <v>0.51809896196254079</v>
      </c>
      <c r="BA199" s="2">
        <f t="shared" si="402"/>
        <v>0.59309161021933354</v>
      </c>
      <c r="BB199" s="2">
        <f t="shared" si="402"/>
        <v>0.58271416750144767</v>
      </c>
      <c r="BC199" s="2">
        <f t="shared" si="402"/>
        <v>0.61188615214158948</v>
      </c>
      <c r="BD199" s="2">
        <f t="shared" si="402"/>
        <v>0.58548646012057548</v>
      </c>
      <c r="BE199" s="2">
        <f t="shared" si="402"/>
        <v>0.60706979541676098</v>
      </c>
      <c r="BF199" s="2">
        <f t="shared" si="402"/>
        <v>0.49954063516499886</v>
      </c>
      <c r="BG199" s="2">
        <f t="shared" si="402"/>
        <v>0.49346724107055639</v>
      </c>
      <c r="BH199" s="2">
        <f t="shared" si="402"/>
        <v>0.51274967385315007</v>
      </c>
      <c r="BI199" s="2">
        <f t="shared" si="402"/>
        <v>0.49157746339442354</v>
      </c>
      <c r="BJ199" s="2">
        <f t="shared" si="402"/>
        <v>0.51676699412376348</v>
      </c>
      <c r="BN199" s="2">
        <f>BN138</f>
        <v>0.62026202013184928</v>
      </c>
    </row>
    <row r="200" spans="1:75">
      <c r="A200" s="1" t="s">
        <v>116</v>
      </c>
      <c r="B200" s="54">
        <f t="shared" ref="B200:T200" si="403">B96</f>
        <v>6.9652353565930447</v>
      </c>
      <c r="C200" s="2">
        <f t="shared" si="403"/>
        <v>6.6837152242999096</v>
      </c>
      <c r="D200" s="2">
        <f t="shared" si="403"/>
        <v>6.6423676371622884</v>
      </c>
      <c r="E200" s="2">
        <f t="shared" si="403"/>
        <v>6.6085253947325615</v>
      </c>
      <c r="F200" s="2">
        <f t="shared" si="403"/>
        <v>6.6623462580023158</v>
      </c>
      <c r="G200" s="2">
        <f t="shared" si="403"/>
        <v>6.5578597978313091</v>
      </c>
      <c r="H200" s="2">
        <f t="shared" si="403"/>
        <v>6.6574804490621045</v>
      </c>
      <c r="I200" s="2">
        <f t="shared" si="403"/>
        <v>6.6711583234159066</v>
      </c>
      <c r="J200" s="2">
        <f t="shared" si="403"/>
        <v>6.7838870247190917</v>
      </c>
      <c r="K200" s="54">
        <f t="shared" si="403"/>
        <v>6.9016988492412024</v>
      </c>
      <c r="L200" s="2">
        <f t="shared" si="403"/>
        <v>6.7022459177058282</v>
      </c>
      <c r="M200" s="2">
        <f t="shared" si="403"/>
        <v>6.6381296765326407</v>
      </c>
      <c r="N200" s="2">
        <f t="shared" si="403"/>
        <v>6.8014215378502163</v>
      </c>
      <c r="O200" s="2">
        <f t="shared" si="403"/>
        <v>6.5372792466230063</v>
      </c>
      <c r="P200" s="2">
        <f t="shared" si="403"/>
        <v>6.7170276773346744</v>
      </c>
      <c r="Q200" s="2">
        <f t="shared" si="403"/>
        <v>7.4090738449357598</v>
      </c>
      <c r="R200" s="2">
        <f t="shared" si="403"/>
        <v>6.444872955650121</v>
      </c>
      <c r="S200" s="2">
        <f t="shared" si="403"/>
        <v>6.4330050852645044</v>
      </c>
      <c r="T200" s="2">
        <f t="shared" si="403"/>
        <v>6.3867486209684978</v>
      </c>
      <c r="U200" s="2">
        <f t="shared" ref="U200:AI200" si="404">U96</f>
        <v>6.3669675314954324</v>
      </c>
      <c r="V200" s="2">
        <f t="shared" si="404"/>
        <v>6.3636164280662388</v>
      </c>
      <c r="W200" s="2">
        <f t="shared" si="404"/>
        <v>6.8734171942116742</v>
      </c>
      <c r="X200" s="2">
        <f t="shared" si="404"/>
        <v>6.6386085997179798</v>
      </c>
      <c r="Y200" s="2">
        <f t="shared" si="404"/>
        <v>6.1865842275656613</v>
      </c>
      <c r="Z200" s="2">
        <f t="shared" si="404"/>
        <v>6.6235959111232603</v>
      </c>
      <c r="AA200" s="2">
        <f t="shared" si="404"/>
        <v>6.9175458595945507</v>
      </c>
      <c r="AB200" s="2">
        <f t="shared" si="404"/>
        <v>6.5135954925372559</v>
      </c>
      <c r="AC200" s="2">
        <f t="shared" si="404"/>
        <v>6.4454951444857951</v>
      </c>
      <c r="AD200" s="2">
        <f t="shared" si="404"/>
        <v>6.3674096536116132</v>
      </c>
      <c r="AE200" s="2">
        <f t="shared" si="404"/>
        <v>6.330908861987953</v>
      </c>
      <c r="AF200" s="2">
        <f t="shared" si="404"/>
        <v>6.417591369061558</v>
      </c>
      <c r="AG200" s="2">
        <f t="shared" si="404"/>
        <v>6.3080405921295721</v>
      </c>
      <c r="AH200" s="2">
        <f t="shared" si="404"/>
        <v>6.3810543485178064</v>
      </c>
      <c r="AI200" s="2">
        <f t="shared" si="404"/>
        <v>6.3413466376698606</v>
      </c>
      <c r="AJ200" s="2">
        <f t="shared" ref="AJ200:BJ200" si="405">AJ96</f>
        <v>6.4412970261427143</v>
      </c>
      <c r="AK200" s="2">
        <f t="shared" si="405"/>
        <v>6.5755733896942576</v>
      </c>
      <c r="AL200" s="2">
        <f t="shared" si="405"/>
        <v>6.5461011384334009</v>
      </c>
      <c r="AM200" s="2">
        <f t="shared" si="405"/>
        <v>6.5916847719781924</v>
      </c>
      <c r="AN200" s="2">
        <f t="shared" si="405"/>
        <v>6.6312719796454731</v>
      </c>
      <c r="AO200" s="2">
        <f t="shared" si="405"/>
        <v>6.6304090671704472</v>
      </c>
      <c r="AP200" s="2">
        <f t="shared" si="405"/>
        <v>6.6637433709797529</v>
      </c>
      <c r="AQ200" s="2">
        <f t="shared" si="405"/>
        <v>6.6960140529549514</v>
      </c>
      <c r="AR200" s="2">
        <f t="shared" si="405"/>
        <v>6.6501998799732354</v>
      </c>
      <c r="AS200" s="2">
        <f t="shared" si="405"/>
        <v>6.6185697165653643</v>
      </c>
      <c r="AT200" s="2">
        <f t="shared" si="405"/>
        <v>6.6679159480250352</v>
      </c>
      <c r="AU200" s="2">
        <f t="shared" si="405"/>
        <v>6.8741088547155211</v>
      </c>
      <c r="AV200" s="2">
        <f t="shared" si="405"/>
        <v>6.6403153165243092</v>
      </c>
      <c r="AW200" s="2">
        <f t="shared" si="405"/>
        <v>6.5307000497222534</v>
      </c>
      <c r="AX200" s="2">
        <f t="shared" si="405"/>
        <v>6.6150800865170014</v>
      </c>
      <c r="AY200" s="2">
        <f t="shared" si="405"/>
        <v>6.6514781857241196</v>
      </c>
      <c r="AZ200" s="2">
        <f t="shared" si="405"/>
        <v>6.6633714359893776</v>
      </c>
      <c r="BA200" s="2">
        <f t="shared" si="405"/>
        <v>6.4670845458298336</v>
      </c>
      <c r="BB200" s="2">
        <f t="shared" si="405"/>
        <v>6.4626179580726424</v>
      </c>
      <c r="BC200" s="2">
        <f t="shared" si="405"/>
        <v>6.4172113472028762</v>
      </c>
      <c r="BD200" s="2">
        <f t="shared" si="405"/>
        <v>6.4296303215457016</v>
      </c>
      <c r="BE200" s="2">
        <f t="shared" si="405"/>
        <v>6.3777038931904899</v>
      </c>
      <c r="BF200" s="2">
        <f t="shared" si="405"/>
        <v>6.3645422403178822</v>
      </c>
      <c r="BG200" s="2">
        <f t="shared" si="405"/>
        <v>6.3170317431475143</v>
      </c>
      <c r="BH200" s="2">
        <f t="shared" si="405"/>
        <v>6.4683496398672791</v>
      </c>
      <c r="BI200" s="2">
        <f t="shared" si="405"/>
        <v>6.3570341575278535</v>
      </c>
      <c r="BJ200" s="2">
        <f t="shared" si="405"/>
        <v>6.377713807026149</v>
      </c>
      <c r="BN200" s="2">
        <f>BN96</f>
        <v>6.6807572429025317</v>
      </c>
    </row>
    <row r="201" spans="1:75">
      <c r="A201" s="1" t="s">
        <v>117</v>
      </c>
      <c r="B201" s="54">
        <f t="shared" ref="B201:T201" si="406">B97</f>
        <v>4.9622587477081183E-2</v>
      </c>
      <c r="C201" s="2">
        <f t="shared" si="406"/>
        <v>6.1127018534270848E-2</v>
      </c>
      <c r="D201" s="2">
        <f t="shared" si="406"/>
        <v>6.3293841945385496E-2</v>
      </c>
      <c r="E201" s="2">
        <f t="shared" si="406"/>
        <v>4.4015296269171798E-2</v>
      </c>
      <c r="F201" s="2">
        <f t="shared" si="406"/>
        <v>6.9099091654357445E-2</v>
      </c>
      <c r="G201" s="2">
        <f t="shared" si="406"/>
        <v>6.466307099880643E-2</v>
      </c>
      <c r="H201" s="2">
        <f t="shared" si="406"/>
        <v>6.680638810852052E-2</v>
      </c>
      <c r="I201" s="2">
        <f t="shared" si="406"/>
        <v>6.7503844609204278E-2</v>
      </c>
      <c r="J201" s="2">
        <f t="shared" si="406"/>
        <v>5.4396670184332772E-2</v>
      </c>
      <c r="K201" s="54">
        <f t="shared" si="406"/>
        <v>5.167349360367042E-2</v>
      </c>
      <c r="L201" s="2">
        <f t="shared" si="406"/>
        <v>6.6268064326918522E-2</v>
      </c>
      <c r="M201" s="2">
        <f t="shared" si="406"/>
        <v>7.0302460992804558E-2</v>
      </c>
      <c r="N201" s="2">
        <f t="shared" si="406"/>
        <v>7.0472092131854944E-2</v>
      </c>
      <c r="O201" s="2">
        <f t="shared" si="406"/>
        <v>8.764063642471083E-2</v>
      </c>
      <c r="P201" s="2">
        <f t="shared" si="406"/>
        <v>0.15480084482290393</v>
      </c>
      <c r="Q201" s="2">
        <f t="shared" si="406"/>
        <v>8.7237086405715179E-3</v>
      </c>
      <c r="R201" s="2">
        <f t="shared" si="406"/>
        <v>0.18408847300561224</v>
      </c>
      <c r="S201" s="2">
        <f t="shared" si="406"/>
        <v>0.17932387604495106</v>
      </c>
      <c r="T201" s="2">
        <f t="shared" si="406"/>
        <v>0.17920435420624697</v>
      </c>
      <c r="U201" s="2">
        <f t="shared" ref="U201:AI201" si="407">U97</f>
        <v>0.17639040850117216</v>
      </c>
      <c r="V201" s="2">
        <f t="shared" si="407"/>
        <v>0.16883105176383667</v>
      </c>
      <c r="W201" s="2">
        <f t="shared" si="407"/>
        <v>9.6446482712062354E-2</v>
      </c>
      <c r="X201" s="2">
        <f t="shared" si="407"/>
        <v>9.6972621926354252E-2</v>
      </c>
      <c r="Y201" s="2">
        <f t="shared" si="407"/>
        <v>0.14058993913189063</v>
      </c>
      <c r="Z201" s="2">
        <f t="shared" si="407"/>
        <v>7.063809350679226E-2</v>
      </c>
      <c r="AA201" s="2">
        <f t="shared" si="407"/>
        <v>0.10183980849249617</v>
      </c>
      <c r="AB201" s="2">
        <f t="shared" si="407"/>
        <v>0.24782346538019762</v>
      </c>
      <c r="AC201" s="2">
        <f t="shared" si="407"/>
        <v>0.27605949321589751</v>
      </c>
      <c r="AD201" s="2">
        <f t="shared" si="407"/>
        <v>0.28183910377701271</v>
      </c>
      <c r="AE201" s="2">
        <f t="shared" si="407"/>
        <v>0.28338757011070825</v>
      </c>
      <c r="AF201" s="2">
        <f t="shared" si="407"/>
        <v>0.28016971505633953</v>
      </c>
      <c r="AG201" s="2">
        <f t="shared" si="407"/>
        <v>0.29442515239241124</v>
      </c>
      <c r="AH201" s="2">
        <f t="shared" si="407"/>
        <v>0.25882242265312688</v>
      </c>
      <c r="AI201" s="2">
        <f t="shared" si="407"/>
        <v>0.29675011380081395</v>
      </c>
      <c r="AJ201" s="2">
        <f t="shared" ref="AJ201:BJ201" si="408">AJ97</f>
        <v>0.26416883358078574</v>
      </c>
      <c r="AK201" s="2">
        <f t="shared" si="408"/>
        <v>8.6685242346614913E-2</v>
      </c>
      <c r="AL201" s="2">
        <f t="shared" si="408"/>
        <v>0.10181676209182727</v>
      </c>
      <c r="AM201" s="2">
        <f t="shared" si="408"/>
        <v>8.7330240409035906E-2</v>
      </c>
      <c r="AN201" s="2">
        <f t="shared" si="408"/>
        <v>8.1243472984224185E-2</v>
      </c>
      <c r="AO201" s="2">
        <f t="shared" si="408"/>
        <v>8.7843281023961314E-2</v>
      </c>
      <c r="AP201" s="2">
        <f t="shared" si="408"/>
        <v>9.8427165957832047E-2</v>
      </c>
      <c r="AQ201" s="2">
        <f t="shared" si="408"/>
        <v>0.10734403700497949</v>
      </c>
      <c r="AR201" s="2">
        <f t="shared" si="408"/>
        <v>9.9603546911609456E-2</v>
      </c>
      <c r="AS201" s="2">
        <f t="shared" si="408"/>
        <v>0.10969015703681796</v>
      </c>
      <c r="AT201" s="2">
        <f t="shared" si="408"/>
        <v>0.10619223780532143</v>
      </c>
      <c r="AU201" s="2">
        <f t="shared" si="408"/>
        <v>6.7774260000149078E-2</v>
      </c>
      <c r="AV201" s="2">
        <f t="shared" si="408"/>
        <v>0.11928951332157788</v>
      </c>
      <c r="AW201" s="2">
        <f t="shared" si="408"/>
        <v>9.1532042963143115E-2</v>
      </c>
      <c r="AX201" s="2">
        <f t="shared" si="408"/>
        <v>8.7366502099902293E-2</v>
      </c>
      <c r="AY201" s="2">
        <f t="shared" si="408"/>
        <v>0.11873025537063911</v>
      </c>
      <c r="AZ201" s="2">
        <f t="shared" si="408"/>
        <v>0.10400764024872654</v>
      </c>
      <c r="BA201" s="2">
        <f t="shared" si="408"/>
        <v>0.16756845538741474</v>
      </c>
      <c r="BB201" s="2">
        <f t="shared" si="408"/>
        <v>0.17013321812557736</v>
      </c>
      <c r="BC201" s="2">
        <f t="shared" si="408"/>
        <v>0.16426748658800047</v>
      </c>
      <c r="BD201" s="2">
        <f t="shared" si="408"/>
        <v>0.15566682507692556</v>
      </c>
      <c r="BE201" s="2">
        <f t="shared" si="408"/>
        <v>0.17471308479612241</v>
      </c>
      <c r="BF201" s="2">
        <f t="shared" si="408"/>
        <v>0.20862446021386102</v>
      </c>
      <c r="BG201" s="2">
        <f t="shared" si="408"/>
        <v>0.21528242996727187</v>
      </c>
      <c r="BH201" s="2">
        <f t="shared" si="408"/>
        <v>0.17916898727534977</v>
      </c>
      <c r="BI201" s="2">
        <f t="shared" si="408"/>
        <v>0.22806297393575142</v>
      </c>
      <c r="BJ201" s="2">
        <f t="shared" si="408"/>
        <v>0.222467140693171</v>
      </c>
      <c r="BN201" s="2">
        <f>BN97</f>
        <v>6.0816855983819765E-2</v>
      </c>
    </row>
    <row r="202" spans="1:75">
      <c r="A202" s="1" t="s">
        <v>243</v>
      </c>
      <c r="B202" s="54">
        <f t="shared" ref="B202:T202" si="409">B100/(B100+B136)</f>
        <v>0</v>
      </c>
      <c r="C202" s="2">
        <f t="shared" si="409"/>
        <v>8.6770278635458165E-2</v>
      </c>
      <c r="D202" s="2">
        <f t="shared" si="409"/>
        <v>3.655069854243484E-2</v>
      </c>
      <c r="E202" s="2">
        <f t="shared" si="409"/>
        <v>0.10395238650903771</v>
      </c>
      <c r="F202" s="2">
        <f t="shared" si="409"/>
        <v>4.5841459054166457E-2</v>
      </c>
      <c r="G202" s="2">
        <f t="shared" si="409"/>
        <v>0.12148601775155976</v>
      </c>
      <c r="H202" s="2">
        <f t="shared" si="409"/>
        <v>6.6786960318905658E-2</v>
      </c>
      <c r="I202" s="2">
        <f t="shared" si="409"/>
        <v>6.1364386344025211E-2</v>
      </c>
      <c r="J202" s="2">
        <f t="shared" si="409"/>
        <v>0</v>
      </c>
      <c r="K202" s="54">
        <f t="shared" si="409"/>
        <v>0</v>
      </c>
      <c r="L202" s="2">
        <f t="shared" si="409"/>
        <v>2.0174855786994916E-2</v>
      </c>
      <c r="M202" s="2">
        <f t="shared" si="409"/>
        <v>4.619733464592319E-2</v>
      </c>
      <c r="N202" s="2">
        <f t="shared" si="409"/>
        <v>0</v>
      </c>
      <c r="O202" s="2">
        <f t="shared" si="409"/>
        <v>8.7187488389160073E-2</v>
      </c>
      <c r="P202" s="2">
        <f t="shared" si="409"/>
        <v>1.7440302105293272E-2</v>
      </c>
      <c r="Q202" s="2">
        <f t="shared" si="409"/>
        <v>0.12413573990928441</v>
      </c>
      <c r="R202" s="2">
        <f t="shared" si="409"/>
        <v>3.1612330417106899E-2</v>
      </c>
      <c r="S202" s="2">
        <f t="shared" si="409"/>
        <v>5.2210367891463452E-2</v>
      </c>
      <c r="T202" s="2">
        <f t="shared" si="409"/>
        <v>0.11851298197692123</v>
      </c>
      <c r="U202" s="2">
        <f t="shared" ref="U202:AI202" si="410">U100/(U100+U136)</f>
        <v>6.6942954488827616E-2</v>
      </c>
      <c r="V202" s="2">
        <f t="shared" si="410"/>
        <v>5.8877584396557069E-2</v>
      </c>
      <c r="W202" s="2">
        <f t="shared" si="410"/>
        <v>5.7898002111615991E-2</v>
      </c>
      <c r="X202" s="2">
        <f t="shared" si="410"/>
        <v>9.0604897506685975E-2</v>
      </c>
      <c r="Y202" s="2">
        <f t="shared" si="410"/>
        <v>0.10273248860451274</v>
      </c>
      <c r="Z202" s="2">
        <f t="shared" si="410"/>
        <v>8.8338620282388536E-2</v>
      </c>
      <c r="AA202" s="2">
        <f t="shared" si="410"/>
        <v>0</v>
      </c>
      <c r="AB202" s="2">
        <f t="shared" si="410"/>
        <v>0</v>
      </c>
      <c r="AC202" s="2">
        <f t="shared" si="410"/>
        <v>0</v>
      </c>
      <c r="AD202" s="2">
        <f t="shared" si="410"/>
        <v>0</v>
      </c>
      <c r="AE202" s="2">
        <f t="shared" si="410"/>
        <v>0</v>
      </c>
      <c r="AF202" s="2">
        <f t="shared" si="410"/>
        <v>0</v>
      </c>
      <c r="AG202" s="2">
        <f t="shared" si="410"/>
        <v>0</v>
      </c>
      <c r="AH202" s="2">
        <f t="shared" si="410"/>
        <v>0</v>
      </c>
      <c r="AI202" s="2">
        <f t="shared" si="410"/>
        <v>0</v>
      </c>
      <c r="AJ202" s="2">
        <f t="shared" ref="AJ202:BJ202" si="411">AJ100/(AJ100+AJ136)</f>
        <v>0</v>
      </c>
      <c r="AK202" s="2">
        <f t="shared" si="411"/>
        <v>0</v>
      </c>
      <c r="AL202" s="2">
        <f t="shared" si="411"/>
        <v>0</v>
      </c>
      <c r="AM202" s="2">
        <f t="shared" si="411"/>
        <v>0</v>
      </c>
      <c r="AN202" s="2">
        <f t="shared" si="411"/>
        <v>0</v>
      </c>
      <c r="AO202" s="2">
        <f t="shared" si="411"/>
        <v>0</v>
      </c>
      <c r="AP202" s="2">
        <f t="shared" si="411"/>
        <v>0.15726664011054314</v>
      </c>
      <c r="AQ202" s="2">
        <f t="shared" si="411"/>
        <v>9.8595016548549019E-2</v>
      </c>
      <c r="AR202" s="2">
        <f t="shared" si="411"/>
        <v>0.13443813156973056</v>
      </c>
      <c r="AS202" s="2">
        <f t="shared" si="411"/>
        <v>0.14526814697746052</v>
      </c>
      <c r="AT202" s="2">
        <f t="shared" si="411"/>
        <v>0.10382517496409997</v>
      </c>
      <c r="AU202" s="2">
        <f t="shared" si="411"/>
        <v>0.16651407714956168</v>
      </c>
      <c r="AV202" s="2">
        <f t="shared" si="411"/>
        <v>0.10357064436378358</v>
      </c>
      <c r="AW202" s="2">
        <f t="shared" si="411"/>
        <v>0.1721226278968504</v>
      </c>
      <c r="AX202" s="2">
        <f t="shared" si="411"/>
        <v>8.3525940936819032E-2</v>
      </c>
      <c r="AY202" s="2">
        <f t="shared" si="411"/>
        <v>8.4832615047561163E-2</v>
      </c>
      <c r="AZ202" s="2">
        <f t="shared" si="411"/>
        <v>0.12677873778435883</v>
      </c>
      <c r="BA202" s="2">
        <f t="shared" si="411"/>
        <v>7.279953544954039E-2</v>
      </c>
      <c r="BB202" s="2">
        <f t="shared" si="411"/>
        <v>4.6390695404318338E-2</v>
      </c>
      <c r="BC202" s="2">
        <f t="shared" si="411"/>
        <v>0.14577195208273069</v>
      </c>
      <c r="BD202" s="2">
        <f t="shared" si="411"/>
        <v>7.6406626684868889E-2</v>
      </c>
      <c r="BE202" s="2">
        <f t="shared" si="411"/>
        <v>0.1293710099710372</v>
      </c>
      <c r="BF202" s="2">
        <f t="shared" si="411"/>
        <v>0</v>
      </c>
      <c r="BG202" s="2">
        <f t="shared" si="411"/>
        <v>0</v>
      </c>
      <c r="BH202" s="2">
        <f t="shared" si="411"/>
        <v>0</v>
      </c>
      <c r="BI202" s="2">
        <f t="shared" si="411"/>
        <v>0</v>
      </c>
      <c r="BJ202" s="2">
        <f t="shared" si="411"/>
        <v>1.3364647146541958E-2</v>
      </c>
      <c r="BN202" s="2">
        <f>BN100/(BN100+BN136)</f>
        <v>5.5682527189922677E-2</v>
      </c>
    </row>
    <row r="203" spans="1:75" s="45" customFormat="1">
      <c r="A203" s="43" t="s">
        <v>172</v>
      </c>
      <c r="B203" s="59"/>
      <c r="C203" s="44"/>
      <c r="D203" s="44"/>
      <c r="E203" s="44"/>
      <c r="F203" s="44"/>
      <c r="G203" s="44"/>
      <c r="H203" s="44"/>
      <c r="I203" s="44"/>
      <c r="J203" s="44"/>
      <c r="K203" s="59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3"/>
      <c r="BV203" s="43"/>
      <c r="BW203" s="43"/>
    </row>
    <row r="204" spans="1:75">
      <c r="A204" s="48" t="s">
        <v>171</v>
      </c>
      <c r="B204" s="54">
        <f t="shared" ref="B204:T204" si="412">IF(B196&lt;1.34, 1, 0)</f>
        <v>0</v>
      </c>
      <c r="C204" s="2">
        <f t="shared" si="412"/>
        <v>0</v>
      </c>
      <c r="D204" s="2">
        <f t="shared" si="412"/>
        <v>0</v>
      </c>
      <c r="E204" s="2">
        <f t="shared" si="412"/>
        <v>0</v>
      </c>
      <c r="F204" s="2">
        <f t="shared" si="412"/>
        <v>0</v>
      </c>
      <c r="G204" s="2">
        <f t="shared" si="412"/>
        <v>0</v>
      </c>
      <c r="H204" s="2">
        <f t="shared" si="412"/>
        <v>0</v>
      </c>
      <c r="I204" s="2">
        <f t="shared" si="412"/>
        <v>0</v>
      </c>
      <c r="J204" s="2">
        <f t="shared" si="412"/>
        <v>0</v>
      </c>
      <c r="K204" s="54">
        <f t="shared" si="412"/>
        <v>0</v>
      </c>
      <c r="L204" s="2">
        <f t="shared" si="412"/>
        <v>0</v>
      </c>
      <c r="M204" s="2">
        <f t="shared" si="412"/>
        <v>0</v>
      </c>
      <c r="N204" s="2">
        <f t="shared" si="412"/>
        <v>0</v>
      </c>
      <c r="O204" s="2">
        <f t="shared" si="412"/>
        <v>0</v>
      </c>
      <c r="P204" s="2">
        <f t="shared" si="412"/>
        <v>0</v>
      </c>
      <c r="Q204" s="2">
        <f t="shared" si="412"/>
        <v>0</v>
      </c>
      <c r="R204" s="2">
        <f t="shared" si="412"/>
        <v>0</v>
      </c>
      <c r="S204" s="2">
        <f t="shared" si="412"/>
        <v>0</v>
      </c>
      <c r="T204" s="2">
        <f t="shared" si="412"/>
        <v>0</v>
      </c>
      <c r="U204" s="2">
        <f t="shared" ref="U204:AI204" si="413">IF(U196&lt;1.34, 1, 0)</f>
        <v>0</v>
      </c>
      <c r="V204" s="2">
        <f t="shared" si="413"/>
        <v>0</v>
      </c>
      <c r="W204" s="2">
        <f t="shared" si="413"/>
        <v>0</v>
      </c>
      <c r="X204" s="2">
        <f t="shared" si="413"/>
        <v>0</v>
      </c>
      <c r="Y204" s="2">
        <f t="shared" si="413"/>
        <v>0</v>
      </c>
      <c r="Z204" s="2">
        <f t="shared" si="413"/>
        <v>0</v>
      </c>
      <c r="AA204" s="2">
        <f t="shared" si="413"/>
        <v>0</v>
      </c>
      <c r="AB204" s="2">
        <f t="shared" si="413"/>
        <v>0</v>
      </c>
      <c r="AC204" s="2">
        <f t="shared" si="413"/>
        <v>0</v>
      </c>
      <c r="AD204" s="2">
        <f t="shared" si="413"/>
        <v>0</v>
      </c>
      <c r="AE204" s="2">
        <f t="shared" si="413"/>
        <v>0</v>
      </c>
      <c r="AF204" s="2">
        <f t="shared" si="413"/>
        <v>0</v>
      </c>
      <c r="AG204" s="2">
        <f t="shared" si="413"/>
        <v>0</v>
      </c>
      <c r="AH204" s="2">
        <f t="shared" si="413"/>
        <v>0</v>
      </c>
      <c r="AI204" s="2">
        <f t="shared" si="413"/>
        <v>0</v>
      </c>
      <c r="AJ204" s="2">
        <f t="shared" ref="AJ204:BJ204" si="414">IF(AJ196&lt;1.34, 1, 0)</f>
        <v>0</v>
      </c>
      <c r="AK204" s="2">
        <f t="shared" si="414"/>
        <v>0</v>
      </c>
      <c r="AL204" s="2">
        <f t="shared" si="414"/>
        <v>0</v>
      </c>
      <c r="AM204" s="2">
        <f t="shared" si="414"/>
        <v>0</v>
      </c>
      <c r="AN204" s="2">
        <f t="shared" si="414"/>
        <v>0</v>
      </c>
      <c r="AO204" s="2">
        <f t="shared" si="414"/>
        <v>0</v>
      </c>
      <c r="AP204" s="2">
        <f t="shared" si="414"/>
        <v>0</v>
      </c>
      <c r="AQ204" s="2">
        <f t="shared" si="414"/>
        <v>0</v>
      </c>
      <c r="AR204" s="2">
        <f t="shared" si="414"/>
        <v>0</v>
      </c>
      <c r="AS204" s="2">
        <f t="shared" si="414"/>
        <v>0</v>
      </c>
      <c r="AT204" s="2">
        <f t="shared" si="414"/>
        <v>0</v>
      </c>
      <c r="AU204" s="2">
        <f t="shared" si="414"/>
        <v>0</v>
      </c>
      <c r="AV204" s="2">
        <f t="shared" si="414"/>
        <v>0</v>
      </c>
      <c r="AW204" s="2">
        <f t="shared" si="414"/>
        <v>0</v>
      </c>
      <c r="AX204" s="2">
        <f t="shared" si="414"/>
        <v>0</v>
      </c>
      <c r="AY204" s="2">
        <f t="shared" si="414"/>
        <v>0</v>
      </c>
      <c r="AZ204" s="2">
        <f t="shared" si="414"/>
        <v>0</v>
      </c>
      <c r="BA204" s="2">
        <f t="shared" si="414"/>
        <v>0</v>
      </c>
      <c r="BB204" s="2">
        <f t="shared" si="414"/>
        <v>0</v>
      </c>
      <c r="BC204" s="2">
        <f t="shared" si="414"/>
        <v>0</v>
      </c>
      <c r="BD204" s="2">
        <f t="shared" si="414"/>
        <v>0</v>
      </c>
      <c r="BE204" s="2">
        <f t="shared" si="414"/>
        <v>0</v>
      </c>
      <c r="BF204" s="2">
        <f t="shared" si="414"/>
        <v>0</v>
      </c>
      <c r="BG204" s="2">
        <f t="shared" si="414"/>
        <v>0</v>
      </c>
      <c r="BH204" s="2">
        <f t="shared" si="414"/>
        <v>0</v>
      </c>
      <c r="BI204" s="2">
        <f t="shared" si="414"/>
        <v>0</v>
      </c>
      <c r="BJ204" s="2">
        <f t="shared" si="414"/>
        <v>0</v>
      </c>
      <c r="BN204" s="2">
        <f>IF(BN196&lt;1.34, 1, 0)</f>
        <v>0</v>
      </c>
    </row>
    <row r="205" spans="1:75">
      <c r="A205" s="1" t="s">
        <v>183</v>
      </c>
      <c r="B205" s="54">
        <f t="shared" ref="B205:T205" si="415">IF(B204=1, IF(B200&gt;=7, 1, 0), 0)</f>
        <v>0</v>
      </c>
      <c r="C205" s="2">
        <f t="shared" si="415"/>
        <v>0</v>
      </c>
      <c r="D205" s="2">
        <f t="shared" si="415"/>
        <v>0</v>
      </c>
      <c r="E205" s="2">
        <f t="shared" si="415"/>
        <v>0</v>
      </c>
      <c r="F205" s="2">
        <f t="shared" si="415"/>
        <v>0</v>
      </c>
      <c r="G205" s="2">
        <f t="shared" si="415"/>
        <v>0</v>
      </c>
      <c r="H205" s="2">
        <f t="shared" si="415"/>
        <v>0</v>
      </c>
      <c r="I205" s="2">
        <f t="shared" si="415"/>
        <v>0</v>
      </c>
      <c r="J205" s="2">
        <f t="shared" si="415"/>
        <v>0</v>
      </c>
      <c r="K205" s="54">
        <f t="shared" si="415"/>
        <v>0</v>
      </c>
      <c r="L205" s="2">
        <f t="shared" si="415"/>
        <v>0</v>
      </c>
      <c r="M205" s="2">
        <f t="shared" si="415"/>
        <v>0</v>
      </c>
      <c r="N205" s="2">
        <f t="shared" si="415"/>
        <v>0</v>
      </c>
      <c r="O205" s="2">
        <f t="shared" si="415"/>
        <v>0</v>
      </c>
      <c r="P205" s="2">
        <f t="shared" si="415"/>
        <v>0</v>
      </c>
      <c r="Q205" s="2">
        <f t="shared" si="415"/>
        <v>0</v>
      </c>
      <c r="R205" s="2">
        <f t="shared" si="415"/>
        <v>0</v>
      </c>
      <c r="S205" s="2">
        <f t="shared" si="415"/>
        <v>0</v>
      </c>
      <c r="T205" s="2">
        <f t="shared" si="415"/>
        <v>0</v>
      </c>
      <c r="U205" s="2">
        <f t="shared" ref="U205:AI205" si="416">IF(U204=1, IF(U200&gt;=7, 1, 0), 0)</f>
        <v>0</v>
      </c>
      <c r="V205" s="2">
        <f t="shared" si="416"/>
        <v>0</v>
      </c>
      <c r="W205" s="2">
        <f t="shared" si="416"/>
        <v>0</v>
      </c>
      <c r="X205" s="2">
        <f t="shared" si="416"/>
        <v>0</v>
      </c>
      <c r="Y205" s="2">
        <f t="shared" si="416"/>
        <v>0</v>
      </c>
      <c r="Z205" s="2">
        <f t="shared" si="416"/>
        <v>0</v>
      </c>
      <c r="AA205" s="2">
        <f t="shared" si="416"/>
        <v>0</v>
      </c>
      <c r="AB205" s="2">
        <f t="shared" si="416"/>
        <v>0</v>
      </c>
      <c r="AC205" s="2">
        <f t="shared" si="416"/>
        <v>0</v>
      </c>
      <c r="AD205" s="2">
        <f t="shared" si="416"/>
        <v>0</v>
      </c>
      <c r="AE205" s="2">
        <f t="shared" si="416"/>
        <v>0</v>
      </c>
      <c r="AF205" s="2">
        <f t="shared" si="416"/>
        <v>0</v>
      </c>
      <c r="AG205" s="2">
        <f t="shared" si="416"/>
        <v>0</v>
      </c>
      <c r="AH205" s="2">
        <f t="shared" si="416"/>
        <v>0</v>
      </c>
      <c r="AI205" s="2">
        <f t="shared" si="416"/>
        <v>0</v>
      </c>
      <c r="AJ205" s="2">
        <f t="shared" ref="AJ205:BJ205" si="417">IF(AJ204=1, IF(AJ200&gt;=7, 1, 0), 0)</f>
        <v>0</v>
      </c>
      <c r="AK205" s="2">
        <f t="shared" si="417"/>
        <v>0</v>
      </c>
      <c r="AL205" s="2">
        <f t="shared" si="417"/>
        <v>0</v>
      </c>
      <c r="AM205" s="2">
        <f t="shared" si="417"/>
        <v>0</v>
      </c>
      <c r="AN205" s="2">
        <f t="shared" si="417"/>
        <v>0</v>
      </c>
      <c r="AO205" s="2">
        <f t="shared" si="417"/>
        <v>0</v>
      </c>
      <c r="AP205" s="2">
        <f t="shared" si="417"/>
        <v>0</v>
      </c>
      <c r="AQ205" s="2">
        <f t="shared" si="417"/>
        <v>0</v>
      </c>
      <c r="AR205" s="2">
        <f t="shared" si="417"/>
        <v>0</v>
      </c>
      <c r="AS205" s="2">
        <f t="shared" si="417"/>
        <v>0</v>
      </c>
      <c r="AT205" s="2">
        <f t="shared" si="417"/>
        <v>0</v>
      </c>
      <c r="AU205" s="2">
        <f t="shared" si="417"/>
        <v>0</v>
      </c>
      <c r="AV205" s="2">
        <f t="shared" si="417"/>
        <v>0</v>
      </c>
      <c r="AW205" s="2">
        <f t="shared" si="417"/>
        <v>0</v>
      </c>
      <c r="AX205" s="2">
        <f t="shared" si="417"/>
        <v>0</v>
      </c>
      <c r="AY205" s="2">
        <f t="shared" si="417"/>
        <v>0</v>
      </c>
      <c r="AZ205" s="2">
        <f t="shared" si="417"/>
        <v>0</v>
      </c>
      <c r="BA205" s="2">
        <f t="shared" si="417"/>
        <v>0</v>
      </c>
      <c r="BB205" s="2">
        <f t="shared" si="417"/>
        <v>0</v>
      </c>
      <c r="BC205" s="2">
        <f t="shared" si="417"/>
        <v>0</v>
      </c>
      <c r="BD205" s="2">
        <f t="shared" si="417"/>
        <v>0</v>
      </c>
      <c r="BE205" s="2">
        <f t="shared" si="417"/>
        <v>0</v>
      </c>
      <c r="BF205" s="2">
        <f t="shared" si="417"/>
        <v>0</v>
      </c>
      <c r="BG205" s="2">
        <f t="shared" si="417"/>
        <v>0</v>
      </c>
      <c r="BH205" s="2">
        <f t="shared" si="417"/>
        <v>0</v>
      </c>
      <c r="BI205" s="2">
        <f t="shared" si="417"/>
        <v>0</v>
      </c>
      <c r="BJ205" s="2">
        <f t="shared" si="417"/>
        <v>0</v>
      </c>
      <c r="BN205" s="2">
        <f>IF(BN204=1, IF(BN200&gt;=7, 1, 0), 0)</f>
        <v>0</v>
      </c>
    </row>
    <row r="206" spans="1:75">
      <c r="A206" s="37" t="s">
        <v>184</v>
      </c>
      <c r="B206" s="54">
        <f t="shared" ref="B206:T206" si="418">IF(B205=1, IF(B199&gt;0.9, 3, IF(B199&gt;0.3, 4, 5)), 0)</f>
        <v>0</v>
      </c>
      <c r="C206" s="2">
        <f t="shared" si="418"/>
        <v>0</v>
      </c>
      <c r="D206" s="2">
        <f t="shared" si="418"/>
        <v>0</v>
      </c>
      <c r="E206" s="2">
        <f t="shared" si="418"/>
        <v>0</v>
      </c>
      <c r="F206" s="2">
        <f t="shared" si="418"/>
        <v>0</v>
      </c>
      <c r="G206" s="2">
        <f t="shared" si="418"/>
        <v>0</v>
      </c>
      <c r="H206" s="2">
        <f t="shared" si="418"/>
        <v>0</v>
      </c>
      <c r="I206" s="2">
        <f t="shared" si="418"/>
        <v>0</v>
      </c>
      <c r="J206" s="2">
        <f t="shared" si="418"/>
        <v>0</v>
      </c>
      <c r="K206" s="54">
        <f t="shared" si="418"/>
        <v>0</v>
      </c>
      <c r="L206" s="2">
        <f t="shared" si="418"/>
        <v>0</v>
      </c>
      <c r="M206" s="2">
        <f t="shared" si="418"/>
        <v>0</v>
      </c>
      <c r="N206" s="2">
        <f t="shared" si="418"/>
        <v>0</v>
      </c>
      <c r="O206" s="2">
        <f t="shared" si="418"/>
        <v>0</v>
      </c>
      <c r="P206" s="2">
        <f t="shared" si="418"/>
        <v>0</v>
      </c>
      <c r="Q206" s="2">
        <f t="shared" si="418"/>
        <v>0</v>
      </c>
      <c r="R206" s="2">
        <f t="shared" si="418"/>
        <v>0</v>
      </c>
      <c r="S206" s="2">
        <f t="shared" si="418"/>
        <v>0</v>
      </c>
      <c r="T206" s="2">
        <f t="shared" si="418"/>
        <v>0</v>
      </c>
      <c r="U206" s="2">
        <f t="shared" ref="U206:AI206" si="419">IF(U205=1, IF(U199&gt;0.9, 3, IF(U199&gt;0.3, 4, 5)), 0)</f>
        <v>0</v>
      </c>
      <c r="V206" s="2">
        <f t="shared" si="419"/>
        <v>0</v>
      </c>
      <c r="W206" s="2">
        <f t="shared" si="419"/>
        <v>0</v>
      </c>
      <c r="X206" s="2">
        <f t="shared" si="419"/>
        <v>0</v>
      </c>
      <c r="Y206" s="2">
        <f t="shared" si="419"/>
        <v>0</v>
      </c>
      <c r="Z206" s="2">
        <f t="shared" si="419"/>
        <v>0</v>
      </c>
      <c r="AA206" s="2">
        <f t="shared" si="419"/>
        <v>0</v>
      </c>
      <c r="AB206" s="2">
        <f t="shared" si="419"/>
        <v>0</v>
      </c>
      <c r="AC206" s="2">
        <f t="shared" si="419"/>
        <v>0</v>
      </c>
      <c r="AD206" s="2">
        <f t="shared" si="419"/>
        <v>0</v>
      </c>
      <c r="AE206" s="2">
        <f t="shared" si="419"/>
        <v>0</v>
      </c>
      <c r="AF206" s="2">
        <f t="shared" si="419"/>
        <v>0</v>
      </c>
      <c r="AG206" s="2">
        <f t="shared" si="419"/>
        <v>0</v>
      </c>
      <c r="AH206" s="2">
        <f t="shared" si="419"/>
        <v>0</v>
      </c>
      <c r="AI206" s="2">
        <f t="shared" si="419"/>
        <v>0</v>
      </c>
      <c r="AJ206" s="2">
        <f t="shared" ref="AJ206:BJ206" si="420">IF(AJ205=1, IF(AJ199&gt;0.9, 3, IF(AJ199&gt;0.3, 4, 5)), 0)</f>
        <v>0</v>
      </c>
      <c r="AK206" s="2">
        <f t="shared" si="420"/>
        <v>0</v>
      </c>
      <c r="AL206" s="2">
        <f t="shared" si="420"/>
        <v>0</v>
      </c>
      <c r="AM206" s="2">
        <f t="shared" si="420"/>
        <v>0</v>
      </c>
      <c r="AN206" s="2">
        <f t="shared" si="420"/>
        <v>0</v>
      </c>
      <c r="AO206" s="2">
        <f t="shared" si="420"/>
        <v>0</v>
      </c>
      <c r="AP206" s="2">
        <f t="shared" si="420"/>
        <v>0</v>
      </c>
      <c r="AQ206" s="2">
        <f t="shared" si="420"/>
        <v>0</v>
      </c>
      <c r="AR206" s="2">
        <f t="shared" si="420"/>
        <v>0</v>
      </c>
      <c r="AS206" s="2">
        <f t="shared" si="420"/>
        <v>0</v>
      </c>
      <c r="AT206" s="2">
        <f t="shared" si="420"/>
        <v>0</v>
      </c>
      <c r="AU206" s="2">
        <f t="shared" si="420"/>
        <v>0</v>
      </c>
      <c r="AV206" s="2">
        <f t="shared" si="420"/>
        <v>0</v>
      </c>
      <c r="AW206" s="2">
        <f t="shared" si="420"/>
        <v>0</v>
      </c>
      <c r="AX206" s="2">
        <f t="shared" si="420"/>
        <v>0</v>
      </c>
      <c r="AY206" s="2">
        <f t="shared" si="420"/>
        <v>0</v>
      </c>
      <c r="AZ206" s="2">
        <f t="shared" si="420"/>
        <v>0</v>
      </c>
      <c r="BA206" s="2">
        <f t="shared" si="420"/>
        <v>0</v>
      </c>
      <c r="BB206" s="2">
        <f t="shared" si="420"/>
        <v>0</v>
      </c>
      <c r="BC206" s="2">
        <f t="shared" si="420"/>
        <v>0</v>
      </c>
      <c r="BD206" s="2">
        <f t="shared" si="420"/>
        <v>0</v>
      </c>
      <c r="BE206" s="2">
        <f t="shared" si="420"/>
        <v>0</v>
      </c>
      <c r="BF206" s="2">
        <f t="shared" si="420"/>
        <v>0</v>
      </c>
      <c r="BG206" s="2">
        <f t="shared" si="420"/>
        <v>0</v>
      </c>
      <c r="BH206" s="2">
        <f t="shared" si="420"/>
        <v>0</v>
      </c>
      <c r="BI206" s="2">
        <f t="shared" si="420"/>
        <v>0</v>
      </c>
      <c r="BJ206" s="2">
        <f t="shared" si="420"/>
        <v>0</v>
      </c>
      <c r="BN206" s="2">
        <f>IF(BN205=1, IF(BN199&gt;0.9, 3, IF(BN199&gt;0.3, 4, 5)), 0)</f>
        <v>0</v>
      </c>
    </row>
    <row r="207" spans="1:75">
      <c r="A207" s="38" t="s">
        <v>185</v>
      </c>
      <c r="B207" s="54">
        <f t="shared" ref="B207:T207" si="421">IF(B204=1, IF(B200&lt;7, 1, 0), 0)</f>
        <v>0</v>
      </c>
      <c r="C207" s="2">
        <f t="shared" si="421"/>
        <v>0</v>
      </c>
      <c r="D207" s="2">
        <f t="shared" si="421"/>
        <v>0</v>
      </c>
      <c r="E207" s="2">
        <f t="shared" si="421"/>
        <v>0</v>
      </c>
      <c r="F207" s="2">
        <f t="shared" si="421"/>
        <v>0</v>
      </c>
      <c r="G207" s="2">
        <f t="shared" si="421"/>
        <v>0</v>
      </c>
      <c r="H207" s="2">
        <f t="shared" si="421"/>
        <v>0</v>
      </c>
      <c r="I207" s="2">
        <f t="shared" si="421"/>
        <v>0</v>
      </c>
      <c r="J207" s="2">
        <f t="shared" si="421"/>
        <v>0</v>
      </c>
      <c r="K207" s="54">
        <f t="shared" si="421"/>
        <v>0</v>
      </c>
      <c r="L207" s="2">
        <f t="shared" si="421"/>
        <v>0</v>
      </c>
      <c r="M207" s="2">
        <f t="shared" si="421"/>
        <v>0</v>
      </c>
      <c r="N207" s="2">
        <f t="shared" si="421"/>
        <v>0</v>
      </c>
      <c r="O207" s="2">
        <f t="shared" si="421"/>
        <v>0</v>
      </c>
      <c r="P207" s="2">
        <f t="shared" si="421"/>
        <v>0</v>
      </c>
      <c r="Q207" s="2">
        <f t="shared" si="421"/>
        <v>0</v>
      </c>
      <c r="R207" s="2">
        <f t="shared" si="421"/>
        <v>0</v>
      </c>
      <c r="S207" s="2">
        <f t="shared" si="421"/>
        <v>0</v>
      </c>
      <c r="T207" s="2">
        <f t="shared" si="421"/>
        <v>0</v>
      </c>
      <c r="U207" s="2">
        <f t="shared" ref="U207:AI207" si="422">IF(U204=1, IF(U200&lt;7, 1, 0), 0)</f>
        <v>0</v>
      </c>
      <c r="V207" s="2">
        <f t="shared" si="422"/>
        <v>0</v>
      </c>
      <c r="W207" s="2">
        <f t="shared" si="422"/>
        <v>0</v>
      </c>
      <c r="X207" s="2">
        <f t="shared" si="422"/>
        <v>0</v>
      </c>
      <c r="Y207" s="2">
        <f t="shared" si="422"/>
        <v>0</v>
      </c>
      <c r="Z207" s="2">
        <f t="shared" si="422"/>
        <v>0</v>
      </c>
      <c r="AA207" s="2">
        <f t="shared" si="422"/>
        <v>0</v>
      </c>
      <c r="AB207" s="2">
        <f t="shared" si="422"/>
        <v>0</v>
      </c>
      <c r="AC207" s="2">
        <f t="shared" si="422"/>
        <v>0</v>
      </c>
      <c r="AD207" s="2">
        <f t="shared" si="422"/>
        <v>0</v>
      </c>
      <c r="AE207" s="2">
        <f t="shared" si="422"/>
        <v>0</v>
      </c>
      <c r="AF207" s="2">
        <f t="shared" si="422"/>
        <v>0</v>
      </c>
      <c r="AG207" s="2">
        <f t="shared" si="422"/>
        <v>0</v>
      </c>
      <c r="AH207" s="2">
        <f t="shared" si="422"/>
        <v>0</v>
      </c>
      <c r="AI207" s="2">
        <f t="shared" si="422"/>
        <v>0</v>
      </c>
      <c r="AJ207" s="2">
        <f t="shared" ref="AJ207:BJ207" si="423">IF(AJ204=1, IF(AJ200&lt;7, 1, 0), 0)</f>
        <v>0</v>
      </c>
      <c r="AK207" s="2">
        <f t="shared" si="423"/>
        <v>0</v>
      </c>
      <c r="AL207" s="2">
        <f t="shared" si="423"/>
        <v>0</v>
      </c>
      <c r="AM207" s="2">
        <f t="shared" si="423"/>
        <v>0</v>
      </c>
      <c r="AN207" s="2">
        <f t="shared" si="423"/>
        <v>0</v>
      </c>
      <c r="AO207" s="2">
        <f t="shared" si="423"/>
        <v>0</v>
      </c>
      <c r="AP207" s="2">
        <f t="shared" si="423"/>
        <v>0</v>
      </c>
      <c r="AQ207" s="2">
        <f t="shared" si="423"/>
        <v>0</v>
      </c>
      <c r="AR207" s="2">
        <f t="shared" si="423"/>
        <v>0</v>
      </c>
      <c r="AS207" s="2">
        <f t="shared" si="423"/>
        <v>0</v>
      </c>
      <c r="AT207" s="2">
        <f t="shared" si="423"/>
        <v>0</v>
      </c>
      <c r="AU207" s="2">
        <f t="shared" si="423"/>
        <v>0</v>
      </c>
      <c r="AV207" s="2">
        <f t="shared" si="423"/>
        <v>0</v>
      </c>
      <c r="AW207" s="2">
        <f t="shared" si="423"/>
        <v>0</v>
      </c>
      <c r="AX207" s="2">
        <f t="shared" si="423"/>
        <v>0</v>
      </c>
      <c r="AY207" s="2">
        <f t="shared" si="423"/>
        <v>0</v>
      </c>
      <c r="AZ207" s="2">
        <f t="shared" si="423"/>
        <v>0</v>
      </c>
      <c r="BA207" s="2">
        <f t="shared" si="423"/>
        <v>0</v>
      </c>
      <c r="BB207" s="2">
        <f t="shared" si="423"/>
        <v>0</v>
      </c>
      <c r="BC207" s="2">
        <f t="shared" si="423"/>
        <v>0</v>
      </c>
      <c r="BD207" s="2">
        <f t="shared" si="423"/>
        <v>0</v>
      </c>
      <c r="BE207" s="2">
        <f t="shared" si="423"/>
        <v>0</v>
      </c>
      <c r="BF207" s="2">
        <f t="shared" si="423"/>
        <v>0</v>
      </c>
      <c r="BG207" s="2">
        <f t="shared" si="423"/>
        <v>0</v>
      </c>
      <c r="BH207" s="2">
        <f t="shared" si="423"/>
        <v>0</v>
      </c>
      <c r="BI207" s="2">
        <f t="shared" si="423"/>
        <v>0</v>
      </c>
      <c r="BJ207" s="2">
        <f t="shared" si="423"/>
        <v>0</v>
      </c>
      <c r="BN207" s="2">
        <f>IF(BN204=1, IF(BN200&lt;7, 1, 0), 0)</f>
        <v>0</v>
      </c>
    </row>
    <row r="208" spans="1:75">
      <c r="A208" s="37" t="s">
        <v>186</v>
      </c>
      <c r="B208" s="54">
        <f t="shared" ref="B208:T208" si="424">IF(B207=1, IF(B199&gt;0.9, 6, IF(B199&gt;0.3, 7, 8)), 0)</f>
        <v>0</v>
      </c>
      <c r="C208" s="2">
        <f t="shared" si="424"/>
        <v>0</v>
      </c>
      <c r="D208" s="2">
        <f t="shared" si="424"/>
        <v>0</v>
      </c>
      <c r="E208" s="2">
        <f t="shared" si="424"/>
        <v>0</v>
      </c>
      <c r="F208" s="2">
        <f t="shared" si="424"/>
        <v>0</v>
      </c>
      <c r="G208" s="2">
        <f t="shared" si="424"/>
        <v>0</v>
      </c>
      <c r="H208" s="2">
        <f t="shared" si="424"/>
        <v>0</v>
      </c>
      <c r="I208" s="2">
        <f t="shared" si="424"/>
        <v>0</v>
      </c>
      <c r="J208" s="2">
        <f t="shared" si="424"/>
        <v>0</v>
      </c>
      <c r="K208" s="54">
        <f t="shared" si="424"/>
        <v>0</v>
      </c>
      <c r="L208" s="2">
        <f t="shared" si="424"/>
        <v>0</v>
      </c>
      <c r="M208" s="2">
        <f t="shared" si="424"/>
        <v>0</v>
      </c>
      <c r="N208" s="2">
        <f t="shared" si="424"/>
        <v>0</v>
      </c>
      <c r="O208" s="2">
        <f t="shared" si="424"/>
        <v>0</v>
      </c>
      <c r="P208" s="2">
        <f t="shared" si="424"/>
        <v>0</v>
      </c>
      <c r="Q208" s="2">
        <f t="shared" si="424"/>
        <v>0</v>
      </c>
      <c r="R208" s="2">
        <f t="shared" si="424"/>
        <v>0</v>
      </c>
      <c r="S208" s="2">
        <f t="shared" si="424"/>
        <v>0</v>
      </c>
      <c r="T208" s="2">
        <f t="shared" si="424"/>
        <v>0</v>
      </c>
      <c r="U208" s="2">
        <f t="shared" ref="U208:AI208" si="425">IF(U207=1, IF(U199&gt;0.9, 6, IF(U199&gt;0.3, 7, 8)), 0)</f>
        <v>0</v>
      </c>
      <c r="V208" s="2">
        <f t="shared" si="425"/>
        <v>0</v>
      </c>
      <c r="W208" s="2">
        <f t="shared" si="425"/>
        <v>0</v>
      </c>
      <c r="X208" s="2">
        <f t="shared" si="425"/>
        <v>0</v>
      </c>
      <c r="Y208" s="2">
        <f t="shared" si="425"/>
        <v>0</v>
      </c>
      <c r="Z208" s="2">
        <f t="shared" si="425"/>
        <v>0</v>
      </c>
      <c r="AA208" s="2">
        <f t="shared" si="425"/>
        <v>0</v>
      </c>
      <c r="AB208" s="2">
        <f t="shared" si="425"/>
        <v>0</v>
      </c>
      <c r="AC208" s="2">
        <f t="shared" si="425"/>
        <v>0</v>
      </c>
      <c r="AD208" s="2">
        <f t="shared" si="425"/>
        <v>0</v>
      </c>
      <c r="AE208" s="2">
        <f t="shared" si="425"/>
        <v>0</v>
      </c>
      <c r="AF208" s="2">
        <f t="shared" si="425"/>
        <v>0</v>
      </c>
      <c r="AG208" s="2">
        <f t="shared" si="425"/>
        <v>0</v>
      </c>
      <c r="AH208" s="2">
        <f t="shared" si="425"/>
        <v>0</v>
      </c>
      <c r="AI208" s="2">
        <f t="shared" si="425"/>
        <v>0</v>
      </c>
      <c r="AJ208" s="2">
        <f t="shared" ref="AJ208:BJ208" si="426">IF(AJ207=1, IF(AJ199&gt;0.9, 6, IF(AJ199&gt;0.3, 7, 8)), 0)</f>
        <v>0</v>
      </c>
      <c r="AK208" s="2">
        <f t="shared" si="426"/>
        <v>0</v>
      </c>
      <c r="AL208" s="2">
        <f t="shared" si="426"/>
        <v>0</v>
      </c>
      <c r="AM208" s="2">
        <f t="shared" si="426"/>
        <v>0</v>
      </c>
      <c r="AN208" s="2">
        <f t="shared" si="426"/>
        <v>0</v>
      </c>
      <c r="AO208" s="2">
        <f t="shared" si="426"/>
        <v>0</v>
      </c>
      <c r="AP208" s="2">
        <f t="shared" si="426"/>
        <v>0</v>
      </c>
      <c r="AQ208" s="2">
        <f t="shared" si="426"/>
        <v>0</v>
      </c>
      <c r="AR208" s="2">
        <f t="shared" si="426"/>
        <v>0</v>
      </c>
      <c r="AS208" s="2">
        <f t="shared" si="426"/>
        <v>0</v>
      </c>
      <c r="AT208" s="2">
        <f t="shared" si="426"/>
        <v>0</v>
      </c>
      <c r="AU208" s="2">
        <f t="shared" si="426"/>
        <v>0</v>
      </c>
      <c r="AV208" s="2">
        <f t="shared" si="426"/>
        <v>0</v>
      </c>
      <c r="AW208" s="2">
        <f t="shared" si="426"/>
        <v>0</v>
      </c>
      <c r="AX208" s="2">
        <f t="shared" si="426"/>
        <v>0</v>
      </c>
      <c r="AY208" s="2">
        <f t="shared" si="426"/>
        <v>0</v>
      </c>
      <c r="AZ208" s="2">
        <f t="shared" si="426"/>
        <v>0</v>
      </c>
      <c r="BA208" s="2">
        <f t="shared" si="426"/>
        <v>0</v>
      </c>
      <c r="BB208" s="2">
        <f t="shared" si="426"/>
        <v>0</v>
      </c>
      <c r="BC208" s="2">
        <f t="shared" si="426"/>
        <v>0</v>
      </c>
      <c r="BD208" s="2">
        <f t="shared" si="426"/>
        <v>0</v>
      </c>
      <c r="BE208" s="2">
        <f t="shared" si="426"/>
        <v>0</v>
      </c>
      <c r="BF208" s="2">
        <f t="shared" si="426"/>
        <v>0</v>
      </c>
      <c r="BG208" s="2">
        <f t="shared" si="426"/>
        <v>0</v>
      </c>
      <c r="BH208" s="2">
        <f t="shared" si="426"/>
        <v>0</v>
      </c>
      <c r="BI208" s="2">
        <f t="shared" si="426"/>
        <v>0</v>
      </c>
      <c r="BJ208" s="2">
        <f t="shared" si="426"/>
        <v>0</v>
      </c>
      <c r="BN208" s="2">
        <f>IF(BN207=1, IF(BN199&gt;0.9, 6, IF(BN199&gt;0.3, 7, 8)), 0)</f>
        <v>0</v>
      </c>
    </row>
    <row r="209" spans="1:66">
      <c r="A209" s="46" t="s">
        <v>254</v>
      </c>
    </row>
    <row r="210" spans="1:66">
      <c r="A210" s="48" t="s">
        <v>182</v>
      </c>
      <c r="B210" s="54">
        <f t="shared" ref="B210:T210" si="427">IF(B204=0, IF(B197&lt;0.67, 1, 0), 0)</f>
        <v>1</v>
      </c>
      <c r="C210" s="2">
        <f t="shared" si="427"/>
        <v>1</v>
      </c>
      <c r="D210" s="2">
        <f t="shared" si="427"/>
        <v>1</v>
      </c>
      <c r="E210" s="2">
        <f t="shared" si="427"/>
        <v>1</v>
      </c>
      <c r="F210" s="2">
        <f t="shared" si="427"/>
        <v>1</v>
      </c>
      <c r="G210" s="2">
        <f t="shared" si="427"/>
        <v>1</v>
      </c>
      <c r="H210" s="2">
        <f t="shared" si="427"/>
        <v>1</v>
      </c>
      <c r="I210" s="2">
        <f t="shared" si="427"/>
        <v>1</v>
      </c>
      <c r="J210" s="2">
        <f t="shared" si="427"/>
        <v>1</v>
      </c>
      <c r="K210" s="54">
        <f t="shared" si="427"/>
        <v>1</v>
      </c>
      <c r="L210" s="2">
        <f t="shared" si="427"/>
        <v>1</v>
      </c>
      <c r="M210" s="2">
        <f t="shared" si="427"/>
        <v>1</v>
      </c>
      <c r="N210" s="2">
        <f t="shared" si="427"/>
        <v>1</v>
      </c>
      <c r="O210" s="2">
        <f t="shared" si="427"/>
        <v>1</v>
      </c>
      <c r="P210" s="2">
        <f t="shared" si="427"/>
        <v>1</v>
      </c>
      <c r="Q210" s="2">
        <f t="shared" si="427"/>
        <v>1</v>
      </c>
      <c r="R210" s="2">
        <f t="shared" si="427"/>
        <v>1</v>
      </c>
      <c r="S210" s="2">
        <f t="shared" si="427"/>
        <v>1</v>
      </c>
      <c r="T210" s="2">
        <f t="shared" si="427"/>
        <v>1</v>
      </c>
      <c r="U210" s="2">
        <f t="shared" ref="U210:AI210" si="428">IF(U204=0, IF(U197&lt;0.67, 1, 0), 0)</f>
        <v>1</v>
      </c>
      <c r="V210" s="2">
        <f t="shared" si="428"/>
        <v>1</v>
      </c>
      <c r="W210" s="2">
        <f t="shared" si="428"/>
        <v>1</v>
      </c>
      <c r="X210" s="2">
        <f t="shared" si="428"/>
        <v>1</v>
      </c>
      <c r="Y210" s="2">
        <f t="shared" si="428"/>
        <v>1</v>
      </c>
      <c r="Z210" s="2">
        <f t="shared" si="428"/>
        <v>1</v>
      </c>
      <c r="AA210" s="2">
        <f t="shared" si="428"/>
        <v>1</v>
      </c>
      <c r="AB210" s="2">
        <f t="shared" si="428"/>
        <v>1</v>
      </c>
      <c r="AC210" s="2">
        <f t="shared" si="428"/>
        <v>1</v>
      </c>
      <c r="AD210" s="2">
        <f t="shared" si="428"/>
        <v>1</v>
      </c>
      <c r="AE210" s="2">
        <f t="shared" si="428"/>
        <v>1</v>
      </c>
      <c r="AF210" s="2">
        <f t="shared" si="428"/>
        <v>1</v>
      </c>
      <c r="AG210" s="2">
        <f t="shared" si="428"/>
        <v>1</v>
      </c>
      <c r="AH210" s="2">
        <f t="shared" si="428"/>
        <v>1</v>
      </c>
      <c r="AI210" s="2">
        <f t="shared" si="428"/>
        <v>1</v>
      </c>
      <c r="AJ210" s="2">
        <f t="shared" ref="AJ210:BJ210" si="429">IF(AJ204=0, IF(AJ197&lt;0.67, 1, 0), 0)</f>
        <v>1</v>
      </c>
      <c r="AK210" s="2">
        <f t="shared" si="429"/>
        <v>1</v>
      </c>
      <c r="AL210" s="2">
        <f t="shared" si="429"/>
        <v>1</v>
      </c>
      <c r="AM210" s="2">
        <f t="shared" si="429"/>
        <v>1</v>
      </c>
      <c r="AN210" s="2">
        <f t="shared" si="429"/>
        <v>1</v>
      </c>
      <c r="AO210" s="2">
        <f t="shared" si="429"/>
        <v>1</v>
      </c>
      <c r="AP210" s="2">
        <f t="shared" si="429"/>
        <v>1</v>
      </c>
      <c r="AQ210" s="2">
        <f t="shared" si="429"/>
        <v>1</v>
      </c>
      <c r="AR210" s="2">
        <f t="shared" si="429"/>
        <v>1</v>
      </c>
      <c r="AS210" s="2">
        <f t="shared" si="429"/>
        <v>1</v>
      </c>
      <c r="AT210" s="2">
        <f t="shared" si="429"/>
        <v>1</v>
      </c>
      <c r="AU210" s="2">
        <f t="shared" si="429"/>
        <v>1</v>
      </c>
      <c r="AV210" s="2">
        <f t="shared" si="429"/>
        <v>1</v>
      </c>
      <c r="AW210" s="2">
        <f t="shared" si="429"/>
        <v>1</v>
      </c>
      <c r="AX210" s="2">
        <f t="shared" si="429"/>
        <v>1</v>
      </c>
      <c r="AY210" s="2">
        <f t="shared" si="429"/>
        <v>1</v>
      </c>
      <c r="AZ210" s="2">
        <f t="shared" si="429"/>
        <v>1</v>
      </c>
      <c r="BA210" s="2">
        <f t="shared" si="429"/>
        <v>1</v>
      </c>
      <c r="BB210" s="2">
        <f t="shared" si="429"/>
        <v>1</v>
      </c>
      <c r="BC210" s="2">
        <f t="shared" si="429"/>
        <v>1</v>
      </c>
      <c r="BD210" s="2">
        <f t="shared" si="429"/>
        <v>1</v>
      </c>
      <c r="BE210" s="2">
        <f t="shared" si="429"/>
        <v>1</v>
      </c>
      <c r="BF210" s="2">
        <f t="shared" si="429"/>
        <v>1</v>
      </c>
      <c r="BG210" s="2">
        <f t="shared" si="429"/>
        <v>1</v>
      </c>
      <c r="BH210" s="2">
        <f t="shared" si="429"/>
        <v>1</v>
      </c>
      <c r="BI210" s="2">
        <f t="shared" si="429"/>
        <v>1</v>
      </c>
      <c r="BJ210" s="2">
        <f t="shared" si="429"/>
        <v>1</v>
      </c>
      <c r="BN210" s="2">
        <f>IF(BN204=0, IF(BN197&lt;0.67, 1, 0), 0)</f>
        <v>1</v>
      </c>
    </row>
    <row r="211" spans="1:66">
      <c r="A211" s="38" t="s">
        <v>255</v>
      </c>
      <c r="B211" s="54">
        <f t="shared" ref="B211:T211" si="430">IF(B210=1, IF(B201&gt;0.5, 1, 0), 0)</f>
        <v>0</v>
      </c>
      <c r="C211" s="2">
        <f t="shared" si="430"/>
        <v>0</v>
      </c>
      <c r="D211" s="2">
        <f t="shared" si="430"/>
        <v>0</v>
      </c>
      <c r="E211" s="2">
        <f t="shared" si="430"/>
        <v>0</v>
      </c>
      <c r="F211" s="2">
        <f t="shared" si="430"/>
        <v>0</v>
      </c>
      <c r="G211" s="2">
        <f t="shared" si="430"/>
        <v>0</v>
      </c>
      <c r="H211" s="2">
        <f t="shared" si="430"/>
        <v>0</v>
      </c>
      <c r="I211" s="2">
        <f t="shared" si="430"/>
        <v>0</v>
      </c>
      <c r="J211" s="2">
        <f t="shared" si="430"/>
        <v>0</v>
      </c>
      <c r="K211" s="54">
        <f t="shared" si="430"/>
        <v>0</v>
      </c>
      <c r="L211" s="2">
        <f t="shared" si="430"/>
        <v>0</v>
      </c>
      <c r="M211" s="2">
        <f t="shared" si="430"/>
        <v>0</v>
      </c>
      <c r="N211" s="2">
        <f t="shared" si="430"/>
        <v>0</v>
      </c>
      <c r="O211" s="2">
        <f t="shared" si="430"/>
        <v>0</v>
      </c>
      <c r="P211" s="2">
        <f t="shared" si="430"/>
        <v>0</v>
      </c>
      <c r="Q211" s="2">
        <f t="shared" si="430"/>
        <v>0</v>
      </c>
      <c r="R211" s="2">
        <f t="shared" si="430"/>
        <v>0</v>
      </c>
      <c r="S211" s="2">
        <f t="shared" si="430"/>
        <v>0</v>
      </c>
      <c r="T211" s="2">
        <f t="shared" si="430"/>
        <v>0</v>
      </c>
      <c r="U211" s="2">
        <f t="shared" ref="U211:AI211" si="431">IF(U210=1, IF(U201&gt;0.5, 1, 0), 0)</f>
        <v>0</v>
      </c>
      <c r="V211" s="2">
        <f t="shared" si="431"/>
        <v>0</v>
      </c>
      <c r="W211" s="2">
        <f t="shared" si="431"/>
        <v>0</v>
      </c>
      <c r="X211" s="2">
        <f t="shared" si="431"/>
        <v>0</v>
      </c>
      <c r="Y211" s="2">
        <f t="shared" si="431"/>
        <v>0</v>
      </c>
      <c r="Z211" s="2">
        <f t="shared" si="431"/>
        <v>0</v>
      </c>
      <c r="AA211" s="2">
        <f t="shared" si="431"/>
        <v>0</v>
      </c>
      <c r="AB211" s="2">
        <f t="shared" si="431"/>
        <v>0</v>
      </c>
      <c r="AC211" s="2">
        <f t="shared" si="431"/>
        <v>0</v>
      </c>
      <c r="AD211" s="2">
        <f t="shared" si="431"/>
        <v>0</v>
      </c>
      <c r="AE211" s="2">
        <f t="shared" si="431"/>
        <v>0</v>
      </c>
      <c r="AF211" s="2">
        <f t="shared" si="431"/>
        <v>0</v>
      </c>
      <c r="AG211" s="2">
        <f t="shared" si="431"/>
        <v>0</v>
      </c>
      <c r="AH211" s="2">
        <f t="shared" si="431"/>
        <v>0</v>
      </c>
      <c r="AI211" s="2">
        <f t="shared" si="431"/>
        <v>0</v>
      </c>
      <c r="AJ211" s="2">
        <f t="shared" ref="AJ211:BJ211" si="432">IF(AJ210=1, IF(AJ201&gt;0.5, 1, 0), 0)</f>
        <v>0</v>
      </c>
      <c r="AK211" s="2">
        <f t="shared" si="432"/>
        <v>0</v>
      </c>
      <c r="AL211" s="2">
        <f t="shared" si="432"/>
        <v>0</v>
      </c>
      <c r="AM211" s="2">
        <f t="shared" si="432"/>
        <v>0</v>
      </c>
      <c r="AN211" s="2">
        <f t="shared" si="432"/>
        <v>0</v>
      </c>
      <c r="AO211" s="2">
        <f t="shared" si="432"/>
        <v>0</v>
      </c>
      <c r="AP211" s="2">
        <f t="shared" si="432"/>
        <v>0</v>
      </c>
      <c r="AQ211" s="2">
        <f t="shared" si="432"/>
        <v>0</v>
      </c>
      <c r="AR211" s="2">
        <f t="shared" si="432"/>
        <v>0</v>
      </c>
      <c r="AS211" s="2">
        <f t="shared" si="432"/>
        <v>0</v>
      </c>
      <c r="AT211" s="2">
        <f t="shared" si="432"/>
        <v>0</v>
      </c>
      <c r="AU211" s="2">
        <f t="shared" si="432"/>
        <v>0</v>
      </c>
      <c r="AV211" s="2">
        <f t="shared" si="432"/>
        <v>0</v>
      </c>
      <c r="AW211" s="2">
        <f t="shared" si="432"/>
        <v>0</v>
      </c>
      <c r="AX211" s="2">
        <f t="shared" si="432"/>
        <v>0</v>
      </c>
      <c r="AY211" s="2">
        <f t="shared" si="432"/>
        <v>0</v>
      </c>
      <c r="AZ211" s="2">
        <f t="shared" si="432"/>
        <v>0</v>
      </c>
      <c r="BA211" s="2">
        <f t="shared" si="432"/>
        <v>0</v>
      </c>
      <c r="BB211" s="2">
        <f t="shared" si="432"/>
        <v>0</v>
      </c>
      <c r="BC211" s="2">
        <f t="shared" si="432"/>
        <v>0</v>
      </c>
      <c r="BD211" s="2">
        <f t="shared" si="432"/>
        <v>0</v>
      </c>
      <c r="BE211" s="2">
        <f t="shared" si="432"/>
        <v>0</v>
      </c>
      <c r="BF211" s="2">
        <f t="shared" si="432"/>
        <v>0</v>
      </c>
      <c r="BG211" s="2">
        <f t="shared" si="432"/>
        <v>0</v>
      </c>
      <c r="BH211" s="2">
        <f t="shared" si="432"/>
        <v>0</v>
      </c>
      <c r="BI211" s="2">
        <f t="shared" si="432"/>
        <v>0</v>
      </c>
      <c r="BJ211" s="2">
        <f t="shared" si="432"/>
        <v>0</v>
      </c>
      <c r="BN211" s="2">
        <f>IF(BN210=1, IF(BN201&gt;0.5, 1, 0), 0)</f>
        <v>0</v>
      </c>
    </row>
    <row r="212" spans="1:66">
      <c r="A212" s="37" t="s">
        <v>32</v>
      </c>
      <c r="B212" s="54">
        <f t="shared" ref="B212:T212" si="433">IF(B211=1, IF(B199&gt;0.5, 9, 10), 0)</f>
        <v>0</v>
      </c>
      <c r="C212" s="2">
        <f t="shared" si="433"/>
        <v>0</v>
      </c>
      <c r="D212" s="2">
        <f t="shared" si="433"/>
        <v>0</v>
      </c>
      <c r="E212" s="2">
        <f t="shared" si="433"/>
        <v>0</v>
      </c>
      <c r="F212" s="2">
        <f t="shared" si="433"/>
        <v>0</v>
      </c>
      <c r="G212" s="2">
        <f t="shared" si="433"/>
        <v>0</v>
      </c>
      <c r="H212" s="2">
        <f t="shared" si="433"/>
        <v>0</v>
      </c>
      <c r="I212" s="2">
        <f t="shared" si="433"/>
        <v>0</v>
      </c>
      <c r="J212" s="2">
        <f t="shared" si="433"/>
        <v>0</v>
      </c>
      <c r="K212" s="54">
        <f t="shared" si="433"/>
        <v>0</v>
      </c>
      <c r="L212" s="2">
        <f t="shared" si="433"/>
        <v>0</v>
      </c>
      <c r="M212" s="2">
        <f t="shared" si="433"/>
        <v>0</v>
      </c>
      <c r="N212" s="2">
        <f t="shared" si="433"/>
        <v>0</v>
      </c>
      <c r="O212" s="2">
        <f t="shared" si="433"/>
        <v>0</v>
      </c>
      <c r="P212" s="2">
        <f t="shared" si="433"/>
        <v>0</v>
      </c>
      <c r="Q212" s="2">
        <f t="shared" si="433"/>
        <v>0</v>
      </c>
      <c r="R212" s="2">
        <f t="shared" si="433"/>
        <v>0</v>
      </c>
      <c r="S212" s="2">
        <f t="shared" si="433"/>
        <v>0</v>
      </c>
      <c r="T212" s="2">
        <f t="shared" si="433"/>
        <v>0</v>
      </c>
      <c r="U212" s="2">
        <f t="shared" ref="U212:AI212" si="434">IF(U211=1, IF(U199&gt;0.5, 9, 10), 0)</f>
        <v>0</v>
      </c>
      <c r="V212" s="2">
        <f t="shared" si="434"/>
        <v>0</v>
      </c>
      <c r="W212" s="2">
        <f t="shared" si="434"/>
        <v>0</v>
      </c>
      <c r="X212" s="2">
        <f t="shared" si="434"/>
        <v>0</v>
      </c>
      <c r="Y212" s="2">
        <f t="shared" si="434"/>
        <v>0</v>
      </c>
      <c r="Z212" s="2">
        <f t="shared" si="434"/>
        <v>0</v>
      </c>
      <c r="AA212" s="2">
        <f t="shared" si="434"/>
        <v>0</v>
      </c>
      <c r="AB212" s="2">
        <f t="shared" si="434"/>
        <v>0</v>
      </c>
      <c r="AC212" s="2">
        <f t="shared" si="434"/>
        <v>0</v>
      </c>
      <c r="AD212" s="2">
        <f t="shared" si="434"/>
        <v>0</v>
      </c>
      <c r="AE212" s="2">
        <f t="shared" si="434"/>
        <v>0</v>
      </c>
      <c r="AF212" s="2">
        <f t="shared" si="434"/>
        <v>0</v>
      </c>
      <c r="AG212" s="2">
        <f t="shared" si="434"/>
        <v>0</v>
      </c>
      <c r="AH212" s="2">
        <f t="shared" si="434"/>
        <v>0</v>
      </c>
      <c r="AI212" s="2">
        <f t="shared" si="434"/>
        <v>0</v>
      </c>
      <c r="AJ212" s="2">
        <f t="shared" ref="AJ212:BJ212" si="435">IF(AJ211=1, IF(AJ199&gt;0.5, 9, 10), 0)</f>
        <v>0</v>
      </c>
      <c r="AK212" s="2">
        <f t="shared" si="435"/>
        <v>0</v>
      </c>
      <c r="AL212" s="2">
        <f t="shared" si="435"/>
        <v>0</v>
      </c>
      <c r="AM212" s="2">
        <f t="shared" si="435"/>
        <v>0</v>
      </c>
      <c r="AN212" s="2">
        <f t="shared" si="435"/>
        <v>0</v>
      </c>
      <c r="AO212" s="2">
        <f t="shared" si="435"/>
        <v>0</v>
      </c>
      <c r="AP212" s="2">
        <f t="shared" si="435"/>
        <v>0</v>
      </c>
      <c r="AQ212" s="2">
        <f t="shared" si="435"/>
        <v>0</v>
      </c>
      <c r="AR212" s="2">
        <f t="shared" si="435"/>
        <v>0</v>
      </c>
      <c r="AS212" s="2">
        <f t="shared" si="435"/>
        <v>0</v>
      </c>
      <c r="AT212" s="2">
        <f t="shared" si="435"/>
        <v>0</v>
      </c>
      <c r="AU212" s="2">
        <f t="shared" si="435"/>
        <v>0</v>
      </c>
      <c r="AV212" s="2">
        <f t="shared" si="435"/>
        <v>0</v>
      </c>
      <c r="AW212" s="2">
        <f t="shared" si="435"/>
        <v>0</v>
      </c>
      <c r="AX212" s="2">
        <f t="shared" si="435"/>
        <v>0</v>
      </c>
      <c r="AY212" s="2">
        <f t="shared" si="435"/>
        <v>0</v>
      </c>
      <c r="AZ212" s="2">
        <f t="shared" si="435"/>
        <v>0</v>
      </c>
      <c r="BA212" s="2">
        <f t="shared" si="435"/>
        <v>0</v>
      </c>
      <c r="BB212" s="2">
        <f t="shared" si="435"/>
        <v>0</v>
      </c>
      <c r="BC212" s="2">
        <f t="shared" si="435"/>
        <v>0</v>
      </c>
      <c r="BD212" s="2">
        <f t="shared" si="435"/>
        <v>0</v>
      </c>
      <c r="BE212" s="2">
        <f t="shared" si="435"/>
        <v>0</v>
      </c>
      <c r="BF212" s="2">
        <f t="shared" si="435"/>
        <v>0</v>
      </c>
      <c r="BG212" s="2">
        <f t="shared" si="435"/>
        <v>0</v>
      </c>
      <c r="BH212" s="2">
        <f t="shared" si="435"/>
        <v>0</v>
      </c>
      <c r="BI212" s="2">
        <f t="shared" si="435"/>
        <v>0</v>
      </c>
      <c r="BJ212" s="2">
        <f t="shared" si="435"/>
        <v>0</v>
      </c>
      <c r="BN212" s="2">
        <f>IF(BN211=1, IF(BN199&gt;0.5, 9, 10), 0)</f>
        <v>0</v>
      </c>
    </row>
    <row r="213" spans="1:66">
      <c r="A213" s="38" t="s">
        <v>256</v>
      </c>
      <c r="B213" s="54">
        <f t="shared" ref="B213:T213" si="436">IF(B210=1, IF(B211=0, IF(B198&lt;0.5, 1, 0), 0), 0)</f>
        <v>1</v>
      </c>
      <c r="C213" s="2">
        <f t="shared" si="436"/>
        <v>1</v>
      </c>
      <c r="D213" s="2">
        <f t="shared" si="436"/>
        <v>1</v>
      </c>
      <c r="E213" s="2">
        <f t="shared" si="436"/>
        <v>1</v>
      </c>
      <c r="F213" s="2">
        <f t="shared" si="436"/>
        <v>1</v>
      </c>
      <c r="G213" s="2">
        <f t="shared" si="436"/>
        <v>1</v>
      </c>
      <c r="H213" s="2">
        <f t="shared" si="436"/>
        <v>1</v>
      </c>
      <c r="I213" s="2">
        <f t="shared" si="436"/>
        <v>1</v>
      </c>
      <c r="J213" s="2">
        <f t="shared" si="436"/>
        <v>1</v>
      </c>
      <c r="K213" s="54">
        <f t="shared" si="436"/>
        <v>1</v>
      </c>
      <c r="L213" s="2">
        <f t="shared" si="436"/>
        <v>1</v>
      </c>
      <c r="M213" s="2">
        <f t="shared" si="436"/>
        <v>1</v>
      </c>
      <c r="N213" s="2">
        <f t="shared" si="436"/>
        <v>0</v>
      </c>
      <c r="O213" s="2">
        <f t="shared" si="436"/>
        <v>1</v>
      </c>
      <c r="P213" s="2">
        <f t="shared" si="436"/>
        <v>0</v>
      </c>
      <c r="Q213" s="2">
        <f t="shared" si="436"/>
        <v>1</v>
      </c>
      <c r="R213" s="2">
        <f t="shared" si="436"/>
        <v>0</v>
      </c>
      <c r="S213" s="2">
        <f t="shared" si="436"/>
        <v>0</v>
      </c>
      <c r="T213" s="2">
        <f t="shared" si="436"/>
        <v>0</v>
      </c>
      <c r="U213" s="2">
        <f t="shared" ref="U213:AI213" si="437">IF(U210=1, IF(U211=0, IF(U198&lt;0.5, 1, 0), 0), 0)</f>
        <v>0</v>
      </c>
      <c r="V213" s="2">
        <f t="shared" si="437"/>
        <v>0</v>
      </c>
      <c r="W213" s="2">
        <f t="shared" si="437"/>
        <v>1</v>
      </c>
      <c r="X213" s="2">
        <f t="shared" si="437"/>
        <v>0</v>
      </c>
      <c r="Y213" s="2">
        <f t="shared" si="437"/>
        <v>1</v>
      </c>
      <c r="Z213" s="2">
        <f t="shared" si="437"/>
        <v>1</v>
      </c>
      <c r="AA213" s="2">
        <f t="shared" si="437"/>
        <v>1</v>
      </c>
      <c r="AB213" s="2">
        <f t="shared" si="437"/>
        <v>0</v>
      </c>
      <c r="AC213" s="2">
        <f t="shared" si="437"/>
        <v>0</v>
      </c>
      <c r="AD213" s="2">
        <f t="shared" si="437"/>
        <v>0</v>
      </c>
      <c r="AE213" s="2">
        <f t="shared" si="437"/>
        <v>0</v>
      </c>
      <c r="AF213" s="2">
        <f t="shared" si="437"/>
        <v>0</v>
      </c>
      <c r="AG213" s="2">
        <f t="shared" si="437"/>
        <v>0</v>
      </c>
      <c r="AH213" s="2">
        <f t="shared" si="437"/>
        <v>0</v>
      </c>
      <c r="AI213" s="2">
        <f t="shared" si="437"/>
        <v>0</v>
      </c>
      <c r="AJ213" s="2">
        <f t="shared" ref="AJ213:BJ213" si="438">IF(AJ210=1, IF(AJ211=0, IF(AJ198&lt;0.5, 1, 0), 0), 0)</f>
        <v>0</v>
      </c>
      <c r="AK213" s="2">
        <f t="shared" si="438"/>
        <v>0</v>
      </c>
      <c r="AL213" s="2">
        <f t="shared" si="438"/>
        <v>0</v>
      </c>
      <c r="AM213" s="2">
        <f t="shared" si="438"/>
        <v>0</v>
      </c>
      <c r="AN213" s="2">
        <f t="shared" si="438"/>
        <v>0</v>
      </c>
      <c r="AO213" s="2">
        <f t="shared" si="438"/>
        <v>0</v>
      </c>
      <c r="AP213" s="2">
        <f t="shared" si="438"/>
        <v>1</v>
      </c>
      <c r="AQ213" s="2">
        <f t="shared" si="438"/>
        <v>1</v>
      </c>
      <c r="AR213" s="2">
        <f t="shared" si="438"/>
        <v>1</v>
      </c>
      <c r="AS213" s="2">
        <f t="shared" si="438"/>
        <v>1</v>
      </c>
      <c r="AT213" s="2">
        <f t="shared" si="438"/>
        <v>1</v>
      </c>
      <c r="AU213" s="2">
        <f t="shared" si="438"/>
        <v>1</v>
      </c>
      <c r="AV213" s="2">
        <f t="shared" si="438"/>
        <v>1</v>
      </c>
      <c r="AW213" s="2">
        <f t="shared" si="438"/>
        <v>1</v>
      </c>
      <c r="AX213" s="2">
        <f t="shared" si="438"/>
        <v>1</v>
      </c>
      <c r="AY213" s="2">
        <f t="shared" si="438"/>
        <v>1</v>
      </c>
      <c r="AZ213" s="2">
        <f t="shared" si="438"/>
        <v>1</v>
      </c>
      <c r="BA213" s="2">
        <f t="shared" si="438"/>
        <v>0</v>
      </c>
      <c r="BB213" s="2">
        <f t="shared" si="438"/>
        <v>0</v>
      </c>
      <c r="BC213" s="2">
        <f t="shared" si="438"/>
        <v>0</v>
      </c>
      <c r="BD213" s="2">
        <f t="shared" si="438"/>
        <v>0</v>
      </c>
      <c r="BE213" s="2">
        <f t="shared" si="438"/>
        <v>0</v>
      </c>
      <c r="BF213" s="2">
        <f t="shared" si="438"/>
        <v>0</v>
      </c>
      <c r="BG213" s="2">
        <f t="shared" si="438"/>
        <v>0</v>
      </c>
      <c r="BH213" s="2">
        <f t="shared" si="438"/>
        <v>0</v>
      </c>
      <c r="BI213" s="2">
        <f t="shared" si="438"/>
        <v>0</v>
      </c>
      <c r="BJ213" s="2">
        <f t="shared" si="438"/>
        <v>0</v>
      </c>
      <c r="BN213" s="2">
        <f>IF(BN210=1, IF(BN211=0, IF(BN198&lt;0.5, 1, 0), 0), 0)</f>
        <v>1</v>
      </c>
    </row>
    <row r="214" spans="1:66">
      <c r="A214" s="47" t="s">
        <v>257</v>
      </c>
      <c r="B214" s="54">
        <f t="shared" ref="B214:T214" si="439">IF(B213=1, IF(B200&gt;7.5, 1, 0), 0)</f>
        <v>0</v>
      </c>
      <c r="C214" s="2">
        <f t="shared" si="439"/>
        <v>0</v>
      </c>
      <c r="D214" s="2">
        <f t="shared" si="439"/>
        <v>0</v>
      </c>
      <c r="E214" s="2">
        <f t="shared" si="439"/>
        <v>0</v>
      </c>
      <c r="F214" s="2">
        <f t="shared" si="439"/>
        <v>0</v>
      </c>
      <c r="G214" s="2">
        <f t="shared" si="439"/>
        <v>0</v>
      </c>
      <c r="H214" s="2">
        <f t="shared" si="439"/>
        <v>0</v>
      </c>
      <c r="I214" s="2">
        <f t="shared" si="439"/>
        <v>0</v>
      </c>
      <c r="J214" s="2">
        <f t="shared" si="439"/>
        <v>0</v>
      </c>
      <c r="K214" s="54">
        <f t="shared" si="439"/>
        <v>0</v>
      </c>
      <c r="L214" s="2">
        <f t="shared" si="439"/>
        <v>0</v>
      </c>
      <c r="M214" s="2">
        <f t="shared" si="439"/>
        <v>0</v>
      </c>
      <c r="N214" s="2">
        <f t="shared" si="439"/>
        <v>0</v>
      </c>
      <c r="O214" s="2">
        <f t="shared" si="439"/>
        <v>0</v>
      </c>
      <c r="P214" s="2">
        <f t="shared" si="439"/>
        <v>0</v>
      </c>
      <c r="Q214" s="2">
        <f t="shared" si="439"/>
        <v>0</v>
      </c>
      <c r="R214" s="2">
        <f t="shared" si="439"/>
        <v>0</v>
      </c>
      <c r="S214" s="2">
        <f t="shared" si="439"/>
        <v>0</v>
      </c>
      <c r="T214" s="2">
        <f t="shared" si="439"/>
        <v>0</v>
      </c>
      <c r="U214" s="2">
        <f t="shared" ref="U214:AI214" si="440">IF(U213=1, IF(U200&gt;7.5, 1, 0), 0)</f>
        <v>0</v>
      </c>
      <c r="V214" s="2">
        <f t="shared" si="440"/>
        <v>0</v>
      </c>
      <c r="W214" s="2">
        <f t="shared" si="440"/>
        <v>0</v>
      </c>
      <c r="X214" s="2">
        <f t="shared" si="440"/>
        <v>0</v>
      </c>
      <c r="Y214" s="2">
        <f t="shared" si="440"/>
        <v>0</v>
      </c>
      <c r="Z214" s="2">
        <f t="shared" si="440"/>
        <v>0</v>
      </c>
      <c r="AA214" s="2">
        <f t="shared" si="440"/>
        <v>0</v>
      </c>
      <c r="AB214" s="2">
        <f t="shared" si="440"/>
        <v>0</v>
      </c>
      <c r="AC214" s="2">
        <f t="shared" si="440"/>
        <v>0</v>
      </c>
      <c r="AD214" s="2">
        <f t="shared" si="440"/>
        <v>0</v>
      </c>
      <c r="AE214" s="2">
        <f t="shared" si="440"/>
        <v>0</v>
      </c>
      <c r="AF214" s="2">
        <f t="shared" si="440"/>
        <v>0</v>
      </c>
      <c r="AG214" s="2">
        <f t="shared" si="440"/>
        <v>0</v>
      </c>
      <c r="AH214" s="2">
        <f t="shared" si="440"/>
        <v>0</v>
      </c>
      <c r="AI214" s="2">
        <f t="shared" si="440"/>
        <v>0</v>
      </c>
      <c r="AJ214" s="2">
        <f t="shared" ref="AJ214:BJ214" si="441">IF(AJ213=1, IF(AJ200&gt;7.5, 1, 0), 0)</f>
        <v>0</v>
      </c>
      <c r="AK214" s="2">
        <f t="shared" si="441"/>
        <v>0</v>
      </c>
      <c r="AL214" s="2">
        <f t="shared" si="441"/>
        <v>0</v>
      </c>
      <c r="AM214" s="2">
        <f t="shared" si="441"/>
        <v>0</v>
      </c>
      <c r="AN214" s="2">
        <f t="shared" si="441"/>
        <v>0</v>
      </c>
      <c r="AO214" s="2">
        <f t="shared" si="441"/>
        <v>0</v>
      </c>
      <c r="AP214" s="2">
        <f t="shared" si="441"/>
        <v>0</v>
      </c>
      <c r="AQ214" s="2">
        <f t="shared" si="441"/>
        <v>0</v>
      </c>
      <c r="AR214" s="2">
        <f t="shared" si="441"/>
        <v>0</v>
      </c>
      <c r="AS214" s="2">
        <f t="shared" si="441"/>
        <v>0</v>
      </c>
      <c r="AT214" s="2">
        <f t="shared" si="441"/>
        <v>0</v>
      </c>
      <c r="AU214" s="2">
        <f t="shared" si="441"/>
        <v>0</v>
      </c>
      <c r="AV214" s="2">
        <f t="shared" si="441"/>
        <v>0</v>
      </c>
      <c r="AW214" s="2">
        <f t="shared" si="441"/>
        <v>0</v>
      </c>
      <c r="AX214" s="2">
        <f t="shared" si="441"/>
        <v>0</v>
      </c>
      <c r="AY214" s="2">
        <f t="shared" si="441"/>
        <v>0</v>
      </c>
      <c r="AZ214" s="2">
        <f t="shared" si="441"/>
        <v>0</v>
      </c>
      <c r="BA214" s="2">
        <f t="shared" si="441"/>
        <v>0</v>
      </c>
      <c r="BB214" s="2">
        <f t="shared" si="441"/>
        <v>0</v>
      </c>
      <c r="BC214" s="2">
        <f t="shared" si="441"/>
        <v>0</v>
      </c>
      <c r="BD214" s="2">
        <f t="shared" si="441"/>
        <v>0</v>
      </c>
      <c r="BE214" s="2">
        <f t="shared" si="441"/>
        <v>0</v>
      </c>
      <c r="BF214" s="2">
        <f t="shared" si="441"/>
        <v>0</v>
      </c>
      <c r="BG214" s="2">
        <f t="shared" si="441"/>
        <v>0</v>
      </c>
      <c r="BH214" s="2">
        <f t="shared" si="441"/>
        <v>0</v>
      </c>
      <c r="BI214" s="2">
        <f t="shared" si="441"/>
        <v>0</v>
      </c>
      <c r="BJ214" s="2">
        <f t="shared" si="441"/>
        <v>0</v>
      </c>
      <c r="BN214" s="2">
        <f>IF(BN213=1, IF(BN200&gt;7.5, 1, 0), 0)</f>
        <v>0</v>
      </c>
    </row>
    <row r="215" spans="1:66">
      <c r="A215" s="37" t="s">
        <v>47</v>
      </c>
      <c r="B215" s="54">
        <f t="shared" ref="B215:T215" si="442">IF(B214=1, IF(B199&gt;0.9, 11, IF(B199&gt;0.5, 12, 13)), 0)</f>
        <v>0</v>
      </c>
      <c r="C215" s="2">
        <f t="shared" si="442"/>
        <v>0</v>
      </c>
      <c r="D215" s="2">
        <f t="shared" si="442"/>
        <v>0</v>
      </c>
      <c r="E215" s="2">
        <f t="shared" si="442"/>
        <v>0</v>
      </c>
      <c r="F215" s="2">
        <f t="shared" si="442"/>
        <v>0</v>
      </c>
      <c r="G215" s="2">
        <f t="shared" si="442"/>
        <v>0</v>
      </c>
      <c r="H215" s="2">
        <f t="shared" si="442"/>
        <v>0</v>
      </c>
      <c r="I215" s="2">
        <f t="shared" si="442"/>
        <v>0</v>
      </c>
      <c r="J215" s="2">
        <f t="shared" si="442"/>
        <v>0</v>
      </c>
      <c r="K215" s="54">
        <f t="shared" si="442"/>
        <v>0</v>
      </c>
      <c r="L215" s="2">
        <f t="shared" si="442"/>
        <v>0</v>
      </c>
      <c r="M215" s="2">
        <f t="shared" si="442"/>
        <v>0</v>
      </c>
      <c r="N215" s="2">
        <f t="shared" si="442"/>
        <v>0</v>
      </c>
      <c r="O215" s="2">
        <f t="shared" si="442"/>
        <v>0</v>
      </c>
      <c r="P215" s="2">
        <f t="shared" si="442"/>
        <v>0</v>
      </c>
      <c r="Q215" s="2">
        <f t="shared" si="442"/>
        <v>0</v>
      </c>
      <c r="R215" s="2">
        <f t="shared" si="442"/>
        <v>0</v>
      </c>
      <c r="S215" s="2">
        <f t="shared" si="442"/>
        <v>0</v>
      </c>
      <c r="T215" s="2">
        <f t="shared" si="442"/>
        <v>0</v>
      </c>
      <c r="U215" s="2">
        <f t="shared" ref="U215:AI215" si="443">IF(U214=1, IF(U199&gt;0.9, 11, IF(U199&gt;0.5, 12, 13)), 0)</f>
        <v>0</v>
      </c>
      <c r="V215" s="2">
        <f t="shared" si="443"/>
        <v>0</v>
      </c>
      <c r="W215" s="2">
        <f t="shared" si="443"/>
        <v>0</v>
      </c>
      <c r="X215" s="2">
        <f t="shared" si="443"/>
        <v>0</v>
      </c>
      <c r="Y215" s="2">
        <f t="shared" si="443"/>
        <v>0</v>
      </c>
      <c r="Z215" s="2">
        <f t="shared" si="443"/>
        <v>0</v>
      </c>
      <c r="AA215" s="2">
        <f t="shared" si="443"/>
        <v>0</v>
      </c>
      <c r="AB215" s="2">
        <f t="shared" si="443"/>
        <v>0</v>
      </c>
      <c r="AC215" s="2">
        <f t="shared" si="443"/>
        <v>0</v>
      </c>
      <c r="AD215" s="2">
        <f t="shared" si="443"/>
        <v>0</v>
      </c>
      <c r="AE215" s="2">
        <f t="shared" si="443"/>
        <v>0</v>
      </c>
      <c r="AF215" s="2">
        <f t="shared" si="443"/>
        <v>0</v>
      </c>
      <c r="AG215" s="2">
        <f t="shared" si="443"/>
        <v>0</v>
      </c>
      <c r="AH215" s="2">
        <f t="shared" si="443"/>
        <v>0</v>
      </c>
      <c r="AI215" s="2">
        <f t="shared" si="443"/>
        <v>0</v>
      </c>
      <c r="AJ215" s="2">
        <f t="shared" ref="AJ215:BJ215" si="444">IF(AJ214=1, IF(AJ199&gt;0.9, 11, IF(AJ199&gt;0.5, 12, 13)), 0)</f>
        <v>0</v>
      </c>
      <c r="AK215" s="2">
        <f t="shared" si="444"/>
        <v>0</v>
      </c>
      <c r="AL215" s="2">
        <f t="shared" si="444"/>
        <v>0</v>
      </c>
      <c r="AM215" s="2">
        <f t="shared" si="444"/>
        <v>0</v>
      </c>
      <c r="AN215" s="2">
        <f t="shared" si="444"/>
        <v>0</v>
      </c>
      <c r="AO215" s="2">
        <f t="shared" si="444"/>
        <v>0</v>
      </c>
      <c r="AP215" s="2">
        <f t="shared" si="444"/>
        <v>0</v>
      </c>
      <c r="AQ215" s="2">
        <f t="shared" si="444"/>
        <v>0</v>
      </c>
      <c r="AR215" s="2">
        <f t="shared" si="444"/>
        <v>0</v>
      </c>
      <c r="AS215" s="2">
        <f t="shared" si="444"/>
        <v>0</v>
      </c>
      <c r="AT215" s="2">
        <f t="shared" si="444"/>
        <v>0</v>
      </c>
      <c r="AU215" s="2">
        <f t="shared" si="444"/>
        <v>0</v>
      </c>
      <c r="AV215" s="2">
        <f t="shared" si="444"/>
        <v>0</v>
      </c>
      <c r="AW215" s="2">
        <f t="shared" si="444"/>
        <v>0</v>
      </c>
      <c r="AX215" s="2">
        <f t="shared" si="444"/>
        <v>0</v>
      </c>
      <c r="AY215" s="2">
        <f t="shared" si="444"/>
        <v>0</v>
      </c>
      <c r="AZ215" s="2">
        <f t="shared" si="444"/>
        <v>0</v>
      </c>
      <c r="BA215" s="2">
        <f t="shared" si="444"/>
        <v>0</v>
      </c>
      <c r="BB215" s="2">
        <f t="shared" si="444"/>
        <v>0</v>
      </c>
      <c r="BC215" s="2">
        <f t="shared" si="444"/>
        <v>0</v>
      </c>
      <c r="BD215" s="2">
        <f t="shared" si="444"/>
        <v>0</v>
      </c>
      <c r="BE215" s="2">
        <f t="shared" si="444"/>
        <v>0</v>
      </c>
      <c r="BF215" s="2">
        <f t="shared" si="444"/>
        <v>0</v>
      </c>
      <c r="BG215" s="2">
        <f t="shared" si="444"/>
        <v>0</v>
      </c>
      <c r="BH215" s="2">
        <f t="shared" si="444"/>
        <v>0</v>
      </c>
      <c r="BI215" s="2">
        <f t="shared" si="444"/>
        <v>0</v>
      </c>
      <c r="BJ215" s="2">
        <f t="shared" si="444"/>
        <v>0</v>
      </c>
      <c r="BN215" s="2">
        <f>IF(BN214=1, IF(BN199&gt;0.9, 11, IF(BN199&gt;0.5, 12, 13)), 0)</f>
        <v>0</v>
      </c>
    </row>
    <row r="216" spans="1:66">
      <c r="A216" s="47" t="s">
        <v>48</v>
      </c>
      <c r="B216" s="54">
        <f t="shared" ref="B216:T216" si="445">IF(B213=1, IF(B200&gt;7.25, IF(B200&lt;7.5, 1, 0), 0), 0)</f>
        <v>0</v>
      </c>
      <c r="C216" s="2">
        <f t="shared" si="445"/>
        <v>0</v>
      </c>
      <c r="D216" s="2">
        <f t="shared" si="445"/>
        <v>0</v>
      </c>
      <c r="E216" s="2">
        <f t="shared" si="445"/>
        <v>0</v>
      </c>
      <c r="F216" s="2">
        <f t="shared" si="445"/>
        <v>0</v>
      </c>
      <c r="G216" s="2">
        <f t="shared" si="445"/>
        <v>0</v>
      </c>
      <c r="H216" s="2">
        <f t="shared" si="445"/>
        <v>0</v>
      </c>
      <c r="I216" s="2">
        <f t="shared" si="445"/>
        <v>0</v>
      </c>
      <c r="J216" s="2">
        <f t="shared" si="445"/>
        <v>0</v>
      </c>
      <c r="K216" s="54">
        <f t="shared" si="445"/>
        <v>0</v>
      </c>
      <c r="L216" s="2">
        <f t="shared" si="445"/>
        <v>0</v>
      </c>
      <c r="M216" s="2">
        <f t="shared" si="445"/>
        <v>0</v>
      </c>
      <c r="N216" s="2">
        <f t="shared" si="445"/>
        <v>0</v>
      </c>
      <c r="O216" s="2">
        <f t="shared" si="445"/>
        <v>0</v>
      </c>
      <c r="P216" s="2">
        <f t="shared" si="445"/>
        <v>0</v>
      </c>
      <c r="Q216" s="2">
        <f t="shared" si="445"/>
        <v>1</v>
      </c>
      <c r="R216" s="2">
        <f t="shared" si="445"/>
        <v>0</v>
      </c>
      <c r="S216" s="2">
        <f t="shared" si="445"/>
        <v>0</v>
      </c>
      <c r="T216" s="2">
        <f t="shared" si="445"/>
        <v>0</v>
      </c>
      <c r="U216" s="2">
        <f t="shared" ref="U216:AI216" si="446">IF(U213=1, IF(U200&gt;7.25, IF(U200&lt;7.5, 1, 0), 0), 0)</f>
        <v>0</v>
      </c>
      <c r="V216" s="2">
        <f t="shared" si="446"/>
        <v>0</v>
      </c>
      <c r="W216" s="2">
        <f t="shared" si="446"/>
        <v>0</v>
      </c>
      <c r="X216" s="2">
        <f t="shared" si="446"/>
        <v>0</v>
      </c>
      <c r="Y216" s="2">
        <f t="shared" si="446"/>
        <v>0</v>
      </c>
      <c r="Z216" s="2">
        <f t="shared" si="446"/>
        <v>0</v>
      </c>
      <c r="AA216" s="2">
        <f t="shared" si="446"/>
        <v>0</v>
      </c>
      <c r="AB216" s="2">
        <f t="shared" si="446"/>
        <v>0</v>
      </c>
      <c r="AC216" s="2">
        <f t="shared" si="446"/>
        <v>0</v>
      </c>
      <c r="AD216" s="2">
        <f t="shared" si="446"/>
        <v>0</v>
      </c>
      <c r="AE216" s="2">
        <f t="shared" si="446"/>
        <v>0</v>
      </c>
      <c r="AF216" s="2">
        <f t="shared" si="446"/>
        <v>0</v>
      </c>
      <c r="AG216" s="2">
        <f t="shared" si="446"/>
        <v>0</v>
      </c>
      <c r="AH216" s="2">
        <f t="shared" si="446"/>
        <v>0</v>
      </c>
      <c r="AI216" s="2">
        <f t="shared" si="446"/>
        <v>0</v>
      </c>
      <c r="AJ216" s="2">
        <f t="shared" ref="AJ216:BJ216" si="447">IF(AJ213=1, IF(AJ200&gt;7.25, IF(AJ200&lt;7.5, 1, 0), 0), 0)</f>
        <v>0</v>
      </c>
      <c r="AK216" s="2">
        <f t="shared" si="447"/>
        <v>0</v>
      </c>
      <c r="AL216" s="2">
        <f t="shared" si="447"/>
        <v>0</v>
      </c>
      <c r="AM216" s="2">
        <f t="shared" si="447"/>
        <v>0</v>
      </c>
      <c r="AN216" s="2">
        <f t="shared" si="447"/>
        <v>0</v>
      </c>
      <c r="AO216" s="2">
        <f t="shared" si="447"/>
        <v>0</v>
      </c>
      <c r="AP216" s="2">
        <f t="shared" si="447"/>
        <v>0</v>
      </c>
      <c r="AQ216" s="2">
        <f t="shared" si="447"/>
        <v>0</v>
      </c>
      <c r="AR216" s="2">
        <f t="shared" si="447"/>
        <v>0</v>
      </c>
      <c r="AS216" s="2">
        <f t="shared" si="447"/>
        <v>0</v>
      </c>
      <c r="AT216" s="2">
        <f t="shared" si="447"/>
        <v>0</v>
      </c>
      <c r="AU216" s="2">
        <f t="shared" si="447"/>
        <v>0</v>
      </c>
      <c r="AV216" s="2">
        <f t="shared" si="447"/>
        <v>0</v>
      </c>
      <c r="AW216" s="2">
        <f t="shared" si="447"/>
        <v>0</v>
      </c>
      <c r="AX216" s="2">
        <f t="shared" si="447"/>
        <v>0</v>
      </c>
      <c r="AY216" s="2">
        <f t="shared" si="447"/>
        <v>0</v>
      </c>
      <c r="AZ216" s="2">
        <f t="shared" si="447"/>
        <v>0</v>
      </c>
      <c r="BA216" s="2">
        <f t="shared" si="447"/>
        <v>0</v>
      </c>
      <c r="BB216" s="2">
        <f t="shared" si="447"/>
        <v>0</v>
      </c>
      <c r="BC216" s="2">
        <f t="shared" si="447"/>
        <v>0</v>
      </c>
      <c r="BD216" s="2">
        <f t="shared" si="447"/>
        <v>0</v>
      </c>
      <c r="BE216" s="2">
        <f t="shared" si="447"/>
        <v>0</v>
      </c>
      <c r="BF216" s="2">
        <f t="shared" si="447"/>
        <v>0</v>
      </c>
      <c r="BG216" s="2">
        <f t="shared" si="447"/>
        <v>0</v>
      </c>
      <c r="BH216" s="2">
        <f t="shared" si="447"/>
        <v>0</v>
      </c>
      <c r="BI216" s="2">
        <f t="shared" si="447"/>
        <v>0</v>
      </c>
      <c r="BJ216" s="2">
        <f t="shared" si="447"/>
        <v>0</v>
      </c>
      <c r="BN216" s="2">
        <f>IF(BN213=1, IF(BN200&gt;7.25, IF(BN200&lt;7.5, 1, 0), 0), 0)</f>
        <v>0</v>
      </c>
    </row>
    <row r="217" spans="1:66">
      <c r="A217" s="37" t="s">
        <v>49</v>
      </c>
      <c r="B217" s="54">
        <f t="shared" ref="B217:T217" si="448">IF(B216=1, IF(B199&gt;0.9, 14, IF(B199&gt;0.5, 15, 16)), 0)</f>
        <v>0</v>
      </c>
      <c r="C217" s="2">
        <f t="shared" si="448"/>
        <v>0</v>
      </c>
      <c r="D217" s="2">
        <f t="shared" si="448"/>
        <v>0</v>
      </c>
      <c r="E217" s="2">
        <f t="shared" si="448"/>
        <v>0</v>
      </c>
      <c r="F217" s="2">
        <f t="shared" si="448"/>
        <v>0</v>
      </c>
      <c r="G217" s="2">
        <f t="shared" si="448"/>
        <v>0</v>
      </c>
      <c r="H217" s="2">
        <f t="shared" si="448"/>
        <v>0</v>
      </c>
      <c r="I217" s="2">
        <f t="shared" si="448"/>
        <v>0</v>
      </c>
      <c r="J217" s="2">
        <f t="shared" si="448"/>
        <v>0</v>
      </c>
      <c r="K217" s="54">
        <f t="shared" si="448"/>
        <v>0</v>
      </c>
      <c r="L217" s="2">
        <f t="shared" si="448"/>
        <v>0</v>
      </c>
      <c r="M217" s="2">
        <f t="shared" si="448"/>
        <v>0</v>
      </c>
      <c r="N217" s="2">
        <f t="shared" si="448"/>
        <v>0</v>
      </c>
      <c r="O217" s="2">
        <f t="shared" si="448"/>
        <v>0</v>
      </c>
      <c r="P217" s="2">
        <f t="shared" si="448"/>
        <v>0</v>
      </c>
      <c r="Q217" s="2">
        <f t="shared" si="448"/>
        <v>15</v>
      </c>
      <c r="R217" s="2">
        <f t="shared" si="448"/>
        <v>0</v>
      </c>
      <c r="S217" s="2">
        <f t="shared" si="448"/>
        <v>0</v>
      </c>
      <c r="T217" s="2">
        <f t="shared" si="448"/>
        <v>0</v>
      </c>
      <c r="U217" s="2">
        <f t="shared" ref="U217:AI217" si="449">IF(U216=1, IF(U199&gt;0.9, 14, IF(U199&gt;0.5, 15, 16)), 0)</f>
        <v>0</v>
      </c>
      <c r="V217" s="2">
        <f t="shared" si="449"/>
        <v>0</v>
      </c>
      <c r="W217" s="2">
        <f t="shared" si="449"/>
        <v>0</v>
      </c>
      <c r="X217" s="2">
        <f t="shared" si="449"/>
        <v>0</v>
      </c>
      <c r="Y217" s="2">
        <f t="shared" si="449"/>
        <v>0</v>
      </c>
      <c r="Z217" s="2">
        <f t="shared" si="449"/>
        <v>0</v>
      </c>
      <c r="AA217" s="2">
        <f t="shared" si="449"/>
        <v>0</v>
      </c>
      <c r="AB217" s="2">
        <f t="shared" si="449"/>
        <v>0</v>
      </c>
      <c r="AC217" s="2">
        <f t="shared" si="449"/>
        <v>0</v>
      </c>
      <c r="AD217" s="2">
        <f t="shared" si="449"/>
        <v>0</v>
      </c>
      <c r="AE217" s="2">
        <f t="shared" si="449"/>
        <v>0</v>
      </c>
      <c r="AF217" s="2">
        <f t="shared" si="449"/>
        <v>0</v>
      </c>
      <c r="AG217" s="2">
        <f t="shared" si="449"/>
        <v>0</v>
      </c>
      <c r="AH217" s="2">
        <f t="shared" si="449"/>
        <v>0</v>
      </c>
      <c r="AI217" s="2">
        <f t="shared" si="449"/>
        <v>0</v>
      </c>
      <c r="AJ217" s="2">
        <f t="shared" ref="AJ217:BJ217" si="450">IF(AJ216=1, IF(AJ199&gt;0.9, 14, IF(AJ199&gt;0.5, 15, 16)), 0)</f>
        <v>0</v>
      </c>
      <c r="AK217" s="2">
        <f t="shared" si="450"/>
        <v>0</v>
      </c>
      <c r="AL217" s="2">
        <f t="shared" si="450"/>
        <v>0</v>
      </c>
      <c r="AM217" s="2">
        <f t="shared" si="450"/>
        <v>0</v>
      </c>
      <c r="AN217" s="2">
        <f t="shared" si="450"/>
        <v>0</v>
      </c>
      <c r="AO217" s="2">
        <f t="shared" si="450"/>
        <v>0</v>
      </c>
      <c r="AP217" s="2">
        <f t="shared" si="450"/>
        <v>0</v>
      </c>
      <c r="AQ217" s="2">
        <f t="shared" si="450"/>
        <v>0</v>
      </c>
      <c r="AR217" s="2">
        <f t="shared" si="450"/>
        <v>0</v>
      </c>
      <c r="AS217" s="2">
        <f t="shared" si="450"/>
        <v>0</v>
      </c>
      <c r="AT217" s="2">
        <f t="shared" si="450"/>
        <v>0</v>
      </c>
      <c r="AU217" s="2">
        <f t="shared" si="450"/>
        <v>0</v>
      </c>
      <c r="AV217" s="2">
        <f t="shared" si="450"/>
        <v>0</v>
      </c>
      <c r="AW217" s="2">
        <f t="shared" si="450"/>
        <v>0</v>
      </c>
      <c r="AX217" s="2">
        <f t="shared" si="450"/>
        <v>0</v>
      </c>
      <c r="AY217" s="2">
        <f t="shared" si="450"/>
        <v>0</v>
      </c>
      <c r="AZ217" s="2">
        <f t="shared" si="450"/>
        <v>0</v>
      </c>
      <c r="BA217" s="2">
        <f t="shared" si="450"/>
        <v>0</v>
      </c>
      <c r="BB217" s="2">
        <f t="shared" si="450"/>
        <v>0</v>
      </c>
      <c r="BC217" s="2">
        <f t="shared" si="450"/>
        <v>0</v>
      </c>
      <c r="BD217" s="2">
        <f t="shared" si="450"/>
        <v>0</v>
      </c>
      <c r="BE217" s="2">
        <f t="shared" si="450"/>
        <v>0</v>
      </c>
      <c r="BF217" s="2">
        <f t="shared" si="450"/>
        <v>0</v>
      </c>
      <c r="BG217" s="2">
        <f t="shared" si="450"/>
        <v>0</v>
      </c>
      <c r="BH217" s="2">
        <f t="shared" si="450"/>
        <v>0</v>
      </c>
      <c r="BI217" s="2">
        <f t="shared" si="450"/>
        <v>0</v>
      </c>
      <c r="BJ217" s="2">
        <f t="shared" si="450"/>
        <v>0</v>
      </c>
      <c r="BN217" s="2">
        <f>IF(BN216=1, IF(BN199&gt;0.9, 14, IF(BN199&gt;0.5, 15, 16)), 0)</f>
        <v>0</v>
      </c>
    </row>
    <row r="218" spans="1:66">
      <c r="A218" s="47" t="s">
        <v>50</v>
      </c>
      <c r="B218" s="54">
        <f t="shared" ref="B218:T218" si="451">IF(B213=1, IF(B200&gt;6.5, IF(B200&lt;=7.25, 1, 0), 0), 0)</f>
        <v>1</v>
      </c>
      <c r="C218" s="2">
        <f t="shared" si="451"/>
        <v>1</v>
      </c>
      <c r="D218" s="2">
        <f t="shared" si="451"/>
        <v>1</v>
      </c>
      <c r="E218" s="2">
        <f t="shared" si="451"/>
        <v>1</v>
      </c>
      <c r="F218" s="2">
        <f t="shared" si="451"/>
        <v>1</v>
      </c>
      <c r="G218" s="2">
        <f t="shared" si="451"/>
        <v>1</v>
      </c>
      <c r="H218" s="2">
        <f t="shared" si="451"/>
        <v>1</v>
      </c>
      <c r="I218" s="2">
        <f t="shared" si="451"/>
        <v>1</v>
      </c>
      <c r="J218" s="2">
        <f t="shared" si="451"/>
        <v>1</v>
      </c>
      <c r="K218" s="54">
        <f t="shared" si="451"/>
        <v>1</v>
      </c>
      <c r="L218" s="2">
        <f t="shared" si="451"/>
        <v>1</v>
      </c>
      <c r="M218" s="2">
        <f t="shared" si="451"/>
        <v>1</v>
      </c>
      <c r="N218" s="2">
        <f t="shared" si="451"/>
        <v>0</v>
      </c>
      <c r="O218" s="2">
        <f t="shared" si="451"/>
        <v>1</v>
      </c>
      <c r="P218" s="2">
        <f t="shared" si="451"/>
        <v>0</v>
      </c>
      <c r="Q218" s="2">
        <f t="shared" si="451"/>
        <v>0</v>
      </c>
      <c r="R218" s="2">
        <f t="shared" si="451"/>
        <v>0</v>
      </c>
      <c r="S218" s="2">
        <f t="shared" si="451"/>
        <v>0</v>
      </c>
      <c r="T218" s="2">
        <f t="shared" si="451"/>
        <v>0</v>
      </c>
      <c r="U218" s="2">
        <f t="shared" ref="U218:AI218" si="452">IF(U213=1, IF(U200&gt;6.5, IF(U200&lt;=7.25, 1, 0), 0), 0)</f>
        <v>0</v>
      </c>
      <c r="V218" s="2">
        <f t="shared" si="452"/>
        <v>0</v>
      </c>
      <c r="W218" s="2">
        <f t="shared" si="452"/>
        <v>1</v>
      </c>
      <c r="X218" s="2">
        <f t="shared" si="452"/>
        <v>0</v>
      </c>
      <c r="Y218" s="2">
        <f t="shared" si="452"/>
        <v>0</v>
      </c>
      <c r="Z218" s="2">
        <f t="shared" si="452"/>
        <v>1</v>
      </c>
      <c r="AA218" s="2">
        <f t="shared" si="452"/>
        <v>1</v>
      </c>
      <c r="AB218" s="2">
        <f t="shared" si="452"/>
        <v>0</v>
      </c>
      <c r="AC218" s="2">
        <f t="shared" si="452"/>
        <v>0</v>
      </c>
      <c r="AD218" s="2">
        <f t="shared" si="452"/>
        <v>0</v>
      </c>
      <c r="AE218" s="2">
        <f t="shared" si="452"/>
        <v>0</v>
      </c>
      <c r="AF218" s="2">
        <f t="shared" si="452"/>
        <v>0</v>
      </c>
      <c r="AG218" s="2">
        <f t="shared" si="452"/>
        <v>0</v>
      </c>
      <c r="AH218" s="2">
        <f t="shared" si="452"/>
        <v>0</v>
      </c>
      <c r="AI218" s="2">
        <f t="shared" si="452"/>
        <v>0</v>
      </c>
      <c r="AJ218" s="2">
        <f t="shared" ref="AJ218:BJ218" si="453">IF(AJ213=1, IF(AJ200&gt;6.5, IF(AJ200&lt;=7.25, 1, 0), 0), 0)</f>
        <v>0</v>
      </c>
      <c r="AK218" s="2">
        <f t="shared" si="453"/>
        <v>0</v>
      </c>
      <c r="AL218" s="2">
        <f t="shared" si="453"/>
        <v>0</v>
      </c>
      <c r="AM218" s="2">
        <f t="shared" si="453"/>
        <v>0</v>
      </c>
      <c r="AN218" s="2">
        <f t="shared" si="453"/>
        <v>0</v>
      </c>
      <c r="AO218" s="2">
        <f t="shared" si="453"/>
        <v>0</v>
      </c>
      <c r="AP218" s="2">
        <f t="shared" si="453"/>
        <v>1</v>
      </c>
      <c r="AQ218" s="2">
        <f t="shared" si="453"/>
        <v>1</v>
      </c>
      <c r="AR218" s="2">
        <f t="shared" si="453"/>
        <v>1</v>
      </c>
      <c r="AS218" s="2">
        <f t="shared" si="453"/>
        <v>1</v>
      </c>
      <c r="AT218" s="2">
        <f t="shared" si="453"/>
        <v>1</v>
      </c>
      <c r="AU218" s="2">
        <f t="shared" si="453"/>
        <v>1</v>
      </c>
      <c r="AV218" s="2">
        <f t="shared" si="453"/>
        <v>1</v>
      </c>
      <c r="AW218" s="2">
        <f t="shared" si="453"/>
        <v>1</v>
      </c>
      <c r="AX218" s="2">
        <f t="shared" si="453"/>
        <v>1</v>
      </c>
      <c r="AY218" s="2">
        <f t="shared" si="453"/>
        <v>1</v>
      </c>
      <c r="AZ218" s="2">
        <f t="shared" si="453"/>
        <v>1</v>
      </c>
      <c r="BA218" s="2">
        <f t="shared" si="453"/>
        <v>0</v>
      </c>
      <c r="BB218" s="2">
        <f t="shared" si="453"/>
        <v>0</v>
      </c>
      <c r="BC218" s="2">
        <f t="shared" si="453"/>
        <v>0</v>
      </c>
      <c r="BD218" s="2">
        <f t="shared" si="453"/>
        <v>0</v>
      </c>
      <c r="BE218" s="2">
        <f t="shared" si="453"/>
        <v>0</v>
      </c>
      <c r="BF218" s="2">
        <f t="shared" si="453"/>
        <v>0</v>
      </c>
      <c r="BG218" s="2">
        <f t="shared" si="453"/>
        <v>0</v>
      </c>
      <c r="BH218" s="2">
        <f t="shared" si="453"/>
        <v>0</v>
      </c>
      <c r="BI218" s="2">
        <f t="shared" si="453"/>
        <v>0</v>
      </c>
      <c r="BJ218" s="2">
        <f t="shared" si="453"/>
        <v>0</v>
      </c>
      <c r="BN218" s="2">
        <f>IF(BN213=1, IF(BN200&gt;6.5, IF(BN200&lt;=7.25, 1, 0), 0), 0)</f>
        <v>1</v>
      </c>
    </row>
    <row r="219" spans="1:66">
      <c r="A219" s="37" t="s">
        <v>27</v>
      </c>
      <c r="B219" s="54">
        <f t="shared" ref="B219:U219" si="454">IF(B218=1, IF(B199&gt;0.5, 17, 18), 0)</f>
        <v>17</v>
      </c>
      <c r="C219" s="2">
        <f t="shared" si="454"/>
        <v>17</v>
      </c>
      <c r="D219" s="2">
        <f t="shared" si="454"/>
        <v>17</v>
      </c>
      <c r="E219" s="2">
        <f t="shared" si="454"/>
        <v>17</v>
      </c>
      <c r="F219" s="2">
        <f t="shared" si="454"/>
        <v>17</v>
      </c>
      <c r="G219" s="2">
        <f t="shared" si="454"/>
        <v>17</v>
      </c>
      <c r="H219" s="2">
        <f t="shared" si="454"/>
        <v>17</v>
      </c>
      <c r="I219" s="2">
        <f t="shared" si="454"/>
        <v>17</v>
      </c>
      <c r="J219" s="2">
        <f t="shared" si="454"/>
        <v>17</v>
      </c>
      <c r="K219" s="54">
        <f t="shared" si="454"/>
        <v>17</v>
      </c>
      <c r="L219" s="2">
        <f t="shared" si="454"/>
        <v>17</v>
      </c>
      <c r="M219" s="2">
        <f t="shared" si="454"/>
        <v>17</v>
      </c>
      <c r="N219" s="2">
        <f t="shared" si="454"/>
        <v>0</v>
      </c>
      <c r="O219" s="2">
        <f t="shared" si="454"/>
        <v>17</v>
      </c>
      <c r="P219" s="2">
        <f t="shared" si="454"/>
        <v>0</v>
      </c>
      <c r="Q219" s="2">
        <f t="shared" si="454"/>
        <v>0</v>
      </c>
      <c r="R219" s="2">
        <f t="shared" si="454"/>
        <v>0</v>
      </c>
      <c r="S219" s="2">
        <f t="shared" si="454"/>
        <v>0</v>
      </c>
      <c r="T219" s="2">
        <f t="shared" si="454"/>
        <v>0</v>
      </c>
      <c r="U219" s="2">
        <f t="shared" si="454"/>
        <v>0</v>
      </c>
      <c r="V219" s="2">
        <f t="shared" ref="V219:AI219" si="455">IF(V218=1, IF(V199&gt;0.5, 17, 18), 0)</f>
        <v>0</v>
      </c>
      <c r="W219" s="2">
        <f t="shared" si="455"/>
        <v>17</v>
      </c>
      <c r="X219" s="2">
        <f t="shared" si="455"/>
        <v>0</v>
      </c>
      <c r="Y219" s="2">
        <f t="shared" si="455"/>
        <v>0</v>
      </c>
      <c r="Z219" s="2">
        <f t="shared" si="455"/>
        <v>17</v>
      </c>
      <c r="AA219" s="2">
        <f t="shared" si="455"/>
        <v>17</v>
      </c>
      <c r="AB219" s="2">
        <f t="shared" si="455"/>
        <v>0</v>
      </c>
      <c r="AC219" s="2">
        <f t="shared" si="455"/>
        <v>0</v>
      </c>
      <c r="AD219" s="2">
        <f t="shared" si="455"/>
        <v>0</v>
      </c>
      <c r="AE219" s="2">
        <f t="shared" si="455"/>
        <v>0</v>
      </c>
      <c r="AF219" s="2">
        <f t="shared" si="455"/>
        <v>0</v>
      </c>
      <c r="AG219" s="2">
        <f t="shared" si="455"/>
        <v>0</v>
      </c>
      <c r="AH219" s="2">
        <f t="shared" si="455"/>
        <v>0</v>
      </c>
      <c r="AI219" s="2">
        <f t="shared" si="455"/>
        <v>0</v>
      </c>
      <c r="AJ219" s="2">
        <f t="shared" ref="AJ219:BJ219" si="456">IF(AJ218=1, IF(AJ199&gt;0.5, 17, 18), 0)</f>
        <v>0</v>
      </c>
      <c r="AK219" s="2">
        <f t="shared" si="456"/>
        <v>0</v>
      </c>
      <c r="AL219" s="2">
        <f t="shared" si="456"/>
        <v>0</v>
      </c>
      <c r="AM219" s="2">
        <f t="shared" si="456"/>
        <v>0</v>
      </c>
      <c r="AN219" s="2">
        <f t="shared" si="456"/>
        <v>0</v>
      </c>
      <c r="AO219" s="2">
        <f t="shared" si="456"/>
        <v>0</v>
      </c>
      <c r="AP219" s="2">
        <f t="shared" si="456"/>
        <v>17</v>
      </c>
      <c r="AQ219" s="2">
        <f t="shared" si="456"/>
        <v>17</v>
      </c>
      <c r="AR219" s="2">
        <f t="shared" si="456"/>
        <v>17</v>
      </c>
      <c r="AS219" s="2">
        <f t="shared" si="456"/>
        <v>17</v>
      </c>
      <c r="AT219" s="2">
        <f t="shared" si="456"/>
        <v>17</v>
      </c>
      <c r="AU219" s="2">
        <f t="shared" si="456"/>
        <v>17</v>
      </c>
      <c r="AV219" s="2">
        <f t="shared" si="456"/>
        <v>18</v>
      </c>
      <c r="AW219" s="2">
        <f t="shared" si="456"/>
        <v>17</v>
      </c>
      <c r="AX219" s="2">
        <f t="shared" si="456"/>
        <v>18</v>
      </c>
      <c r="AY219" s="2">
        <f t="shared" si="456"/>
        <v>18</v>
      </c>
      <c r="AZ219" s="2">
        <f t="shared" si="456"/>
        <v>17</v>
      </c>
      <c r="BA219" s="2">
        <f t="shared" si="456"/>
        <v>0</v>
      </c>
      <c r="BB219" s="2">
        <f t="shared" si="456"/>
        <v>0</v>
      </c>
      <c r="BC219" s="2">
        <f t="shared" si="456"/>
        <v>0</v>
      </c>
      <c r="BD219" s="2">
        <f t="shared" si="456"/>
        <v>0</v>
      </c>
      <c r="BE219" s="2">
        <f t="shared" si="456"/>
        <v>0</v>
      </c>
      <c r="BF219" s="2">
        <f t="shared" si="456"/>
        <v>0</v>
      </c>
      <c r="BG219" s="2">
        <f t="shared" si="456"/>
        <v>0</v>
      </c>
      <c r="BH219" s="2">
        <f t="shared" si="456"/>
        <v>0</v>
      </c>
      <c r="BI219" s="2">
        <f t="shared" si="456"/>
        <v>0</v>
      </c>
      <c r="BJ219" s="2">
        <f t="shared" si="456"/>
        <v>0</v>
      </c>
      <c r="BN219" s="2">
        <f>IF(BN218=1, IF(BN199&gt;0.5, 17, 18), 0)</f>
        <v>17</v>
      </c>
    </row>
    <row r="220" spans="1:66">
      <c r="A220" s="47" t="s">
        <v>28</v>
      </c>
      <c r="B220" s="54">
        <f t="shared" ref="B220:T220" si="457">IF(B213=1, IF(B200&gt;6.25, IF(B200&lt;=6.5, 1, 0), 0), 0)</f>
        <v>0</v>
      </c>
      <c r="C220" s="2">
        <f t="shared" si="457"/>
        <v>0</v>
      </c>
      <c r="D220" s="2">
        <f t="shared" si="457"/>
        <v>0</v>
      </c>
      <c r="E220" s="2">
        <f t="shared" si="457"/>
        <v>0</v>
      </c>
      <c r="F220" s="2">
        <f t="shared" si="457"/>
        <v>0</v>
      </c>
      <c r="G220" s="2">
        <f t="shared" si="457"/>
        <v>0</v>
      </c>
      <c r="H220" s="2">
        <f t="shared" si="457"/>
        <v>0</v>
      </c>
      <c r="I220" s="2">
        <f t="shared" si="457"/>
        <v>0</v>
      </c>
      <c r="J220" s="2">
        <f t="shared" si="457"/>
        <v>0</v>
      </c>
      <c r="K220" s="54">
        <f t="shared" si="457"/>
        <v>0</v>
      </c>
      <c r="L220" s="2">
        <f t="shared" si="457"/>
        <v>0</v>
      </c>
      <c r="M220" s="2">
        <f t="shared" si="457"/>
        <v>0</v>
      </c>
      <c r="N220" s="2">
        <f t="shared" si="457"/>
        <v>0</v>
      </c>
      <c r="O220" s="2">
        <f t="shared" si="457"/>
        <v>0</v>
      </c>
      <c r="P220" s="2">
        <f t="shared" si="457"/>
        <v>0</v>
      </c>
      <c r="Q220" s="2">
        <f t="shared" si="457"/>
        <v>0</v>
      </c>
      <c r="R220" s="2">
        <f t="shared" si="457"/>
        <v>0</v>
      </c>
      <c r="S220" s="2">
        <f t="shared" si="457"/>
        <v>0</v>
      </c>
      <c r="T220" s="2">
        <f t="shared" si="457"/>
        <v>0</v>
      </c>
      <c r="U220" s="2">
        <f t="shared" ref="U220:AI220" si="458">IF(U213=1, IF(U200&gt;6.25, IF(U200&lt;=6.5, 1, 0), 0), 0)</f>
        <v>0</v>
      </c>
      <c r="V220" s="2">
        <f t="shared" si="458"/>
        <v>0</v>
      </c>
      <c r="W220" s="2">
        <f t="shared" si="458"/>
        <v>0</v>
      </c>
      <c r="X220" s="2">
        <f t="shared" si="458"/>
        <v>0</v>
      </c>
      <c r="Y220" s="2">
        <f t="shared" si="458"/>
        <v>0</v>
      </c>
      <c r="Z220" s="2">
        <f t="shared" si="458"/>
        <v>0</v>
      </c>
      <c r="AA220" s="2">
        <f t="shared" si="458"/>
        <v>0</v>
      </c>
      <c r="AB220" s="2">
        <f t="shared" si="458"/>
        <v>0</v>
      </c>
      <c r="AC220" s="2">
        <f t="shared" si="458"/>
        <v>0</v>
      </c>
      <c r="AD220" s="2">
        <f t="shared" si="458"/>
        <v>0</v>
      </c>
      <c r="AE220" s="2">
        <f t="shared" si="458"/>
        <v>0</v>
      </c>
      <c r="AF220" s="2">
        <f t="shared" si="458"/>
        <v>0</v>
      </c>
      <c r="AG220" s="2">
        <f t="shared" si="458"/>
        <v>0</v>
      </c>
      <c r="AH220" s="2">
        <f t="shared" si="458"/>
        <v>0</v>
      </c>
      <c r="AI220" s="2">
        <f t="shared" si="458"/>
        <v>0</v>
      </c>
      <c r="AJ220" s="2">
        <f t="shared" ref="AJ220:BJ220" si="459">IF(AJ213=1, IF(AJ200&gt;6.25, IF(AJ200&lt;=6.5, 1, 0), 0), 0)</f>
        <v>0</v>
      </c>
      <c r="AK220" s="2">
        <f t="shared" si="459"/>
        <v>0</v>
      </c>
      <c r="AL220" s="2">
        <f t="shared" si="459"/>
        <v>0</v>
      </c>
      <c r="AM220" s="2">
        <f t="shared" si="459"/>
        <v>0</v>
      </c>
      <c r="AN220" s="2">
        <f t="shared" si="459"/>
        <v>0</v>
      </c>
      <c r="AO220" s="2">
        <f t="shared" si="459"/>
        <v>0</v>
      </c>
      <c r="AP220" s="2">
        <f t="shared" si="459"/>
        <v>0</v>
      </c>
      <c r="AQ220" s="2">
        <f t="shared" si="459"/>
        <v>0</v>
      </c>
      <c r="AR220" s="2">
        <f t="shared" si="459"/>
        <v>0</v>
      </c>
      <c r="AS220" s="2">
        <f t="shared" si="459"/>
        <v>0</v>
      </c>
      <c r="AT220" s="2">
        <f t="shared" si="459"/>
        <v>0</v>
      </c>
      <c r="AU220" s="2">
        <f t="shared" si="459"/>
        <v>0</v>
      </c>
      <c r="AV220" s="2">
        <f t="shared" si="459"/>
        <v>0</v>
      </c>
      <c r="AW220" s="2">
        <f t="shared" si="459"/>
        <v>0</v>
      </c>
      <c r="AX220" s="2">
        <f t="shared" si="459"/>
        <v>0</v>
      </c>
      <c r="AY220" s="2">
        <f t="shared" si="459"/>
        <v>0</v>
      </c>
      <c r="AZ220" s="2">
        <f t="shared" si="459"/>
        <v>0</v>
      </c>
      <c r="BA220" s="2">
        <f t="shared" si="459"/>
        <v>0</v>
      </c>
      <c r="BB220" s="2">
        <f t="shared" si="459"/>
        <v>0</v>
      </c>
      <c r="BC220" s="2">
        <f t="shared" si="459"/>
        <v>0</v>
      </c>
      <c r="BD220" s="2">
        <f t="shared" si="459"/>
        <v>0</v>
      </c>
      <c r="BE220" s="2">
        <f t="shared" si="459"/>
        <v>0</v>
      </c>
      <c r="BF220" s="2">
        <f t="shared" si="459"/>
        <v>0</v>
      </c>
      <c r="BG220" s="2">
        <f t="shared" si="459"/>
        <v>0</v>
      </c>
      <c r="BH220" s="2">
        <f t="shared" si="459"/>
        <v>0</v>
      </c>
      <c r="BI220" s="2">
        <f t="shared" si="459"/>
        <v>0</v>
      </c>
      <c r="BJ220" s="2">
        <f t="shared" si="459"/>
        <v>0</v>
      </c>
      <c r="BN220" s="2">
        <f>IF(BN213=1, IF(BN200&gt;6.25, IF(BN200&lt;=6.5, 1, 0), 0), 0)</f>
        <v>0</v>
      </c>
    </row>
    <row r="221" spans="1:66">
      <c r="A221" s="37" t="s">
        <v>29</v>
      </c>
      <c r="B221" s="54">
        <f t="shared" ref="B221:T221" si="460">IF(B220=1, IF(B199&gt;0.5, 19, 20), 0)</f>
        <v>0</v>
      </c>
      <c r="C221" s="2">
        <f t="shared" si="460"/>
        <v>0</v>
      </c>
      <c r="D221" s="2">
        <f t="shared" si="460"/>
        <v>0</v>
      </c>
      <c r="E221" s="2">
        <f t="shared" si="460"/>
        <v>0</v>
      </c>
      <c r="F221" s="2">
        <f t="shared" si="460"/>
        <v>0</v>
      </c>
      <c r="G221" s="2">
        <f t="shared" si="460"/>
        <v>0</v>
      </c>
      <c r="H221" s="2">
        <f t="shared" si="460"/>
        <v>0</v>
      </c>
      <c r="I221" s="2">
        <f t="shared" si="460"/>
        <v>0</v>
      </c>
      <c r="J221" s="2">
        <f t="shared" si="460"/>
        <v>0</v>
      </c>
      <c r="K221" s="54">
        <f t="shared" si="460"/>
        <v>0</v>
      </c>
      <c r="L221" s="2">
        <f t="shared" si="460"/>
        <v>0</v>
      </c>
      <c r="M221" s="2">
        <f t="shared" si="460"/>
        <v>0</v>
      </c>
      <c r="N221" s="2">
        <f t="shared" si="460"/>
        <v>0</v>
      </c>
      <c r="O221" s="2">
        <f t="shared" si="460"/>
        <v>0</v>
      </c>
      <c r="P221" s="2">
        <f t="shared" si="460"/>
        <v>0</v>
      </c>
      <c r="Q221" s="2">
        <f t="shared" si="460"/>
        <v>0</v>
      </c>
      <c r="R221" s="2">
        <f t="shared" si="460"/>
        <v>0</v>
      </c>
      <c r="S221" s="2">
        <f t="shared" si="460"/>
        <v>0</v>
      </c>
      <c r="T221" s="2">
        <f t="shared" si="460"/>
        <v>0</v>
      </c>
      <c r="U221" s="2">
        <f t="shared" ref="U221:AI221" si="461">IF(U220=1, IF(U199&gt;0.5, 19, 20), 0)</f>
        <v>0</v>
      </c>
      <c r="V221" s="2">
        <f t="shared" si="461"/>
        <v>0</v>
      </c>
      <c r="W221" s="2">
        <f t="shared" si="461"/>
        <v>0</v>
      </c>
      <c r="X221" s="2">
        <f t="shared" si="461"/>
        <v>0</v>
      </c>
      <c r="Y221" s="2">
        <f t="shared" si="461"/>
        <v>0</v>
      </c>
      <c r="Z221" s="2">
        <f t="shared" si="461"/>
        <v>0</v>
      </c>
      <c r="AA221" s="2">
        <f t="shared" si="461"/>
        <v>0</v>
      </c>
      <c r="AB221" s="2">
        <f t="shared" si="461"/>
        <v>0</v>
      </c>
      <c r="AC221" s="2">
        <f t="shared" si="461"/>
        <v>0</v>
      </c>
      <c r="AD221" s="2">
        <f t="shared" si="461"/>
        <v>0</v>
      </c>
      <c r="AE221" s="2">
        <f t="shared" si="461"/>
        <v>0</v>
      </c>
      <c r="AF221" s="2">
        <f t="shared" si="461"/>
        <v>0</v>
      </c>
      <c r="AG221" s="2">
        <f t="shared" si="461"/>
        <v>0</v>
      </c>
      <c r="AH221" s="2">
        <f t="shared" si="461"/>
        <v>0</v>
      </c>
      <c r="AI221" s="2">
        <f t="shared" si="461"/>
        <v>0</v>
      </c>
      <c r="AJ221" s="2">
        <f t="shared" ref="AJ221:BJ221" si="462">IF(AJ220=1, IF(AJ199&gt;0.5, 19, 20), 0)</f>
        <v>0</v>
      </c>
      <c r="AK221" s="2">
        <f t="shared" si="462"/>
        <v>0</v>
      </c>
      <c r="AL221" s="2">
        <f t="shared" si="462"/>
        <v>0</v>
      </c>
      <c r="AM221" s="2">
        <f t="shared" si="462"/>
        <v>0</v>
      </c>
      <c r="AN221" s="2">
        <f t="shared" si="462"/>
        <v>0</v>
      </c>
      <c r="AO221" s="2">
        <f t="shared" si="462"/>
        <v>0</v>
      </c>
      <c r="AP221" s="2">
        <f t="shared" si="462"/>
        <v>0</v>
      </c>
      <c r="AQ221" s="2">
        <f t="shared" si="462"/>
        <v>0</v>
      </c>
      <c r="AR221" s="2">
        <f t="shared" si="462"/>
        <v>0</v>
      </c>
      <c r="AS221" s="2">
        <f t="shared" si="462"/>
        <v>0</v>
      </c>
      <c r="AT221" s="2">
        <f t="shared" si="462"/>
        <v>0</v>
      </c>
      <c r="AU221" s="2">
        <f t="shared" si="462"/>
        <v>0</v>
      </c>
      <c r="AV221" s="2">
        <f t="shared" si="462"/>
        <v>0</v>
      </c>
      <c r="AW221" s="2">
        <f t="shared" si="462"/>
        <v>0</v>
      </c>
      <c r="AX221" s="2">
        <f t="shared" si="462"/>
        <v>0</v>
      </c>
      <c r="AY221" s="2">
        <f t="shared" si="462"/>
        <v>0</v>
      </c>
      <c r="AZ221" s="2">
        <f t="shared" si="462"/>
        <v>0</v>
      </c>
      <c r="BA221" s="2">
        <f t="shared" si="462"/>
        <v>0</v>
      </c>
      <c r="BB221" s="2">
        <f t="shared" si="462"/>
        <v>0</v>
      </c>
      <c r="BC221" s="2">
        <f t="shared" si="462"/>
        <v>0</v>
      </c>
      <c r="BD221" s="2">
        <f t="shared" si="462"/>
        <v>0</v>
      </c>
      <c r="BE221" s="2">
        <f t="shared" si="462"/>
        <v>0</v>
      </c>
      <c r="BF221" s="2">
        <f t="shared" si="462"/>
        <v>0</v>
      </c>
      <c r="BG221" s="2">
        <f t="shared" si="462"/>
        <v>0</v>
      </c>
      <c r="BH221" s="2">
        <f t="shared" si="462"/>
        <v>0</v>
      </c>
      <c r="BI221" s="2">
        <f t="shared" si="462"/>
        <v>0</v>
      </c>
      <c r="BJ221" s="2">
        <f t="shared" si="462"/>
        <v>0</v>
      </c>
      <c r="BN221" s="2">
        <f>IF(BN220=1, IF(BN199&gt;0.5, 19, 20), 0)</f>
        <v>0</v>
      </c>
    </row>
    <row r="222" spans="1:66">
      <c r="A222" s="47" t="s">
        <v>30</v>
      </c>
      <c r="B222" s="54">
        <f t="shared" ref="B222:T222" si="463">IF(B213=1, IF(B200&lt;=6.25, 1, 0), 0)</f>
        <v>0</v>
      </c>
      <c r="C222" s="2">
        <f t="shared" si="463"/>
        <v>0</v>
      </c>
      <c r="D222" s="2">
        <f t="shared" si="463"/>
        <v>0</v>
      </c>
      <c r="E222" s="2">
        <f t="shared" si="463"/>
        <v>0</v>
      </c>
      <c r="F222" s="2">
        <f t="shared" si="463"/>
        <v>0</v>
      </c>
      <c r="G222" s="2">
        <f t="shared" si="463"/>
        <v>0</v>
      </c>
      <c r="H222" s="2">
        <f t="shared" si="463"/>
        <v>0</v>
      </c>
      <c r="I222" s="2">
        <f t="shared" si="463"/>
        <v>0</v>
      </c>
      <c r="J222" s="2">
        <f t="shared" si="463"/>
        <v>0</v>
      </c>
      <c r="K222" s="54">
        <f t="shared" si="463"/>
        <v>0</v>
      </c>
      <c r="L222" s="2">
        <f t="shared" si="463"/>
        <v>0</v>
      </c>
      <c r="M222" s="2">
        <f t="shared" si="463"/>
        <v>0</v>
      </c>
      <c r="N222" s="2">
        <f t="shared" si="463"/>
        <v>0</v>
      </c>
      <c r="O222" s="2">
        <f t="shared" si="463"/>
        <v>0</v>
      </c>
      <c r="P222" s="2">
        <f t="shared" si="463"/>
        <v>0</v>
      </c>
      <c r="Q222" s="2">
        <f t="shared" si="463"/>
        <v>0</v>
      </c>
      <c r="R222" s="2">
        <f t="shared" si="463"/>
        <v>0</v>
      </c>
      <c r="S222" s="2">
        <f t="shared" si="463"/>
        <v>0</v>
      </c>
      <c r="T222" s="2">
        <f t="shared" si="463"/>
        <v>0</v>
      </c>
      <c r="U222" s="2">
        <f t="shared" ref="U222:AI222" si="464">IF(U213=1, IF(U200&lt;=6.25, 1, 0), 0)</f>
        <v>0</v>
      </c>
      <c r="V222" s="2">
        <f t="shared" si="464"/>
        <v>0</v>
      </c>
      <c r="W222" s="2">
        <f t="shared" si="464"/>
        <v>0</v>
      </c>
      <c r="X222" s="2">
        <f t="shared" si="464"/>
        <v>0</v>
      </c>
      <c r="Y222" s="2">
        <f t="shared" si="464"/>
        <v>1</v>
      </c>
      <c r="Z222" s="2">
        <f t="shared" si="464"/>
        <v>0</v>
      </c>
      <c r="AA222" s="2">
        <f t="shared" si="464"/>
        <v>0</v>
      </c>
      <c r="AB222" s="2">
        <f t="shared" si="464"/>
        <v>0</v>
      </c>
      <c r="AC222" s="2">
        <f t="shared" si="464"/>
        <v>0</v>
      </c>
      <c r="AD222" s="2">
        <f t="shared" si="464"/>
        <v>0</v>
      </c>
      <c r="AE222" s="2">
        <f t="shared" si="464"/>
        <v>0</v>
      </c>
      <c r="AF222" s="2">
        <f t="shared" si="464"/>
        <v>0</v>
      </c>
      <c r="AG222" s="2">
        <f t="shared" si="464"/>
        <v>0</v>
      </c>
      <c r="AH222" s="2">
        <f t="shared" si="464"/>
        <v>0</v>
      </c>
      <c r="AI222" s="2">
        <f t="shared" si="464"/>
        <v>0</v>
      </c>
      <c r="AJ222" s="2">
        <f t="shared" ref="AJ222:BJ222" si="465">IF(AJ213=1, IF(AJ200&lt;=6.25, 1, 0), 0)</f>
        <v>0</v>
      </c>
      <c r="AK222" s="2">
        <f t="shared" si="465"/>
        <v>0</v>
      </c>
      <c r="AL222" s="2">
        <f t="shared" si="465"/>
        <v>0</v>
      </c>
      <c r="AM222" s="2">
        <f t="shared" si="465"/>
        <v>0</v>
      </c>
      <c r="AN222" s="2">
        <f t="shared" si="465"/>
        <v>0</v>
      </c>
      <c r="AO222" s="2">
        <f t="shared" si="465"/>
        <v>0</v>
      </c>
      <c r="AP222" s="2">
        <f t="shared" si="465"/>
        <v>0</v>
      </c>
      <c r="AQ222" s="2">
        <f t="shared" si="465"/>
        <v>0</v>
      </c>
      <c r="AR222" s="2">
        <f t="shared" si="465"/>
        <v>0</v>
      </c>
      <c r="AS222" s="2">
        <f t="shared" si="465"/>
        <v>0</v>
      </c>
      <c r="AT222" s="2">
        <f t="shared" si="465"/>
        <v>0</v>
      </c>
      <c r="AU222" s="2">
        <f t="shared" si="465"/>
        <v>0</v>
      </c>
      <c r="AV222" s="2">
        <f t="shared" si="465"/>
        <v>0</v>
      </c>
      <c r="AW222" s="2">
        <f t="shared" si="465"/>
        <v>0</v>
      </c>
      <c r="AX222" s="2">
        <f t="shared" si="465"/>
        <v>0</v>
      </c>
      <c r="AY222" s="2">
        <f t="shared" si="465"/>
        <v>0</v>
      </c>
      <c r="AZ222" s="2">
        <f t="shared" si="465"/>
        <v>0</v>
      </c>
      <c r="BA222" s="2">
        <f t="shared" si="465"/>
        <v>0</v>
      </c>
      <c r="BB222" s="2">
        <f t="shared" si="465"/>
        <v>0</v>
      </c>
      <c r="BC222" s="2">
        <f t="shared" si="465"/>
        <v>0</v>
      </c>
      <c r="BD222" s="2">
        <f t="shared" si="465"/>
        <v>0</v>
      </c>
      <c r="BE222" s="2">
        <f t="shared" si="465"/>
        <v>0</v>
      </c>
      <c r="BF222" s="2">
        <f t="shared" si="465"/>
        <v>0</v>
      </c>
      <c r="BG222" s="2">
        <f t="shared" si="465"/>
        <v>0</v>
      </c>
      <c r="BH222" s="2">
        <f t="shared" si="465"/>
        <v>0</v>
      </c>
      <c r="BI222" s="2">
        <f t="shared" si="465"/>
        <v>0</v>
      </c>
      <c r="BJ222" s="2">
        <f t="shared" si="465"/>
        <v>0</v>
      </c>
      <c r="BN222" s="2">
        <f>IF(BN213=1, IF(BN200&lt;=6.25, 1, 0), 0)</f>
        <v>0</v>
      </c>
    </row>
    <row r="223" spans="1:66">
      <c r="A223" s="37" t="s">
        <v>31</v>
      </c>
      <c r="B223" s="54">
        <f t="shared" ref="B223:T223" si="466">IF(B222=1, IF(B199&gt;0.5, 21, 22), 0)</f>
        <v>0</v>
      </c>
      <c r="C223" s="2">
        <f t="shared" si="466"/>
        <v>0</v>
      </c>
      <c r="D223" s="2">
        <f t="shared" si="466"/>
        <v>0</v>
      </c>
      <c r="E223" s="2">
        <f t="shared" si="466"/>
        <v>0</v>
      </c>
      <c r="F223" s="2">
        <f t="shared" si="466"/>
        <v>0</v>
      </c>
      <c r="G223" s="2">
        <f t="shared" si="466"/>
        <v>0</v>
      </c>
      <c r="H223" s="2">
        <f t="shared" si="466"/>
        <v>0</v>
      </c>
      <c r="I223" s="2">
        <f t="shared" si="466"/>
        <v>0</v>
      </c>
      <c r="J223" s="2">
        <f t="shared" si="466"/>
        <v>0</v>
      </c>
      <c r="K223" s="54">
        <f t="shared" si="466"/>
        <v>0</v>
      </c>
      <c r="L223" s="2">
        <f t="shared" si="466"/>
        <v>0</v>
      </c>
      <c r="M223" s="2">
        <f t="shared" si="466"/>
        <v>0</v>
      </c>
      <c r="N223" s="2">
        <f t="shared" si="466"/>
        <v>0</v>
      </c>
      <c r="O223" s="2">
        <f t="shared" si="466"/>
        <v>0</v>
      </c>
      <c r="P223" s="2">
        <f t="shared" si="466"/>
        <v>0</v>
      </c>
      <c r="Q223" s="2">
        <f t="shared" si="466"/>
        <v>0</v>
      </c>
      <c r="R223" s="2">
        <f t="shared" si="466"/>
        <v>0</v>
      </c>
      <c r="S223" s="2">
        <f t="shared" si="466"/>
        <v>0</v>
      </c>
      <c r="T223" s="2">
        <f t="shared" si="466"/>
        <v>0</v>
      </c>
      <c r="U223" s="2">
        <f t="shared" ref="U223:AI223" si="467">IF(U222=1, IF(U199&gt;0.5, 21, 22), 0)</f>
        <v>0</v>
      </c>
      <c r="V223" s="2">
        <f t="shared" si="467"/>
        <v>0</v>
      </c>
      <c r="W223" s="2">
        <f t="shared" si="467"/>
        <v>0</v>
      </c>
      <c r="X223" s="2">
        <f t="shared" si="467"/>
        <v>0</v>
      </c>
      <c r="Y223" s="2">
        <f t="shared" si="467"/>
        <v>21</v>
      </c>
      <c r="Z223" s="2">
        <f t="shared" si="467"/>
        <v>0</v>
      </c>
      <c r="AA223" s="2">
        <f t="shared" si="467"/>
        <v>0</v>
      </c>
      <c r="AB223" s="2">
        <f t="shared" si="467"/>
        <v>0</v>
      </c>
      <c r="AC223" s="2">
        <f t="shared" si="467"/>
        <v>0</v>
      </c>
      <c r="AD223" s="2">
        <f t="shared" si="467"/>
        <v>0</v>
      </c>
      <c r="AE223" s="2">
        <f t="shared" si="467"/>
        <v>0</v>
      </c>
      <c r="AF223" s="2">
        <f t="shared" si="467"/>
        <v>0</v>
      </c>
      <c r="AG223" s="2">
        <f t="shared" si="467"/>
        <v>0</v>
      </c>
      <c r="AH223" s="2">
        <f t="shared" si="467"/>
        <v>0</v>
      </c>
      <c r="AI223" s="2">
        <f t="shared" si="467"/>
        <v>0</v>
      </c>
      <c r="AJ223" s="2">
        <f t="shared" ref="AJ223:BJ223" si="468">IF(AJ222=1, IF(AJ199&gt;0.5, 21, 22), 0)</f>
        <v>0</v>
      </c>
      <c r="AK223" s="2">
        <f t="shared" si="468"/>
        <v>0</v>
      </c>
      <c r="AL223" s="2">
        <f t="shared" si="468"/>
        <v>0</v>
      </c>
      <c r="AM223" s="2">
        <f t="shared" si="468"/>
        <v>0</v>
      </c>
      <c r="AN223" s="2">
        <f t="shared" si="468"/>
        <v>0</v>
      </c>
      <c r="AO223" s="2">
        <f t="shared" si="468"/>
        <v>0</v>
      </c>
      <c r="AP223" s="2">
        <f t="shared" si="468"/>
        <v>0</v>
      </c>
      <c r="AQ223" s="2">
        <f t="shared" si="468"/>
        <v>0</v>
      </c>
      <c r="AR223" s="2">
        <f t="shared" si="468"/>
        <v>0</v>
      </c>
      <c r="AS223" s="2">
        <f t="shared" si="468"/>
        <v>0</v>
      </c>
      <c r="AT223" s="2">
        <f t="shared" si="468"/>
        <v>0</v>
      </c>
      <c r="AU223" s="2">
        <f t="shared" si="468"/>
        <v>0</v>
      </c>
      <c r="AV223" s="2">
        <f t="shared" si="468"/>
        <v>0</v>
      </c>
      <c r="AW223" s="2">
        <f t="shared" si="468"/>
        <v>0</v>
      </c>
      <c r="AX223" s="2">
        <f t="shared" si="468"/>
        <v>0</v>
      </c>
      <c r="AY223" s="2">
        <f t="shared" si="468"/>
        <v>0</v>
      </c>
      <c r="AZ223" s="2">
        <f t="shared" si="468"/>
        <v>0</v>
      </c>
      <c r="BA223" s="2">
        <f t="shared" si="468"/>
        <v>0</v>
      </c>
      <c r="BB223" s="2">
        <f t="shared" si="468"/>
        <v>0</v>
      </c>
      <c r="BC223" s="2">
        <f t="shared" si="468"/>
        <v>0</v>
      </c>
      <c r="BD223" s="2">
        <f t="shared" si="468"/>
        <v>0</v>
      </c>
      <c r="BE223" s="2">
        <f t="shared" si="468"/>
        <v>0</v>
      </c>
      <c r="BF223" s="2">
        <f t="shared" si="468"/>
        <v>0</v>
      </c>
      <c r="BG223" s="2">
        <f t="shared" si="468"/>
        <v>0</v>
      </c>
      <c r="BH223" s="2">
        <f t="shared" si="468"/>
        <v>0</v>
      </c>
      <c r="BI223" s="2">
        <f t="shared" si="468"/>
        <v>0</v>
      </c>
      <c r="BJ223" s="2">
        <f t="shared" si="468"/>
        <v>0</v>
      </c>
      <c r="BN223" s="2">
        <f>IF(BN222=1, IF(BN199&gt;0.5, 21, 22), 0)</f>
        <v>0</v>
      </c>
    </row>
    <row r="224" spans="1:66">
      <c r="A224" s="1" t="s">
        <v>45</v>
      </c>
      <c r="B224" s="54">
        <f t="shared" ref="B224:T224" si="469">B211+B213</f>
        <v>1</v>
      </c>
      <c r="C224" s="2">
        <f t="shared" si="469"/>
        <v>1</v>
      </c>
      <c r="D224" s="2">
        <f t="shared" si="469"/>
        <v>1</v>
      </c>
      <c r="E224" s="2">
        <f t="shared" si="469"/>
        <v>1</v>
      </c>
      <c r="F224" s="2">
        <f t="shared" si="469"/>
        <v>1</v>
      </c>
      <c r="G224" s="2">
        <f t="shared" si="469"/>
        <v>1</v>
      </c>
      <c r="H224" s="2">
        <f t="shared" si="469"/>
        <v>1</v>
      </c>
      <c r="I224" s="2">
        <f t="shared" si="469"/>
        <v>1</v>
      </c>
      <c r="J224" s="2">
        <f t="shared" si="469"/>
        <v>1</v>
      </c>
      <c r="K224" s="54">
        <f t="shared" si="469"/>
        <v>1</v>
      </c>
      <c r="L224" s="2">
        <f t="shared" si="469"/>
        <v>1</v>
      </c>
      <c r="M224" s="2">
        <f t="shared" si="469"/>
        <v>1</v>
      </c>
      <c r="N224" s="2">
        <f t="shared" si="469"/>
        <v>0</v>
      </c>
      <c r="O224" s="2">
        <f t="shared" si="469"/>
        <v>1</v>
      </c>
      <c r="P224" s="2">
        <f t="shared" si="469"/>
        <v>0</v>
      </c>
      <c r="Q224" s="2">
        <f t="shared" si="469"/>
        <v>1</v>
      </c>
      <c r="R224" s="2">
        <f t="shared" si="469"/>
        <v>0</v>
      </c>
      <c r="S224" s="2">
        <f t="shared" si="469"/>
        <v>0</v>
      </c>
      <c r="T224" s="2">
        <f t="shared" si="469"/>
        <v>0</v>
      </c>
      <c r="U224" s="2">
        <f t="shared" ref="U224:AI224" si="470">U211+U213</f>
        <v>0</v>
      </c>
      <c r="V224" s="2">
        <f t="shared" si="470"/>
        <v>0</v>
      </c>
      <c r="W224" s="2">
        <f t="shared" si="470"/>
        <v>1</v>
      </c>
      <c r="X224" s="2">
        <f t="shared" si="470"/>
        <v>0</v>
      </c>
      <c r="Y224" s="2">
        <f t="shared" si="470"/>
        <v>1</v>
      </c>
      <c r="Z224" s="2">
        <f t="shared" si="470"/>
        <v>1</v>
      </c>
      <c r="AA224" s="2">
        <f t="shared" si="470"/>
        <v>1</v>
      </c>
      <c r="AB224" s="2">
        <f t="shared" si="470"/>
        <v>0</v>
      </c>
      <c r="AC224" s="2">
        <f t="shared" si="470"/>
        <v>0</v>
      </c>
      <c r="AD224" s="2">
        <f t="shared" si="470"/>
        <v>0</v>
      </c>
      <c r="AE224" s="2">
        <f t="shared" si="470"/>
        <v>0</v>
      </c>
      <c r="AF224" s="2">
        <f t="shared" si="470"/>
        <v>0</v>
      </c>
      <c r="AG224" s="2">
        <f t="shared" si="470"/>
        <v>0</v>
      </c>
      <c r="AH224" s="2">
        <f t="shared" si="470"/>
        <v>0</v>
      </c>
      <c r="AI224" s="2">
        <f t="shared" si="470"/>
        <v>0</v>
      </c>
      <c r="AJ224" s="2">
        <f t="shared" ref="AJ224:BJ224" si="471">AJ211+AJ213</f>
        <v>0</v>
      </c>
      <c r="AK224" s="2">
        <f t="shared" si="471"/>
        <v>0</v>
      </c>
      <c r="AL224" s="2">
        <f t="shared" si="471"/>
        <v>0</v>
      </c>
      <c r="AM224" s="2">
        <f t="shared" si="471"/>
        <v>0</v>
      </c>
      <c r="AN224" s="2">
        <f t="shared" si="471"/>
        <v>0</v>
      </c>
      <c r="AO224" s="2">
        <f t="shared" si="471"/>
        <v>0</v>
      </c>
      <c r="AP224" s="2">
        <f t="shared" si="471"/>
        <v>1</v>
      </c>
      <c r="AQ224" s="2">
        <f t="shared" si="471"/>
        <v>1</v>
      </c>
      <c r="AR224" s="2">
        <f t="shared" si="471"/>
        <v>1</v>
      </c>
      <c r="AS224" s="2">
        <f t="shared" si="471"/>
        <v>1</v>
      </c>
      <c r="AT224" s="2">
        <f t="shared" si="471"/>
        <v>1</v>
      </c>
      <c r="AU224" s="2">
        <f t="shared" si="471"/>
        <v>1</v>
      </c>
      <c r="AV224" s="2">
        <f t="shared" si="471"/>
        <v>1</v>
      </c>
      <c r="AW224" s="2">
        <f t="shared" si="471"/>
        <v>1</v>
      </c>
      <c r="AX224" s="2">
        <f t="shared" si="471"/>
        <v>1</v>
      </c>
      <c r="AY224" s="2">
        <f t="shared" si="471"/>
        <v>1</v>
      </c>
      <c r="AZ224" s="2">
        <f t="shared" si="471"/>
        <v>1</v>
      </c>
      <c r="BA224" s="2">
        <f t="shared" si="471"/>
        <v>0</v>
      </c>
      <c r="BB224" s="2">
        <f t="shared" si="471"/>
        <v>0</v>
      </c>
      <c r="BC224" s="2">
        <f t="shared" si="471"/>
        <v>0</v>
      </c>
      <c r="BD224" s="2">
        <f t="shared" si="471"/>
        <v>0</v>
      </c>
      <c r="BE224" s="2">
        <f t="shared" si="471"/>
        <v>0</v>
      </c>
      <c r="BF224" s="2">
        <f t="shared" si="471"/>
        <v>0</v>
      </c>
      <c r="BG224" s="2">
        <f t="shared" si="471"/>
        <v>0</v>
      </c>
      <c r="BH224" s="2">
        <f t="shared" si="471"/>
        <v>0</v>
      </c>
      <c r="BI224" s="2">
        <f t="shared" si="471"/>
        <v>0</v>
      </c>
      <c r="BJ224" s="2">
        <f t="shared" si="471"/>
        <v>0</v>
      </c>
      <c r="BN224" s="2">
        <f>BN211+BN213</f>
        <v>1</v>
      </c>
    </row>
    <row r="225" spans="1:66">
      <c r="A225" s="38" t="s">
        <v>33</v>
      </c>
      <c r="B225" s="54">
        <f t="shared" ref="B225:T225" si="472">IF(B210=1, IF(B224=0, IF(B202&lt;=0.5, 1, 0), 0), 0)</f>
        <v>0</v>
      </c>
      <c r="C225" s="2">
        <f t="shared" si="472"/>
        <v>0</v>
      </c>
      <c r="D225" s="2">
        <f t="shared" si="472"/>
        <v>0</v>
      </c>
      <c r="E225" s="2">
        <f t="shared" si="472"/>
        <v>0</v>
      </c>
      <c r="F225" s="2">
        <f t="shared" si="472"/>
        <v>0</v>
      </c>
      <c r="G225" s="2">
        <f t="shared" si="472"/>
        <v>0</v>
      </c>
      <c r="H225" s="2">
        <f t="shared" si="472"/>
        <v>0</v>
      </c>
      <c r="I225" s="2">
        <f t="shared" si="472"/>
        <v>0</v>
      </c>
      <c r="J225" s="2">
        <f t="shared" si="472"/>
        <v>0</v>
      </c>
      <c r="K225" s="54">
        <f t="shared" si="472"/>
        <v>0</v>
      </c>
      <c r="L225" s="2">
        <f t="shared" si="472"/>
        <v>0</v>
      </c>
      <c r="M225" s="2">
        <f t="shared" si="472"/>
        <v>0</v>
      </c>
      <c r="N225" s="2">
        <f t="shared" si="472"/>
        <v>1</v>
      </c>
      <c r="O225" s="2">
        <f t="shared" si="472"/>
        <v>0</v>
      </c>
      <c r="P225" s="2">
        <f t="shared" si="472"/>
        <v>1</v>
      </c>
      <c r="Q225" s="2">
        <f t="shared" si="472"/>
        <v>0</v>
      </c>
      <c r="R225" s="2">
        <f t="shared" si="472"/>
        <v>1</v>
      </c>
      <c r="S225" s="2">
        <f t="shared" si="472"/>
        <v>1</v>
      </c>
      <c r="T225" s="2">
        <f t="shared" si="472"/>
        <v>1</v>
      </c>
      <c r="U225" s="2">
        <f t="shared" ref="U225:AI225" si="473">IF(U210=1, IF(U224=0, IF(U202&lt;=0.5, 1, 0), 0), 0)</f>
        <v>1</v>
      </c>
      <c r="V225" s="2">
        <f t="shared" si="473"/>
        <v>1</v>
      </c>
      <c r="W225" s="2">
        <f t="shared" si="473"/>
        <v>0</v>
      </c>
      <c r="X225" s="2">
        <f t="shared" si="473"/>
        <v>1</v>
      </c>
      <c r="Y225" s="2">
        <f t="shared" si="473"/>
        <v>0</v>
      </c>
      <c r="Z225" s="2">
        <f t="shared" si="473"/>
        <v>0</v>
      </c>
      <c r="AA225" s="2">
        <f t="shared" si="473"/>
        <v>0</v>
      </c>
      <c r="AB225" s="2">
        <f t="shared" si="473"/>
        <v>1</v>
      </c>
      <c r="AC225" s="2">
        <f t="shared" si="473"/>
        <v>1</v>
      </c>
      <c r="AD225" s="2">
        <f t="shared" si="473"/>
        <v>1</v>
      </c>
      <c r="AE225" s="2">
        <f t="shared" si="473"/>
        <v>1</v>
      </c>
      <c r="AF225" s="2">
        <f t="shared" si="473"/>
        <v>1</v>
      </c>
      <c r="AG225" s="2">
        <f t="shared" si="473"/>
        <v>1</v>
      </c>
      <c r="AH225" s="2">
        <f t="shared" si="473"/>
        <v>1</v>
      </c>
      <c r="AI225" s="2">
        <f t="shared" si="473"/>
        <v>1</v>
      </c>
      <c r="AJ225" s="2">
        <f t="shared" ref="AJ225:BJ225" si="474">IF(AJ210=1, IF(AJ224=0, IF(AJ202&lt;=0.5, 1, 0), 0), 0)</f>
        <v>1</v>
      </c>
      <c r="AK225" s="2">
        <f t="shared" si="474"/>
        <v>1</v>
      </c>
      <c r="AL225" s="2">
        <f t="shared" si="474"/>
        <v>1</v>
      </c>
      <c r="AM225" s="2">
        <f t="shared" si="474"/>
        <v>1</v>
      </c>
      <c r="AN225" s="2">
        <f t="shared" si="474"/>
        <v>1</v>
      </c>
      <c r="AO225" s="2">
        <f t="shared" si="474"/>
        <v>1</v>
      </c>
      <c r="AP225" s="2">
        <f t="shared" si="474"/>
        <v>0</v>
      </c>
      <c r="AQ225" s="2">
        <f t="shared" si="474"/>
        <v>0</v>
      </c>
      <c r="AR225" s="2">
        <f t="shared" si="474"/>
        <v>0</v>
      </c>
      <c r="AS225" s="2">
        <f t="shared" si="474"/>
        <v>0</v>
      </c>
      <c r="AT225" s="2">
        <f t="shared" si="474"/>
        <v>0</v>
      </c>
      <c r="AU225" s="2">
        <f t="shared" si="474"/>
        <v>0</v>
      </c>
      <c r="AV225" s="2">
        <f t="shared" si="474"/>
        <v>0</v>
      </c>
      <c r="AW225" s="2">
        <f t="shared" si="474"/>
        <v>0</v>
      </c>
      <c r="AX225" s="2">
        <f t="shared" si="474"/>
        <v>0</v>
      </c>
      <c r="AY225" s="2">
        <f t="shared" si="474"/>
        <v>0</v>
      </c>
      <c r="AZ225" s="2">
        <f t="shared" si="474"/>
        <v>0</v>
      </c>
      <c r="BA225" s="2">
        <f t="shared" si="474"/>
        <v>1</v>
      </c>
      <c r="BB225" s="2">
        <f t="shared" si="474"/>
        <v>1</v>
      </c>
      <c r="BC225" s="2">
        <f t="shared" si="474"/>
        <v>1</v>
      </c>
      <c r="BD225" s="2">
        <f t="shared" si="474"/>
        <v>1</v>
      </c>
      <c r="BE225" s="2">
        <f t="shared" si="474"/>
        <v>1</v>
      </c>
      <c r="BF225" s="2">
        <f t="shared" si="474"/>
        <v>1</v>
      </c>
      <c r="BG225" s="2">
        <f t="shared" si="474"/>
        <v>1</v>
      </c>
      <c r="BH225" s="2">
        <f t="shared" si="474"/>
        <v>1</v>
      </c>
      <c r="BI225" s="2">
        <f t="shared" si="474"/>
        <v>1</v>
      </c>
      <c r="BJ225" s="2">
        <f t="shared" si="474"/>
        <v>1</v>
      </c>
      <c r="BN225" s="2">
        <f>IF(BN210=1, IF(BN224=0, IF(BN202&lt;=0.5, 1, 0), 0), 0)</f>
        <v>0</v>
      </c>
    </row>
    <row r="226" spans="1:66">
      <c r="A226" s="47" t="s">
        <v>34</v>
      </c>
      <c r="B226" s="54">
        <f t="shared" ref="B226:T226" si="475">IF(B225=1, IF(B200&gt;7.25, 1, 0), 0)</f>
        <v>0</v>
      </c>
      <c r="C226" s="2">
        <f t="shared" si="475"/>
        <v>0</v>
      </c>
      <c r="D226" s="2">
        <f t="shared" si="475"/>
        <v>0</v>
      </c>
      <c r="E226" s="2">
        <f t="shared" si="475"/>
        <v>0</v>
      </c>
      <c r="F226" s="2">
        <f t="shared" si="475"/>
        <v>0</v>
      </c>
      <c r="G226" s="2">
        <f t="shared" si="475"/>
        <v>0</v>
      </c>
      <c r="H226" s="2">
        <f t="shared" si="475"/>
        <v>0</v>
      </c>
      <c r="I226" s="2">
        <f t="shared" si="475"/>
        <v>0</v>
      </c>
      <c r="J226" s="2">
        <f t="shared" si="475"/>
        <v>0</v>
      </c>
      <c r="K226" s="54">
        <f t="shared" si="475"/>
        <v>0</v>
      </c>
      <c r="L226" s="2">
        <f t="shared" si="475"/>
        <v>0</v>
      </c>
      <c r="M226" s="2">
        <f t="shared" si="475"/>
        <v>0</v>
      </c>
      <c r="N226" s="2">
        <f t="shared" si="475"/>
        <v>0</v>
      </c>
      <c r="O226" s="2">
        <f t="shared" si="475"/>
        <v>0</v>
      </c>
      <c r="P226" s="2">
        <f t="shared" si="475"/>
        <v>0</v>
      </c>
      <c r="Q226" s="2">
        <f t="shared" si="475"/>
        <v>0</v>
      </c>
      <c r="R226" s="2">
        <f t="shared" si="475"/>
        <v>0</v>
      </c>
      <c r="S226" s="2">
        <f t="shared" si="475"/>
        <v>0</v>
      </c>
      <c r="T226" s="2">
        <f t="shared" si="475"/>
        <v>0</v>
      </c>
      <c r="U226" s="2">
        <f t="shared" ref="U226:AI226" si="476">IF(U225=1, IF(U200&gt;7.25, 1, 0), 0)</f>
        <v>0</v>
      </c>
      <c r="V226" s="2">
        <f t="shared" si="476"/>
        <v>0</v>
      </c>
      <c r="W226" s="2">
        <f t="shared" si="476"/>
        <v>0</v>
      </c>
      <c r="X226" s="2">
        <f t="shared" si="476"/>
        <v>0</v>
      </c>
      <c r="Y226" s="2">
        <f t="shared" si="476"/>
        <v>0</v>
      </c>
      <c r="Z226" s="2">
        <f t="shared" si="476"/>
        <v>0</v>
      </c>
      <c r="AA226" s="2">
        <f t="shared" si="476"/>
        <v>0</v>
      </c>
      <c r="AB226" s="2">
        <f t="shared" si="476"/>
        <v>0</v>
      </c>
      <c r="AC226" s="2">
        <f t="shared" si="476"/>
        <v>0</v>
      </c>
      <c r="AD226" s="2">
        <f t="shared" si="476"/>
        <v>0</v>
      </c>
      <c r="AE226" s="2">
        <f t="shared" si="476"/>
        <v>0</v>
      </c>
      <c r="AF226" s="2">
        <f t="shared" si="476"/>
        <v>0</v>
      </c>
      <c r="AG226" s="2">
        <f t="shared" si="476"/>
        <v>0</v>
      </c>
      <c r="AH226" s="2">
        <f t="shared" si="476"/>
        <v>0</v>
      </c>
      <c r="AI226" s="2">
        <f t="shared" si="476"/>
        <v>0</v>
      </c>
      <c r="AJ226" s="2">
        <f t="shared" ref="AJ226:BJ226" si="477">IF(AJ225=1, IF(AJ200&gt;7.25, 1, 0), 0)</f>
        <v>0</v>
      </c>
      <c r="AK226" s="2">
        <f t="shared" si="477"/>
        <v>0</v>
      </c>
      <c r="AL226" s="2">
        <f t="shared" si="477"/>
        <v>0</v>
      </c>
      <c r="AM226" s="2">
        <f t="shared" si="477"/>
        <v>0</v>
      </c>
      <c r="AN226" s="2">
        <f t="shared" si="477"/>
        <v>0</v>
      </c>
      <c r="AO226" s="2">
        <f t="shared" si="477"/>
        <v>0</v>
      </c>
      <c r="AP226" s="2">
        <f t="shared" si="477"/>
        <v>0</v>
      </c>
      <c r="AQ226" s="2">
        <f t="shared" si="477"/>
        <v>0</v>
      </c>
      <c r="AR226" s="2">
        <f t="shared" si="477"/>
        <v>0</v>
      </c>
      <c r="AS226" s="2">
        <f t="shared" si="477"/>
        <v>0</v>
      </c>
      <c r="AT226" s="2">
        <f t="shared" si="477"/>
        <v>0</v>
      </c>
      <c r="AU226" s="2">
        <f t="shared" si="477"/>
        <v>0</v>
      </c>
      <c r="AV226" s="2">
        <f t="shared" si="477"/>
        <v>0</v>
      </c>
      <c r="AW226" s="2">
        <f t="shared" si="477"/>
        <v>0</v>
      </c>
      <c r="AX226" s="2">
        <f t="shared" si="477"/>
        <v>0</v>
      </c>
      <c r="AY226" s="2">
        <f t="shared" si="477"/>
        <v>0</v>
      </c>
      <c r="AZ226" s="2">
        <f t="shared" si="477"/>
        <v>0</v>
      </c>
      <c r="BA226" s="2">
        <f t="shared" si="477"/>
        <v>0</v>
      </c>
      <c r="BB226" s="2">
        <f t="shared" si="477"/>
        <v>0</v>
      </c>
      <c r="BC226" s="2">
        <f t="shared" si="477"/>
        <v>0</v>
      </c>
      <c r="BD226" s="2">
        <f t="shared" si="477"/>
        <v>0</v>
      </c>
      <c r="BE226" s="2">
        <f t="shared" si="477"/>
        <v>0</v>
      </c>
      <c r="BF226" s="2">
        <f t="shared" si="477"/>
        <v>0</v>
      </c>
      <c r="BG226" s="2">
        <f t="shared" si="477"/>
        <v>0</v>
      </c>
      <c r="BH226" s="2">
        <f t="shared" si="477"/>
        <v>0</v>
      </c>
      <c r="BI226" s="2">
        <f t="shared" si="477"/>
        <v>0</v>
      </c>
      <c r="BJ226" s="2">
        <f t="shared" si="477"/>
        <v>0</v>
      </c>
      <c r="BN226" s="2">
        <f>IF(BN225=1, IF(BN200&gt;7.25, 1, 0), 0)</f>
        <v>0</v>
      </c>
    </row>
    <row r="227" spans="1:66">
      <c r="A227" s="37" t="s">
        <v>36</v>
      </c>
      <c r="B227" s="54">
        <f t="shared" ref="B227:T227" si="478">IF(B226=1, IF(B199&gt;0.5, 23, 24), 0)</f>
        <v>0</v>
      </c>
      <c r="C227" s="2">
        <f t="shared" si="478"/>
        <v>0</v>
      </c>
      <c r="D227" s="2">
        <f t="shared" si="478"/>
        <v>0</v>
      </c>
      <c r="E227" s="2">
        <f t="shared" si="478"/>
        <v>0</v>
      </c>
      <c r="F227" s="2">
        <f t="shared" si="478"/>
        <v>0</v>
      </c>
      <c r="G227" s="2">
        <f t="shared" si="478"/>
        <v>0</v>
      </c>
      <c r="H227" s="2">
        <f t="shared" si="478"/>
        <v>0</v>
      </c>
      <c r="I227" s="2">
        <f t="shared" si="478"/>
        <v>0</v>
      </c>
      <c r="J227" s="2">
        <f t="shared" si="478"/>
        <v>0</v>
      </c>
      <c r="K227" s="54">
        <f t="shared" si="478"/>
        <v>0</v>
      </c>
      <c r="L227" s="2">
        <f t="shared" si="478"/>
        <v>0</v>
      </c>
      <c r="M227" s="2">
        <f t="shared" si="478"/>
        <v>0</v>
      </c>
      <c r="N227" s="2">
        <f t="shared" si="478"/>
        <v>0</v>
      </c>
      <c r="O227" s="2">
        <f t="shared" si="478"/>
        <v>0</v>
      </c>
      <c r="P227" s="2">
        <f t="shared" si="478"/>
        <v>0</v>
      </c>
      <c r="Q227" s="2">
        <f t="shared" si="478"/>
        <v>0</v>
      </c>
      <c r="R227" s="2">
        <f t="shared" si="478"/>
        <v>0</v>
      </c>
      <c r="S227" s="2">
        <f t="shared" si="478"/>
        <v>0</v>
      </c>
      <c r="T227" s="2">
        <f t="shared" si="478"/>
        <v>0</v>
      </c>
      <c r="U227" s="2">
        <f t="shared" ref="U227:AI227" si="479">IF(U226=1, IF(U199&gt;0.5, 23, 24), 0)</f>
        <v>0</v>
      </c>
      <c r="V227" s="2">
        <f t="shared" si="479"/>
        <v>0</v>
      </c>
      <c r="W227" s="2">
        <f t="shared" si="479"/>
        <v>0</v>
      </c>
      <c r="X227" s="2">
        <f t="shared" si="479"/>
        <v>0</v>
      </c>
      <c r="Y227" s="2">
        <f t="shared" si="479"/>
        <v>0</v>
      </c>
      <c r="Z227" s="2">
        <f t="shared" si="479"/>
        <v>0</v>
      </c>
      <c r="AA227" s="2">
        <f t="shared" si="479"/>
        <v>0</v>
      </c>
      <c r="AB227" s="2">
        <f t="shared" si="479"/>
        <v>0</v>
      </c>
      <c r="AC227" s="2">
        <f t="shared" si="479"/>
        <v>0</v>
      </c>
      <c r="AD227" s="2">
        <f t="shared" si="479"/>
        <v>0</v>
      </c>
      <c r="AE227" s="2">
        <f t="shared" si="479"/>
        <v>0</v>
      </c>
      <c r="AF227" s="2">
        <f t="shared" si="479"/>
        <v>0</v>
      </c>
      <c r="AG227" s="2">
        <f t="shared" si="479"/>
        <v>0</v>
      </c>
      <c r="AH227" s="2">
        <f t="shared" si="479"/>
        <v>0</v>
      </c>
      <c r="AI227" s="2">
        <f t="shared" si="479"/>
        <v>0</v>
      </c>
      <c r="AJ227" s="2">
        <f t="shared" ref="AJ227:BJ227" si="480">IF(AJ226=1, IF(AJ199&gt;0.5, 23, 24), 0)</f>
        <v>0</v>
      </c>
      <c r="AK227" s="2">
        <f t="shared" si="480"/>
        <v>0</v>
      </c>
      <c r="AL227" s="2">
        <f t="shared" si="480"/>
        <v>0</v>
      </c>
      <c r="AM227" s="2">
        <f t="shared" si="480"/>
        <v>0</v>
      </c>
      <c r="AN227" s="2">
        <f t="shared" si="480"/>
        <v>0</v>
      </c>
      <c r="AO227" s="2">
        <f t="shared" si="480"/>
        <v>0</v>
      </c>
      <c r="AP227" s="2">
        <f t="shared" si="480"/>
        <v>0</v>
      </c>
      <c r="AQ227" s="2">
        <f t="shared" si="480"/>
        <v>0</v>
      </c>
      <c r="AR227" s="2">
        <f t="shared" si="480"/>
        <v>0</v>
      </c>
      <c r="AS227" s="2">
        <f t="shared" si="480"/>
        <v>0</v>
      </c>
      <c r="AT227" s="2">
        <f t="shared" si="480"/>
        <v>0</v>
      </c>
      <c r="AU227" s="2">
        <f t="shared" si="480"/>
        <v>0</v>
      </c>
      <c r="AV227" s="2">
        <f t="shared" si="480"/>
        <v>0</v>
      </c>
      <c r="AW227" s="2">
        <f t="shared" si="480"/>
        <v>0</v>
      </c>
      <c r="AX227" s="2">
        <f t="shared" si="480"/>
        <v>0</v>
      </c>
      <c r="AY227" s="2">
        <f t="shared" si="480"/>
        <v>0</v>
      </c>
      <c r="AZ227" s="2">
        <f t="shared" si="480"/>
        <v>0</v>
      </c>
      <c r="BA227" s="2">
        <f t="shared" si="480"/>
        <v>0</v>
      </c>
      <c r="BB227" s="2">
        <f t="shared" si="480"/>
        <v>0</v>
      </c>
      <c r="BC227" s="2">
        <f t="shared" si="480"/>
        <v>0</v>
      </c>
      <c r="BD227" s="2">
        <f t="shared" si="480"/>
        <v>0</v>
      </c>
      <c r="BE227" s="2">
        <f t="shared" si="480"/>
        <v>0</v>
      </c>
      <c r="BF227" s="2">
        <f t="shared" si="480"/>
        <v>0</v>
      </c>
      <c r="BG227" s="2">
        <f t="shared" si="480"/>
        <v>0</v>
      </c>
      <c r="BH227" s="2">
        <f t="shared" si="480"/>
        <v>0</v>
      </c>
      <c r="BI227" s="2">
        <f t="shared" si="480"/>
        <v>0</v>
      </c>
      <c r="BJ227" s="2">
        <f t="shared" si="480"/>
        <v>0</v>
      </c>
      <c r="BN227" s="2">
        <f>IF(BN226=1, IF(BN199&gt;0.5, 23, 24), 0)</f>
        <v>0</v>
      </c>
    </row>
    <row r="228" spans="1:66">
      <c r="A228" s="47" t="s">
        <v>35</v>
      </c>
      <c r="B228" s="54">
        <f t="shared" ref="B228:T228" si="481">IF(B225=1, IF(B200&gt;6.75, IF(B200&lt;=7.25, 1, 0), 0), 0)</f>
        <v>0</v>
      </c>
      <c r="C228" s="2">
        <f t="shared" si="481"/>
        <v>0</v>
      </c>
      <c r="D228" s="2">
        <f t="shared" si="481"/>
        <v>0</v>
      </c>
      <c r="E228" s="2">
        <f t="shared" si="481"/>
        <v>0</v>
      </c>
      <c r="F228" s="2">
        <f t="shared" si="481"/>
        <v>0</v>
      </c>
      <c r="G228" s="2">
        <f t="shared" si="481"/>
        <v>0</v>
      </c>
      <c r="H228" s="2">
        <f t="shared" si="481"/>
        <v>0</v>
      </c>
      <c r="I228" s="2">
        <f t="shared" si="481"/>
        <v>0</v>
      </c>
      <c r="J228" s="2">
        <f t="shared" si="481"/>
        <v>0</v>
      </c>
      <c r="K228" s="54">
        <f t="shared" si="481"/>
        <v>0</v>
      </c>
      <c r="L228" s="2">
        <f t="shared" si="481"/>
        <v>0</v>
      </c>
      <c r="M228" s="2">
        <f t="shared" si="481"/>
        <v>0</v>
      </c>
      <c r="N228" s="2">
        <f t="shared" si="481"/>
        <v>1</v>
      </c>
      <c r="O228" s="2">
        <f t="shared" si="481"/>
        <v>0</v>
      </c>
      <c r="P228" s="2">
        <f t="shared" si="481"/>
        <v>0</v>
      </c>
      <c r="Q228" s="2">
        <f t="shared" si="481"/>
        <v>0</v>
      </c>
      <c r="R228" s="2">
        <f t="shared" si="481"/>
        <v>0</v>
      </c>
      <c r="S228" s="2">
        <f t="shared" si="481"/>
        <v>0</v>
      </c>
      <c r="T228" s="2">
        <f t="shared" si="481"/>
        <v>0</v>
      </c>
      <c r="U228" s="2">
        <f t="shared" ref="U228:AI228" si="482">IF(U225=1, IF(U200&gt;6.75, IF(U200&lt;=7.25, 1, 0), 0), 0)</f>
        <v>0</v>
      </c>
      <c r="V228" s="2">
        <f t="shared" si="482"/>
        <v>0</v>
      </c>
      <c r="W228" s="2">
        <f t="shared" si="482"/>
        <v>0</v>
      </c>
      <c r="X228" s="2">
        <f t="shared" si="482"/>
        <v>0</v>
      </c>
      <c r="Y228" s="2">
        <f t="shared" si="482"/>
        <v>0</v>
      </c>
      <c r="Z228" s="2">
        <f t="shared" si="482"/>
        <v>0</v>
      </c>
      <c r="AA228" s="2">
        <f t="shared" si="482"/>
        <v>0</v>
      </c>
      <c r="AB228" s="2">
        <f t="shared" si="482"/>
        <v>0</v>
      </c>
      <c r="AC228" s="2">
        <f t="shared" si="482"/>
        <v>0</v>
      </c>
      <c r="AD228" s="2">
        <f t="shared" si="482"/>
        <v>0</v>
      </c>
      <c r="AE228" s="2">
        <f t="shared" si="482"/>
        <v>0</v>
      </c>
      <c r="AF228" s="2">
        <f t="shared" si="482"/>
        <v>0</v>
      </c>
      <c r="AG228" s="2">
        <f t="shared" si="482"/>
        <v>0</v>
      </c>
      <c r="AH228" s="2">
        <f t="shared" si="482"/>
        <v>0</v>
      </c>
      <c r="AI228" s="2">
        <f t="shared" si="482"/>
        <v>0</v>
      </c>
      <c r="AJ228" s="2">
        <f t="shared" ref="AJ228:BJ228" si="483">IF(AJ225=1, IF(AJ200&gt;6.75, IF(AJ200&lt;=7.25, 1, 0), 0), 0)</f>
        <v>0</v>
      </c>
      <c r="AK228" s="2">
        <f t="shared" si="483"/>
        <v>0</v>
      </c>
      <c r="AL228" s="2">
        <f t="shared" si="483"/>
        <v>0</v>
      </c>
      <c r="AM228" s="2">
        <f t="shared" si="483"/>
        <v>0</v>
      </c>
      <c r="AN228" s="2">
        <f t="shared" si="483"/>
        <v>0</v>
      </c>
      <c r="AO228" s="2">
        <f t="shared" si="483"/>
        <v>0</v>
      </c>
      <c r="AP228" s="2">
        <f t="shared" si="483"/>
        <v>0</v>
      </c>
      <c r="AQ228" s="2">
        <f t="shared" si="483"/>
        <v>0</v>
      </c>
      <c r="AR228" s="2">
        <f t="shared" si="483"/>
        <v>0</v>
      </c>
      <c r="AS228" s="2">
        <f t="shared" si="483"/>
        <v>0</v>
      </c>
      <c r="AT228" s="2">
        <f t="shared" si="483"/>
        <v>0</v>
      </c>
      <c r="AU228" s="2">
        <f t="shared" si="483"/>
        <v>0</v>
      </c>
      <c r="AV228" s="2">
        <f t="shared" si="483"/>
        <v>0</v>
      </c>
      <c r="AW228" s="2">
        <f t="shared" si="483"/>
        <v>0</v>
      </c>
      <c r="AX228" s="2">
        <f t="shared" si="483"/>
        <v>0</v>
      </c>
      <c r="AY228" s="2">
        <f t="shared" si="483"/>
        <v>0</v>
      </c>
      <c r="AZ228" s="2">
        <f t="shared" si="483"/>
        <v>0</v>
      </c>
      <c r="BA228" s="2">
        <f t="shared" si="483"/>
        <v>0</v>
      </c>
      <c r="BB228" s="2">
        <f t="shared" si="483"/>
        <v>0</v>
      </c>
      <c r="BC228" s="2">
        <f t="shared" si="483"/>
        <v>0</v>
      </c>
      <c r="BD228" s="2">
        <f t="shared" si="483"/>
        <v>0</v>
      </c>
      <c r="BE228" s="2">
        <f t="shared" si="483"/>
        <v>0</v>
      </c>
      <c r="BF228" s="2">
        <f t="shared" si="483"/>
        <v>0</v>
      </c>
      <c r="BG228" s="2">
        <f t="shared" si="483"/>
        <v>0</v>
      </c>
      <c r="BH228" s="2">
        <f t="shared" si="483"/>
        <v>0</v>
      </c>
      <c r="BI228" s="2">
        <f t="shared" si="483"/>
        <v>0</v>
      </c>
      <c r="BJ228" s="2">
        <f t="shared" si="483"/>
        <v>0</v>
      </c>
      <c r="BN228" s="2">
        <f>IF(BN225=1, IF(BN200&gt;6.75, IF(BN200&lt;=7.25, 1, 0), 0), 0)</f>
        <v>0</v>
      </c>
    </row>
    <row r="229" spans="1:66">
      <c r="A229" s="37" t="s">
        <v>37</v>
      </c>
      <c r="B229" s="54">
        <f t="shared" ref="B229:T229" si="484">IF(B228=1, IF(B199&gt;0.5, 25, 26), 0)</f>
        <v>0</v>
      </c>
      <c r="C229" s="2">
        <f t="shared" si="484"/>
        <v>0</v>
      </c>
      <c r="D229" s="2">
        <f t="shared" si="484"/>
        <v>0</v>
      </c>
      <c r="E229" s="2">
        <f t="shared" si="484"/>
        <v>0</v>
      </c>
      <c r="F229" s="2">
        <f t="shared" si="484"/>
        <v>0</v>
      </c>
      <c r="G229" s="2">
        <f t="shared" si="484"/>
        <v>0</v>
      </c>
      <c r="H229" s="2">
        <f t="shared" si="484"/>
        <v>0</v>
      </c>
      <c r="I229" s="2">
        <f t="shared" si="484"/>
        <v>0</v>
      </c>
      <c r="J229" s="2">
        <f t="shared" si="484"/>
        <v>0</v>
      </c>
      <c r="K229" s="54">
        <f t="shared" si="484"/>
        <v>0</v>
      </c>
      <c r="L229" s="2">
        <f t="shared" si="484"/>
        <v>0</v>
      </c>
      <c r="M229" s="2">
        <f t="shared" si="484"/>
        <v>0</v>
      </c>
      <c r="N229" s="2">
        <f t="shared" si="484"/>
        <v>25</v>
      </c>
      <c r="O229" s="2">
        <f t="shared" si="484"/>
        <v>0</v>
      </c>
      <c r="P229" s="2">
        <f t="shared" si="484"/>
        <v>0</v>
      </c>
      <c r="Q229" s="2">
        <f t="shared" si="484"/>
        <v>0</v>
      </c>
      <c r="R229" s="2">
        <f t="shared" si="484"/>
        <v>0</v>
      </c>
      <c r="S229" s="2">
        <f t="shared" si="484"/>
        <v>0</v>
      </c>
      <c r="T229" s="2">
        <f t="shared" si="484"/>
        <v>0</v>
      </c>
      <c r="U229" s="2">
        <f t="shared" ref="U229:AI229" si="485">IF(U228=1, IF(U199&gt;0.5, 25, 26), 0)</f>
        <v>0</v>
      </c>
      <c r="V229" s="2">
        <f t="shared" si="485"/>
        <v>0</v>
      </c>
      <c r="W229" s="2">
        <f t="shared" si="485"/>
        <v>0</v>
      </c>
      <c r="X229" s="2">
        <f t="shared" si="485"/>
        <v>0</v>
      </c>
      <c r="Y229" s="2">
        <f t="shared" si="485"/>
        <v>0</v>
      </c>
      <c r="Z229" s="2">
        <f t="shared" si="485"/>
        <v>0</v>
      </c>
      <c r="AA229" s="2">
        <f t="shared" si="485"/>
        <v>0</v>
      </c>
      <c r="AB229" s="2">
        <f t="shared" si="485"/>
        <v>0</v>
      </c>
      <c r="AC229" s="2">
        <f t="shared" si="485"/>
        <v>0</v>
      </c>
      <c r="AD229" s="2">
        <f t="shared" si="485"/>
        <v>0</v>
      </c>
      <c r="AE229" s="2">
        <f t="shared" si="485"/>
        <v>0</v>
      </c>
      <c r="AF229" s="2">
        <f t="shared" si="485"/>
        <v>0</v>
      </c>
      <c r="AG229" s="2">
        <f t="shared" si="485"/>
        <v>0</v>
      </c>
      <c r="AH229" s="2">
        <f t="shared" si="485"/>
        <v>0</v>
      </c>
      <c r="AI229" s="2">
        <f t="shared" si="485"/>
        <v>0</v>
      </c>
      <c r="AJ229" s="2">
        <f t="shared" ref="AJ229:BJ229" si="486">IF(AJ228=1, IF(AJ199&gt;0.5, 25, 26), 0)</f>
        <v>0</v>
      </c>
      <c r="AK229" s="2">
        <f t="shared" si="486"/>
        <v>0</v>
      </c>
      <c r="AL229" s="2">
        <f t="shared" si="486"/>
        <v>0</v>
      </c>
      <c r="AM229" s="2">
        <f t="shared" si="486"/>
        <v>0</v>
      </c>
      <c r="AN229" s="2">
        <f t="shared" si="486"/>
        <v>0</v>
      </c>
      <c r="AO229" s="2">
        <f t="shared" si="486"/>
        <v>0</v>
      </c>
      <c r="AP229" s="2">
        <f t="shared" si="486"/>
        <v>0</v>
      </c>
      <c r="AQ229" s="2">
        <f t="shared" si="486"/>
        <v>0</v>
      </c>
      <c r="AR229" s="2">
        <f t="shared" si="486"/>
        <v>0</v>
      </c>
      <c r="AS229" s="2">
        <f t="shared" si="486"/>
        <v>0</v>
      </c>
      <c r="AT229" s="2">
        <f t="shared" si="486"/>
        <v>0</v>
      </c>
      <c r="AU229" s="2">
        <f t="shared" si="486"/>
        <v>0</v>
      </c>
      <c r="AV229" s="2">
        <f t="shared" si="486"/>
        <v>0</v>
      </c>
      <c r="AW229" s="2">
        <f t="shared" si="486"/>
        <v>0</v>
      </c>
      <c r="AX229" s="2">
        <f t="shared" si="486"/>
        <v>0</v>
      </c>
      <c r="AY229" s="2">
        <f t="shared" si="486"/>
        <v>0</v>
      </c>
      <c r="AZ229" s="2">
        <f t="shared" si="486"/>
        <v>0</v>
      </c>
      <c r="BA229" s="2">
        <f t="shared" si="486"/>
        <v>0</v>
      </c>
      <c r="BB229" s="2">
        <f t="shared" si="486"/>
        <v>0</v>
      </c>
      <c r="BC229" s="2">
        <f t="shared" si="486"/>
        <v>0</v>
      </c>
      <c r="BD229" s="2">
        <f t="shared" si="486"/>
        <v>0</v>
      </c>
      <c r="BE229" s="2">
        <f t="shared" si="486"/>
        <v>0</v>
      </c>
      <c r="BF229" s="2">
        <f t="shared" si="486"/>
        <v>0</v>
      </c>
      <c r="BG229" s="2">
        <f t="shared" si="486"/>
        <v>0</v>
      </c>
      <c r="BH229" s="2">
        <f t="shared" si="486"/>
        <v>0</v>
      </c>
      <c r="BI229" s="2">
        <f t="shared" si="486"/>
        <v>0</v>
      </c>
      <c r="BJ229" s="2">
        <f t="shared" si="486"/>
        <v>0</v>
      </c>
      <c r="BN229" s="2">
        <f>IF(BN228=1, IF(BN199&gt;0.5, 25, 26), 0)</f>
        <v>0</v>
      </c>
    </row>
    <row r="230" spans="1:66">
      <c r="A230" s="47" t="s">
        <v>38</v>
      </c>
      <c r="B230" s="54">
        <f t="shared" ref="B230:T230" si="487">IF(B225=1, IF(B200&gt;6.5, IF(B200&lt;=6.75, 1, 0), 0), 0)</f>
        <v>0</v>
      </c>
      <c r="C230" s="2">
        <f t="shared" si="487"/>
        <v>0</v>
      </c>
      <c r="D230" s="2">
        <f t="shared" si="487"/>
        <v>0</v>
      </c>
      <c r="E230" s="2">
        <f t="shared" si="487"/>
        <v>0</v>
      </c>
      <c r="F230" s="2">
        <f t="shared" si="487"/>
        <v>0</v>
      </c>
      <c r="G230" s="2">
        <f t="shared" si="487"/>
        <v>0</v>
      </c>
      <c r="H230" s="2">
        <f t="shared" si="487"/>
        <v>0</v>
      </c>
      <c r="I230" s="2">
        <f t="shared" si="487"/>
        <v>0</v>
      </c>
      <c r="J230" s="2">
        <f t="shared" si="487"/>
        <v>0</v>
      </c>
      <c r="K230" s="54">
        <f t="shared" si="487"/>
        <v>0</v>
      </c>
      <c r="L230" s="2">
        <f t="shared" si="487"/>
        <v>0</v>
      </c>
      <c r="M230" s="2">
        <f t="shared" si="487"/>
        <v>0</v>
      </c>
      <c r="N230" s="2">
        <f t="shared" si="487"/>
        <v>0</v>
      </c>
      <c r="O230" s="2">
        <f t="shared" si="487"/>
        <v>0</v>
      </c>
      <c r="P230" s="2">
        <f t="shared" si="487"/>
        <v>1</v>
      </c>
      <c r="Q230" s="2">
        <f t="shared" si="487"/>
        <v>0</v>
      </c>
      <c r="R230" s="2">
        <f t="shared" si="487"/>
        <v>0</v>
      </c>
      <c r="S230" s="2">
        <f t="shared" si="487"/>
        <v>0</v>
      </c>
      <c r="T230" s="2">
        <f t="shared" si="487"/>
        <v>0</v>
      </c>
      <c r="U230" s="2">
        <f t="shared" ref="U230:AI230" si="488">IF(U225=1, IF(U200&gt;6.5, IF(U200&lt;=6.75, 1, 0), 0), 0)</f>
        <v>0</v>
      </c>
      <c r="V230" s="2">
        <f t="shared" si="488"/>
        <v>0</v>
      </c>
      <c r="W230" s="2">
        <f t="shared" si="488"/>
        <v>0</v>
      </c>
      <c r="X230" s="2">
        <f t="shared" si="488"/>
        <v>1</v>
      </c>
      <c r="Y230" s="2">
        <f t="shared" si="488"/>
        <v>0</v>
      </c>
      <c r="Z230" s="2">
        <f t="shared" si="488"/>
        <v>0</v>
      </c>
      <c r="AA230" s="2">
        <f t="shared" si="488"/>
        <v>0</v>
      </c>
      <c r="AB230" s="2">
        <f t="shared" si="488"/>
        <v>1</v>
      </c>
      <c r="AC230" s="2">
        <f t="shared" si="488"/>
        <v>0</v>
      </c>
      <c r="AD230" s="2">
        <f t="shared" si="488"/>
        <v>0</v>
      </c>
      <c r="AE230" s="2">
        <f t="shared" si="488"/>
        <v>0</v>
      </c>
      <c r="AF230" s="2">
        <f t="shared" si="488"/>
        <v>0</v>
      </c>
      <c r="AG230" s="2">
        <f t="shared" si="488"/>
        <v>0</v>
      </c>
      <c r="AH230" s="2">
        <f t="shared" si="488"/>
        <v>0</v>
      </c>
      <c r="AI230" s="2">
        <f t="shared" si="488"/>
        <v>0</v>
      </c>
      <c r="AJ230" s="2">
        <f t="shared" ref="AJ230:BJ230" si="489">IF(AJ225=1, IF(AJ200&gt;6.5, IF(AJ200&lt;=6.75, 1, 0), 0), 0)</f>
        <v>0</v>
      </c>
      <c r="AK230" s="2">
        <f t="shared" si="489"/>
        <v>1</v>
      </c>
      <c r="AL230" s="2">
        <f t="shared" si="489"/>
        <v>1</v>
      </c>
      <c r="AM230" s="2">
        <f t="shared" si="489"/>
        <v>1</v>
      </c>
      <c r="AN230" s="2">
        <f t="shared" si="489"/>
        <v>1</v>
      </c>
      <c r="AO230" s="2">
        <f t="shared" si="489"/>
        <v>1</v>
      </c>
      <c r="AP230" s="2">
        <f t="shared" si="489"/>
        <v>0</v>
      </c>
      <c r="AQ230" s="2">
        <f t="shared" si="489"/>
        <v>0</v>
      </c>
      <c r="AR230" s="2">
        <f t="shared" si="489"/>
        <v>0</v>
      </c>
      <c r="AS230" s="2">
        <f t="shared" si="489"/>
        <v>0</v>
      </c>
      <c r="AT230" s="2">
        <f t="shared" si="489"/>
        <v>0</v>
      </c>
      <c r="AU230" s="2">
        <f t="shared" si="489"/>
        <v>0</v>
      </c>
      <c r="AV230" s="2">
        <f t="shared" si="489"/>
        <v>0</v>
      </c>
      <c r="AW230" s="2">
        <f t="shared" si="489"/>
        <v>0</v>
      </c>
      <c r="AX230" s="2">
        <f t="shared" si="489"/>
        <v>0</v>
      </c>
      <c r="AY230" s="2">
        <f t="shared" si="489"/>
        <v>0</v>
      </c>
      <c r="AZ230" s="2">
        <f t="shared" si="489"/>
        <v>0</v>
      </c>
      <c r="BA230" s="2">
        <f t="shared" si="489"/>
        <v>0</v>
      </c>
      <c r="BB230" s="2">
        <f t="shared" si="489"/>
        <v>0</v>
      </c>
      <c r="BC230" s="2">
        <f t="shared" si="489"/>
        <v>0</v>
      </c>
      <c r="BD230" s="2">
        <f t="shared" si="489"/>
        <v>0</v>
      </c>
      <c r="BE230" s="2">
        <f t="shared" si="489"/>
        <v>0</v>
      </c>
      <c r="BF230" s="2">
        <f t="shared" si="489"/>
        <v>0</v>
      </c>
      <c r="BG230" s="2">
        <f t="shared" si="489"/>
        <v>0</v>
      </c>
      <c r="BH230" s="2">
        <f t="shared" si="489"/>
        <v>0</v>
      </c>
      <c r="BI230" s="2">
        <f t="shared" si="489"/>
        <v>0</v>
      </c>
      <c r="BJ230" s="2">
        <f t="shared" si="489"/>
        <v>0</v>
      </c>
      <c r="BN230" s="2">
        <f>IF(BN225=1, IF(BN200&gt;6.5, IF(BN200&lt;=6.75, 1, 0), 0), 0)</f>
        <v>0</v>
      </c>
    </row>
    <row r="231" spans="1:66">
      <c r="A231" s="37" t="s">
        <v>39</v>
      </c>
      <c r="B231" s="54">
        <f t="shared" ref="B231:T231" si="490">IF(B230=1, IF(B199&gt;0.5, 27, 28), 0)</f>
        <v>0</v>
      </c>
      <c r="C231" s="2">
        <f t="shared" si="490"/>
        <v>0</v>
      </c>
      <c r="D231" s="2">
        <f t="shared" si="490"/>
        <v>0</v>
      </c>
      <c r="E231" s="2">
        <f t="shared" si="490"/>
        <v>0</v>
      </c>
      <c r="F231" s="2">
        <f t="shared" si="490"/>
        <v>0</v>
      </c>
      <c r="G231" s="2">
        <f t="shared" si="490"/>
        <v>0</v>
      </c>
      <c r="H231" s="2">
        <f t="shared" si="490"/>
        <v>0</v>
      </c>
      <c r="I231" s="2">
        <f t="shared" si="490"/>
        <v>0</v>
      </c>
      <c r="J231" s="2">
        <f t="shared" si="490"/>
        <v>0</v>
      </c>
      <c r="K231" s="54">
        <f t="shared" si="490"/>
        <v>0</v>
      </c>
      <c r="L231" s="2">
        <f t="shared" si="490"/>
        <v>0</v>
      </c>
      <c r="M231" s="2">
        <f t="shared" si="490"/>
        <v>0</v>
      </c>
      <c r="N231" s="2">
        <f t="shared" si="490"/>
        <v>0</v>
      </c>
      <c r="O231" s="2">
        <f t="shared" si="490"/>
        <v>0</v>
      </c>
      <c r="P231" s="2">
        <f t="shared" si="490"/>
        <v>27</v>
      </c>
      <c r="Q231" s="2">
        <f t="shared" si="490"/>
        <v>0</v>
      </c>
      <c r="R231" s="2">
        <f t="shared" si="490"/>
        <v>0</v>
      </c>
      <c r="S231" s="2">
        <f t="shared" si="490"/>
        <v>0</v>
      </c>
      <c r="T231" s="2">
        <f t="shared" si="490"/>
        <v>0</v>
      </c>
      <c r="U231" s="2">
        <f t="shared" ref="U231:AI231" si="491">IF(U230=1, IF(U199&gt;0.5, 27, 28), 0)</f>
        <v>0</v>
      </c>
      <c r="V231" s="2">
        <f t="shared" si="491"/>
        <v>0</v>
      </c>
      <c r="W231" s="2">
        <f t="shared" si="491"/>
        <v>0</v>
      </c>
      <c r="X231" s="2">
        <f t="shared" si="491"/>
        <v>27</v>
      </c>
      <c r="Y231" s="2">
        <f t="shared" si="491"/>
        <v>0</v>
      </c>
      <c r="Z231" s="2">
        <f t="shared" si="491"/>
        <v>0</v>
      </c>
      <c r="AA231" s="2">
        <f t="shared" si="491"/>
        <v>0</v>
      </c>
      <c r="AB231" s="2">
        <f t="shared" si="491"/>
        <v>27</v>
      </c>
      <c r="AC231" s="2">
        <f t="shared" si="491"/>
        <v>0</v>
      </c>
      <c r="AD231" s="2">
        <f t="shared" si="491"/>
        <v>0</v>
      </c>
      <c r="AE231" s="2">
        <f t="shared" si="491"/>
        <v>0</v>
      </c>
      <c r="AF231" s="2">
        <f t="shared" si="491"/>
        <v>0</v>
      </c>
      <c r="AG231" s="2">
        <f t="shared" si="491"/>
        <v>0</v>
      </c>
      <c r="AH231" s="2">
        <f t="shared" si="491"/>
        <v>0</v>
      </c>
      <c r="AI231" s="2">
        <f t="shared" si="491"/>
        <v>0</v>
      </c>
      <c r="AJ231" s="2">
        <f t="shared" ref="AJ231:BJ231" si="492">IF(AJ230=1, IF(AJ199&gt;0.5, 27, 28), 0)</f>
        <v>0</v>
      </c>
      <c r="AK231" s="2">
        <f t="shared" si="492"/>
        <v>27</v>
      </c>
      <c r="AL231" s="2">
        <f t="shared" si="492"/>
        <v>27</v>
      </c>
      <c r="AM231" s="2">
        <f t="shared" si="492"/>
        <v>27</v>
      </c>
      <c r="AN231" s="2">
        <f t="shared" si="492"/>
        <v>27</v>
      </c>
      <c r="AO231" s="2">
        <f t="shared" si="492"/>
        <v>27</v>
      </c>
      <c r="AP231" s="2">
        <f t="shared" si="492"/>
        <v>0</v>
      </c>
      <c r="AQ231" s="2">
        <f t="shared" si="492"/>
        <v>0</v>
      </c>
      <c r="AR231" s="2">
        <f t="shared" si="492"/>
        <v>0</v>
      </c>
      <c r="AS231" s="2">
        <f t="shared" si="492"/>
        <v>0</v>
      </c>
      <c r="AT231" s="2">
        <f t="shared" si="492"/>
        <v>0</v>
      </c>
      <c r="AU231" s="2">
        <f t="shared" si="492"/>
        <v>0</v>
      </c>
      <c r="AV231" s="2">
        <f t="shared" si="492"/>
        <v>0</v>
      </c>
      <c r="AW231" s="2">
        <f t="shared" si="492"/>
        <v>0</v>
      </c>
      <c r="AX231" s="2">
        <f t="shared" si="492"/>
        <v>0</v>
      </c>
      <c r="AY231" s="2">
        <f t="shared" si="492"/>
        <v>0</v>
      </c>
      <c r="AZ231" s="2">
        <f t="shared" si="492"/>
        <v>0</v>
      </c>
      <c r="BA231" s="2">
        <f t="shared" si="492"/>
        <v>0</v>
      </c>
      <c r="BB231" s="2">
        <f t="shared" si="492"/>
        <v>0</v>
      </c>
      <c r="BC231" s="2">
        <f t="shared" si="492"/>
        <v>0</v>
      </c>
      <c r="BD231" s="2">
        <f t="shared" si="492"/>
        <v>0</v>
      </c>
      <c r="BE231" s="2">
        <f t="shared" si="492"/>
        <v>0</v>
      </c>
      <c r="BF231" s="2">
        <f t="shared" si="492"/>
        <v>0</v>
      </c>
      <c r="BG231" s="2">
        <f t="shared" si="492"/>
        <v>0</v>
      </c>
      <c r="BH231" s="2">
        <f t="shared" si="492"/>
        <v>0</v>
      </c>
      <c r="BI231" s="2">
        <f t="shared" si="492"/>
        <v>0</v>
      </c>
      <c r="BJ231" s="2">
        <f t="shared" si="492"/>
        <v>0</v>
      </c>
      <c r="BN231" s="2">
        <f>IF(BN230=1, IF(BN199&gt;0.5, 27, 28), 0)</f>
        <v>0</v>
      </c>
    </row>
    <row r="232" spans="1:66">
      <c r="A232" s="47" t="s">
        <v>40</v>
      </c>
      <c r="B232" s="54">
        <f t="shared" ref="B232:T232" si="493">IF(B225=1, IF(B200&gt;6.25, IF(B200&lt;=6.5, 1, 0), 0), 0)</f>
        <v>0</v>
      </c>
      <c r="C232" s="2">
        <f t="shared" si="493"/>
        <v>0</v>
      </c>
      <c r="D232" s="2">
        <f t="shared" si="493"/>
        <v>0</v>
      </c>
      <c r="E232" s="2">
        <f t="shared" si="493"/>
        <v>0</v>
      </c>
      <c r="F232" s="2">
        <f t="shared" si="493"/>
        <v>0</v>
      </c>
      <c r="G232" s="2">
        <f t="shared" si="493"/>
        <v>0</v>
      </c>
      <c r="H232" s="2">
        <f t="shared" si="493"/>
        <v>0</v>
      </c>
      <c r="I232" s="2">
        <f t="shared" si="493"/>
        <v>0</v>
      </c>
      <c r="J232" s="2">
        <f t="shared" si="493"/>
        <v>0</v>
      </c>
      <c r="K232" s="54">
        <f t="shared" si="493"/>
        <v>0</v>
      </c>
      <c r="L232" s="2">
        <f t="shared" si="493"/>
        <v>0</v>
      </c>
      <c r="M232" s="2">
        <f t="shared" si="493"/>
        <v>0</v>
      </c>
      <c r="N232" s="2">
        <f t="shared" si="493"/>
        <v>0</v>
      </c>
      <c r="O232" s="2">
        <f t="shared" si="493"/>
        <v>0</v>
      </c>
      <c r="P232" s="2">
        <f t="shared" si="493"/>
        <v>0</v>
      </c>
      <c r="Q232" s="2">
        <f t="shared" si="493"/>
        <v>0</v>
      </c>
      <c r="R232" s="2">
        <f t="shared" si="493"/>
        <v>1</v>
      </c>
      <c r="S232" s="2">
        <f t="shared" si="493"/>
        <v>1</v>
      </c>
      <c r="T232" s="2">
        <f t="shared" si="493"/>
        <v>1</v>
      </c>
      <c r="U232" s="2">
        <f t="shared" ref="U232:AI232" si="494">IF(U225=1, IF(U200&gt;6.25, IF(U200&lt;=6.5, 1, 0), 0), 0)</f>
        <v>1</v>
      </c>
      <c r="V232" s="2">
        <f t="shared" si="494"/>
        <v>1</v>
      </c>
      <c r="W232" s="2">
        <f t="shared" si="494"/>
        <v>0</v>
      </c>
      <c r="X232" s="2">
        <f t="shared" si="494"/>
        <v>0</v>
      </c>
      <c r="Y232" s="2">
        <f t="shared" si="494"/>
        <v>0</v>
      </c>
      <c r="Z232" s="2">
        <f t="shared" si="494"/>
        <v>0</v>
      </c>
      <c r="AA232" s="2">
        <f t="shared" si="494"/>
        <v>0</v>
      </c>
      <c r="AB232" s="2">
        <f t="shared" si="494"/>
        <v>0</v>
      </c>
      <c r="AC232" s="2">
        <f t="shared" si="494"/>
        <v>1</v>
      </c>
      <c r="AD232" s="2">
        <f t="shared" si="494"/>
        <v>1</v>
      </c>
      <c r="AE232" s="2">
        <f t="shared" si="494"/>
        <v>1</v>
      </c>
      <c r="AF232" s="2">
        <f t="shared" si="494"/>
        <v>1</v>
      </c>
      <c r="AG232" s="2">
        <f t="shared" si="494"/>
        <v>1</v>
      </c>
      <c r="AH232" s="2">
        <f t="shared" si="494"/>
        <v>1</v>
      </c>
      <c r="AI232" s="2">
        <f t="shared" si="494"/>
        <v>1</v>
      </c>
      <c r="AJ232" s="2">
        <f t="shared" ref="AJ232:BJ232" si="495">IF(AJ225=1, IF(AJ200&gt;6.25, IF(AJ200&lt;=6.5, 1, 0), 0), 0)</f>
        <v>1</v>
      </c>
      <c r="AK232" s="2">
        <f t="shared" si="495"/>
        <v>0</v>
      </c>
      <c r="AL232" s="2">
        <f t="shared" si="495"/>
        <v>0</v>
      </c>
      <c r="AM232" s="2">
        <f t="shared" si="495"/>
        <v>0</v>
      </c>
      <c r="AN232" s="2">
        <f t="shared" si="495"/>
        <v>0</v>
      </c>
      <c r="AO232" s="2">
        <f t="shared" si="495"/>
        <v>0</v>
      </c>
      <c r="AP232" s="2">
        <f t="shared" si="495"/>
        <v>0</v>
      </c>
      <c r="AQ232" s="2">
        <f t="shared" si="495"/>
        <v>0</v>
      </c>
      <c r="AR232" s="2">
        <f t="shared" si="495"/>
        <v>0</v>
      </c>
      <c r="AS232" s="2">
        <f t="shared" si="495"/>
        <v>0</v>
      </c>
      <c r="AT232" s="2">
        <f t="shared" si="495"/>
        <v>0</v>
      </c>
      <c r="AU232" s="2">
        <f t="shared" si="495"/>
        <v>0</v>
      </c>
      <c r="AV232" s="2">
        <f t="shared" si="495"/>
        <v>0</v>
      </c>
      <c r="AW232" s="2">
        <f t="shared" si="495"/>
        <v>0</v>
      </c>
      <c r="AX232" s="2">
        <f t="shared" si="495"/>
        <v>0</v>
      </c>
      <c r="AY232" s="2">
        <f t="shared" si="495"/>
        <v>0</v>
      </c>
      <c r="AZ232" s="2">
        <f t="shared" si="495"/>
        <v>0</v>
      </c>
      <c r="BA232" s="2">
        <f t="shared" si="495"/>
        <v>1</v>
      </c>
      <c r="BB232" s="2">
        <f t="shared" si="495"/>
        <v>1</v>
      </c>
      <c r="BC232" s="2">
        <f t="shared" si="495"/>
        <v>1</v>
      </c>
      <c r="BD232" s="2">
        <f t="shared" si="495"/>
        <v>1</v>
      </c>
      <c r="BE232" s="2">
        <f t="shared" si="495"/>
        <v>1</v>
      </c>
      <c r="BF232" s="2">
        <f t="shared" si="495"/>
        <v>1</v>
      </c>
      <c r="BG232" s="2">
        <f t="shared" si="495"/>
        <v>1</v>
      </c>
      <c r="BH232" s="2">
        <f t="shared" si="495"/>
        <v>1</v>
      </c>
      <c r="BI232" s="2">
        <f t="shared" si="495"/>
        <v>1</v>
      </c>
      <c r="BJ232" s="2">
        <f t="shared" si="495"/>
        <v>1</v>
      </c>
      <c r="BN232" s="2">
        <f>IF(BN225=1, IF(BN200&gt;6.25, IF(BN200&lt;=6.5, 1, 0), 0), 0)</f>
        <v>0</v>
      </c>
    </row>
    <row r="233" spans="1:66">
      <c r="A233" s="37" t="s">
        <v>41</v>
      </c>
      <c r="B233" s="54">
        <f t="shared" ref="B233:T233" si="496">IF(B232=1, IF(B199&gt;0.7, 29, IF(B199&gt;0.3, 30, 31)), 0)</f>
        <v>0</v>
      </c>
      <c r="C233" s="2">
        <f t="shared" si="496"/>
        <v>0</v>
      </c>
      <c r="D233" s="2">
        <f t="shared" si="496"/>
        <v>0</v>
      </c>
      <c r="E233" s="2">
        <f t="shared" si="496"/>
        <v>0</v>
      </c>
      <c r="F233" s="2">
        <f t="shared" si="496"/>
        <v>0</v>
      </c>
      <c r="G233" s="2">
        <f t="shared" si="496"/>
        <v>0</v>
      </c>
      <c r="H233" s="2">
        <f t="shared" si="496"/>
        <v>0</v>
      </c>
      <c r="I233" s="2">
        <f t="shared" si="496"/>
        <v>0</v>
      </c>
      <c r="J233" s="2">
        <f t="shared" si="496"/>
        <v>0</v>
      </c>
      <c r="K233" s="54">
        <f t="shared" si="496"/>
        <v>0</v>
      </c>
      <c r="L233" s="2">
        <f t="shared" si="496"/>
        <v>0</v>
      </c>
      <c r="M233" s="2">
        <f t="shared" si="496"/>
        <v>0</v>
      </c>
      <c r="N233" s="2">
        <f t="shared" si="496"/>
        <v>0</v>
      </c>
      <c r="O233" s="2">
        <f t="shared" si="496"/>
        <v>0</v>
      </c>
      <c r="P233" s="2">
        <f t="shared" si="496"/>
        <v>0</v>
      </c>
      <c r="Q233" s="2">
        <f t="shared" si="496"/>
        <v>0</v>
      </c>
      <c r="R233" s="2">
        <f t="shared" si="496"/>
        <v>30</v>
      </c>
      <c r="S233" s="2">
        <f t="shared" si="496"/>
        <v>30</v>
      </c>
      <c r="T233" s="2">
        <f t="shared" si="496"/>
        <v>30</v>
      </c>
      <c r="U233" s="2">
        <f t="shared" ref="U233:AI233" si="497">IF(U232=1, IF(U199&gt;0.7, 29, IF(U199&gt;0.3, 30, 31)), 0)</f>
        <v>30</v>
      </c>
      <c r="V233" s="2">
        <f t="shared" si="497"/>
        <v>30</v>
      </c>
      <c r="W233" s="2">
        <f t="shared" si="497"/>
        <v>0</v>
      </c>
      <c r="X233" s="2">
        <f t="shared" si="497"/>
        <v>0</v>
      </c>
      <c r="Y233" s="2">
        <f t="shared" si="497"/>
        <v>0</v>
      </c>
      <c r="Z233" s="2">
        <f t="shared" si="497"/>
        <v>0</v>
      </c>
      <c r="AA233" s="2">
        <f t="shared" si="497"/>
        <v>0</v>
      </c>
      <c r="AB233" s="2">
        <f t="shared" si="497"/>
        <v>0</v>
      </c>
      <c r="AC233" s="2">
        <f t="shared" si="497"/>
        <v>30</v>
      </c>
      <c r="AD233" s="2">
        <f t="shared" si="497"/>
        <v>30</v>
      </c>
      <c r="AE233" s="2">
        <f t="shared" si="497"/>
        <v>30</v>
      </c>
      <c r="AF233" s="2">
        <f t="shared" si="497"/>
        <v>30</v>
      </c>
      <c r="AG233" s="2">
        <f t="shared" si="497"/>
        <v>30</v>
      </c>
      <c r="AH233" s="2">
        <f t="shared" si="497"/>
        <v>30</v>
      </c>
      <c r="AI233" s="2">
        <f t="shared" si="497"/>
        <v>30</v>
      </c>
      <c r="AJ233" s="2">
        <f t="shared" ref="AJ233:BJ233" si="498">IF(AJ232=1, IF(AJ199&gt;0.7, 29, IF(AJ199&gt;0.3, 30, 31)), 0)</f>
        <v>30</v>
      </c>
      <c r="AK233" s="2">
        <f t="shared" si="498"/>
        <v>0</v>
      </c>
      <c r="AL233" s="2">
        <f t="shared" si="498"/>
        <v>0</v>
      </c>
      <c r="AM233" s="2">
        <f t="shared" si="498"/>
        <v>0</v>
      </c>
      <c r="AN233" s="2">
        <f t="shared" si="498"/>
        <v>0</v>
      </c>
      <c r="AO233" s="2">
        <f t="shared" si="498"/>
        <v>0</v>
      </c>
      <c r="AP233" s="2">
        <f t="shared" si="498"/>
        <v>0</v>
      </c>
      <c r="AQ233" s="2">
        <f t="shared" si="498"/>
        <v>0</v>
      </c>
      <c r="AR233" s="2">
        <f t="shared" si="498"/>
        <v>0</v>
      </c>
      <c r="AS233" s="2">
        <f t="shared" si="498"/>
        <v>0</v>
      </c>
      <c r="AT233" s="2">
        <f t="shared" si="498"/>
        <v>0</v>
      </c>
      <c r="AU233" s="2">
        <f t="shared" si="498"/>
        <v>0</v>
      </c>
      <c r="AV233" s="2">
        <f t="shared" si="498"/>
        <v>0</v>
      </c>
      <c r="AW233" s="2">
        <f t="shared" si="498"/>
        <v>0</v>
      </c>
      <c r="AX233" s="2">
        <f t="shared" si="498"/>
        <v>0</v>
      </c>
      <c r="AY233" s="2">
        <f t="shared" si="498"/>
        <v>0</v>
      </c>
      <c r="AZ233" s="2">
        <f t="shared" si="498"/>
        <v>0</v>
      </c>
      <c r="BA233" s="2">
        <f t="shared" si="498"/>
        <v>30</v>
      </c>
      <c r="BB233" s="2">
        <f t="shared" si="498"/>
        <v>30</v>
      </c>
      <c r="BC233" s="2">
        <f t="shared" si="498"/>
        <v>30</v>
      </c>
      <c r="BD233" s="2">
        <f t="shared" si="498"/>
        <v>30</v>
      </c>
      <c r="BE233" s="2">
        <f t="shared" si="498"/>
        <v>30</v>
      </c>
      <c r="BF233" s="2">
        <f t="shared" si="498"/>
        <v>30</v>
      </c>
      <c r="BG233" s="2">
        <f t="shared" si="498"/>
        <v>30</v>
      </c>
      <c r="BH233" s="2">
        <f t="shared" si="498"/>
        <v>30</v>
      </c>
      <c r="BI233" s="2">
        <f t="shared" si="498"/>
        <v>30</v>
      </c>
      <c r="BJ233" s="2">
        <f t="shared" si="498"/>
        <v>30</v>
      </c>
      <c r="BN233" s="2">
        <f>IF(BN232=1, IF(BN199&gt;0.7, 29, IF(BN199&gt;0.3, 30, 31)), 0)</f>
        <v>0</v>
      </c>
    </row>
    <row r="234" spans="1:66">
      <c r="A234" s="47" t="s">
        <v>42</v>
      </c>
      <c r="B234" s="54">
        <f t="shared" ref="B234:T234" si="499">IF(B225=1, IF(B200&lt;=6.25, 1, 0), 0)</f>
        <v>0</v>
      </c>
      <c r="C234" s="2">
        <f t="shared" si="499"/>
        <v>0</v>
      </c>
      <c r="D234" s="2">
        <f t="shared" si="499"/>
        <v>0</v>
      </c>
      <c r="E234" s="2">
        <f t="shared" si="499"/>
        <v>0</v>
      </c>
      <c r="F234" s="2">
        <f t="shared" si="499"/>
        <v>0</v>
      </c>
      <c r="G234" s="2">
        <f t="shared" si="499"/>
        <v>0</v>
      </c>
      <c r="H234" s="2">
        <f t="shared" si="499"/>
        <v>0</v>
      </c>
      <c r="I234" s="2">
        <f t="shared" si="499"/>
        <v>0</v>
      </c>
      <c r="J234" s="2">
        <f t="shared" si="499"/>
        <v>0</v>
      </c>
      <c r="K234" s="54">
        <f t="shared" si="499"/>
        <v>0</v>
      </c>
      <c r="L234" s="2">
        <f t="shared" si="499"/>
        <v>0</v>
      </c>
      <c r="M234" s="2">
        <f t="shared" si="499"/>
        <v>0</v>
      </c>
      <c r="N234" s="2">
        <f t="shared" si="499"/>
        <v>0</v>
      </c>
      <c r="O234" s="2">
        <f t="shared" si="499"/>
        <v>0</v>
      </c>
      <c r="P234" s="2">
        <f t="shared" si="499"/>
        <v>0</v>
      </c>
      <c r="Q234" s="2">
        <f t="shared" si="499"/>
        <v>0</v>
      </c>
      <c r="R234" s="2">
        <f t="shared" si="499"/>
        <v>0</v>
      </c>
      <c r="S234" s="2">
        <f t="shared" si="499"/>
        <v>0</v>
      </c>
      <c r="T234" s="2">
        <f t="shared" si="499"/>
        <v>0</v>
      </c>
      <c r="U234" s="2">
        <f t="shared" ref="U234:AI234" si="500">IF(U225=1, IF(U200&lt;=6.25, 1, 0), 0)</f>
        <v>0</v>
      </c>
      <c r="V234" s="2">
        <f t="shared" si="500"/>
        <v>0</v>
      </c>
      <c r="W234" s="2">
        <f t="shared" si="500"/>
        <v>0</v>
      </c>
      <c r="X234" s="2">
        <f t="shared" si="500"/>
        <v>0</v>
      </c>
      <c r="Y234" s="2">
        <f t="shared" si="500"/>
        <v>0</v>
      </c>
      <c r="Z234" s="2">
        <f t="shared" si="500"/>
        <v>0</v>
      </c>
      <c r="AA234" s="2">
        <f t="shared" si="500"/>
        <v>0</v>
      </c>
      <c r="AB234" s="2">
        <f t="shared" si="500"/>
        <v>0</v>
      </c>
      <c r="AC234" s="2">
        <f t="shared" si="500"/>
        <v>0</v>
      </c>
      <c r="AD234" s="2">
        <f t="shared" si="500"/>
        <v>0</v>
      </c>
      <c r="AE234" s="2">
        <f t="shared" si="500"/>
        <v>0</v>
      </c>
      <c r="AF234" s="2">
        <f t="shared" si="500"/>
        <v>0</v>
      </c>
      <c r="AG234" s="2">
        <f t="shared" si="500"/>
        <v>0</v>
      </c>
      <c r="AH234" s="2">
        <f t="shared" si="500"/>
        <v>0</v>
      </c>
      <c r="AI234" s="2">
        <f t="shared" si="500"/>
        <v>0</v>
      </c>
      <c r="AJ234" s="2">
        <f t="shared" ref="AJ234:BJ234" si="501">IF(AJ225=1, IF(AJ200&lt;=6.25, 1, 0), 0)</f>
        <v>0</v>
      </c>
      <c r="AK234" s="2">
        <f t="shared" si="501"/>
        <v>0</v>
      </c>
      <c r="AL234" s="2">
        <f t="shared" si="501"/>
        <v>0</v>
      </c>
      <c r="AM234" s="2">
        <f t="shared" si="501"/>
        <v>0</v>
      </c>
      <c r="AN234" s="2">
        <f t="shared" si="501"/>
        <v>0</v>
      </c>
      <c r="AO234" s="2">
        <f t="shared" si="501"/>
        <v>0</v>
      </c>
      <c r="AP234" s="2">
        <f t="shared" si="501"/>
        <v>0</v>
      </c>
      <c r="AQ234" s="2">
        <f t="shared" si="501"/>
        <v>0</v>
      </c>
      <c r="AR234" s="2">
        <f t="shared" si="501"/>
        <v>0</v>
      </c>
      <c r="AS234" s="2">
        <f t="shared" si="501"/>
        <v>0</v>
      </c>
      <c r="AT234" s="2">
        <f t="shared" si="501"/>
        <v>0</v>
      </c>
      <c r="AU234" s="2">
        <f t="shared" si="501"/>
        <v>0</v>
      </c>
      <c r="AV234" s="2">
        <f t="shared" si="501"/>
        <v>0</v>
      </c>
      <c r="AW234" s="2">
        <f t="shared" si="501"/>
        <v>0</v>
      </c>
      <c r="AX234" s="2">
        <f t="shared" si="501"/>
        <v>0</v>
      </c>
      <c r="AY234" s="2">
        <f t="shared" si="501"/>
        <v>0</v>
      </c>
      <c r="AZ234" s="2">
        <f t="shared" si="501"/>
        <v>0</v>
      </c>
      <c r="BA234" s="2">
        <f t="shared" si="501"/>
        <v>0</v>
      </c>
      <c r="BB234" s="2">
        <f t="shared" si="501"/>
        <v>0</v>
      </c>
      <c r="BC234" s="2">
        <f t="shared" si="501"/>
        <v>0</v>
      </c>
      <c r="BD234" s="2">
        <f t="shared" si="501"/>
        <v>0</v>
      </c>
      <c r="BE234" s="2">
        <f t="shared" si="501"/>
        <v>0</v>
      </c>
      <c r="BF234" s="2">
        <f t="shared" si="501"/>
        <v>0</v>
      </c>
      <c r="BG234" s="2">
        <f t="shared" si="501"/>
        <v>0</v>
      </c>
      <c r="BH234" s="2">
        <f t="shared" si="501"/>
        <v>0</v>
      </c>
      <c r="BI234" s="2">
        <f t="shared" si="501"/>
        <v>0</v>
      </c>
      <c r="BJ234" s="2">
        <f t="shared" si="501"/>
        <v>0</v>
      </c>
      <c r="BN234" s="2">
        <f>IF(BN225=1, IF(BN200&lt;=6.25, 1, 0), 0)</f>
        <v>0</v>
      </c>
    </row>
    <row r="235" spans="1:66">
      <c r="A235" s="37" t="s">
        <v>43</v>
      </c>
      <c r="B235" s="54">
        <f t="shared" ref="B235:T235" si="502">IF(B234=1, IF(B199&gt;0.7, 32, IF(B199&gt;0.3, 33, 34)), 0)</f>
        <v>0</v>
      </c>
      <c r="C235" s="2">
        <f t="shared" si="502"/>
        <v>0</v>
      </c>
      <c r="D235" s="2">
        <f t="shared" si="502"/>
        <v>0</v>
      </c>
      <c r="E235" s="2">
        <f t="shared" si="502"/>
        <v>0</v>
      </c>
      <c r="F235" s="2">
        <f t="shared" si="502"/>
        <v>0</v>
      </c>
      <c r="G235" s="2">
        <f t="shared" si="502"/>
        <v>0</v>
      </c>
      <c r="H235" s="2">
        <f t="shared" si="502"/>
        <v>0</v>
      </c>
      <c r="I235" s="2">
        <f t="shared" si="502"/>
        <v>0</v>
      </c>
      <c r="J235" s="2">
        <f t="shared" si="502"/>
        <v>0</v>
      </c>
      <c r="K235" s="54">
        <f t="shared" si="502"/>
        <v>0</v>
      </c>
      <c r="L235" s="2">
        <f t="shared" si="502"/>
        <v>0</v>
      </c>
      <c r="M235" s="2">
        <f t="shared" si="502"/>
        <v>0</v>
      </c>
      <c r="N235" s="2">
        <f t="shared" si="502"/>
        <v>0</v>
      </c>
      <c r="O235" s="2">
        <f t="shared" si="502"/>
        <v>0</v>
      </c>
      <c r="P235" s="2">
        <f t="shared" si="502"/>
        <v>0</v>
      </c>
      <c r="Q235" s="2">
        <f t="shared" si="502"/>
        <v>0</v>
      </c>
      <c r="R235" s="2">
        <f t="shared" si="502"/>
        <v>0</v>
      </c>
      <c r="S235" s="2">
        <f t="shared" si="502"/>
        <v>0</v>
      </c>
      <c r="T235" s="2">
        <f t="shared" si="502"/>
        <v>0</v>
      </c>
      <c r="U235" s="2">
        <f t="shared" ref="U235:AI235" si="503">IF(U234=1, IF(U199&gt;0.7, 32, IF(U199&gt;0.3, 33, 34)), 0)</f>
        <v>0</v>
      </c>
      <c r="V235" s="2">
        <f t="shared" si="503"/>
        <v>0</v>
      </c>
      <c r="W235" s="2">
        <f t="shared" si="503"/>
        <v>0</v>
      </c>
      <c r="X235" s="2">
        <f t="shared" si="503"/>
        <v>0</v>
      </c>
      <c r="Y235" s="2">
        <f t="shared" si="503"/>
        <v>0</v>
      </c>
      <c r="Z235" s="2">
        <f t="shared" si="503"/>
        <v>0</v>
      </c>
      <c r="AA235" s="2">
        <f t="shared" si="503"/>
        <v>0</v>
      </c>
      <c r="AB235" s="2">
        <f t="shared" si="503"/>
        <v>0</v>
      </c>
      <c r="AC235" s="2">
        <f t="shared" si="503"/>
        <v>0</v>
      </c>
      <c r="AD235" s="2">
        <f t="shared" si="503"/>
        <v>0</v>
      </c>
      <c r="AE235" s="2">
        <f t="shared" si="503"/>
        <v>0</v>
      </c>
      <c r="AF235" s="2">
        <f t="shared" si="503"/>
        <v>0</v>
      </c>
      <c r="AG235" s="2">
        <f t="shared" si="503"/>
        <v>0</v>
      </c>
      <c r="AH235" s="2">
        <f t="shared" si="503"/>
        <v>0</v>
      </c>
      <c r="AI235" s="2">
        <f t="shared" si="503"/>
        <v>0</v>
      </c>
      <c r="AJ235" s="2">
        <f t="shared" ref="AJ235:BJ235" si="504">IF(AJ234=1, IF(AJ199&gt;0.7, 32, IF(AJ199&gt;0.3, 33, 34)), 0)</f>
        <v>0</v>
      </c>
      <c r="AK235" s="2">
        <f t="shared" si="504"/>
        <v>0</v>
      </c>
      <c r="AL235" s="2">
        <f t="shared" si="504"/>
        <v>0</v>
      </c>
      <c r="AM235" s="2">
        <f t="shared" si="504"/>
        <v>0</v>
      </c>
      <c r="AN235" s="2">
        <f t="shared" si="504"/>
        <v>0</v>
      </c>
      <c r="AO235" s="2">
        <f t="shared" si="504"/>
        <v>0</v>
      </c>
      <c r="AP235" s="2">
        <f t="shared" si="504"/>
        <v>0</v>
      </c>
      <c r="AQ235" s="2">
        <f t="shared" si="504"/>
        <v>0</v>
      </c>
      <c r="AR235" s="2">
        <f t="shared" si="504"/>
        <v>0</v>
      </c>
      <c r="AS235" s="2">
        <f t="shared" si="504"/>
        <v>0</v>
      </c>
      <c r="AT235" s="2">
        <f t="shared" si="504"/>
        <v>0</v>
      </c>
      <c r="AU235" s="2">
        <f t="shared" si="504"/>
        <v>0</v>
      </c>
      <c r="AV235" s="2">
        <f t="shared" si="504"/>
        <v>0</v>
      </c>
      <c r="AW235" s="2">
        <f t="shared" si="504"/>
        <v>0</v>
      </c>
      <c r="AX235" s="2">
        <f t="shared" si="504"/>
        <v>0</v>
      </c>
      <c r="AY235" s="2">
        <f t="shared" si="504"/>
        <v>0</v>
      </c>
      <c r="AZ235" s="2">
        <f t="shared" si="504"/>
        <v>0</v>
      </c>
      <c r="BA235" s="2">
        <f t="shared" si="504"/>
        <v>0</v>
      </c>
      <c r="BB235" s="2">
        <f t="shared" si="504"/>
        <v>0</v>
      </c>
      <c r="BC235" s="2">
        <f t="shared" si="504"/>
        <v>0</v>
      </c>
      <c r="BD235" s="2">
        <f t="shared" si="504"/>
        <v>0</v>
      </c>
      <c r="BE235" s="2">
        <f t="shared" si="504"/>
        <v>0</v>
      </c>
      <c r="BF235" s="2">
        <f t="shared" si="504"/>
        <v>0</v>
      </c>
      <c r="BG235" s="2">
        <f t="shared" si="504"/>
        <v>0</v>
      </c>
      <c r="BH235" s="2">
        <f t="shared" si="504"/>
        <v>0</v>
      </c>
      <c r="BI235" s="2">
        <f t="shared" si="504"/>
        <v>0</v>
      </c>
      <c r="BJ235" s="2">
        <f t="shared" si="504"/>
        <v>0</v>
      </c>
      <c r="BN235" s="2">
        <f>IF(BN234=1, IF(BN199&gt;0.7, 32, IF(BN199&gt;0.3, 33, 34)), 0)</f>
        <v>0</v>
      </c>
    </row>
    <row r="236" spans="1:66">
      <c r="A236" s="1" t="s">
        <v>45</v>
      </c>
      <c r="B236" s="54">
        <f t="shared" ref="B236:T236" si="505">B211+B213+B225</f>
        <v>1</v>
      </c>
      <c r="C236" s="2">
        <f t="shared" si="505"/>
        <v>1</v>
      </c>
      <c r="D236" s="2">
        <f t="shared" si="505"/>
        <v>1</v>
      </c>
      <c r="E236" s="2">
        <f t="shared" si="505"/>
        <v>1</v>
      </c>
      <c r="F236" s="2">
        <f t="shared" si="505"/>
        <v>1</v>
      </c>
      <c r="G236" s="2">
        <f t="shared" si="505"/>
        <v>1</v>
      </c>
      <c r="H236" s="2">
        <f t="shared" si="505"/>
        <v>1</v>
      </c>
      <c r="I236" s="2">
        <f t="shared" si="505"/>
        <v>1</v>
      </c>
      <c r="J236" s="2">
        <f t="shared" si="505"/>
        <v>1</v>
      </c>
      <c r="K236" s="54">
        <f t="shared" si="505"/>
        <v>1</v>
      </c>
      <c r="L236" s="2">
        <f t="shared" si="505"/>
        <v>1</v>
      </c>
      <c r="M236" s="2">
        <f t="shared" si="505"/>
        <v>1</v>
      </c>
      <c r="N236" s="2">
        <f t="shared" si="505"/>
        <v>1</v>
      </c>
      <c r="O236" s="2">
        <f t="shared" si="505"/>
        <v>1</v>
      </c>
      <c r="P236" s="2">
        <f t="shared" si="505"/>
        <v>1</v>
      </c>
      <c r="Q236" s="2">
        <f t="shared" si="505"/>
        <v>1</v>
      </c>
      <c r="R236" s="2">
        <f t="shared" si="505"/>
        <v>1</v>
      </c>
      <c r="S236" s="2">
        <f t="shared" si="505"/>
        <v>1</v>
      </c>
      <c r="T236" s="2">
        <f t="shared" si="505"/>
        <v>1</v>
      </c>
      <c r="U236" s="2">
        <f t="shared" ref="U236:AI236" si="506">U211+U213+U225</f>
        <v>1</v>
      </c>
      <c r="V236" s="2">
        <f t="shared" si="506"/>
        <v>1</v>
      </c>
      <c r="W236" s="2">
        <f t="shared" si="506"/>
        <v>1</v>
      </c>
      <c r="X236" s="2">
        <f t="shared" si="506"/>
        <v>1</v>
      </c>
      <c r="Y236" s="2">
        <f t="shared" si="506"/>
        <v>1</v>
      </c>
      <c r="Z236" s="2">
        <f t="shared" si="506"/>
        <v>1</v>
      </c>
      <c r="AA236" s="2">
        <f t="shared" si="506"/>
        <v>1</v>
      </c>
      <c r="AB236" s="2">
        <f t="shared" si="506"/>
        <v>1</v>
      </c>
      <c r="AC236" s="2">
        <f t="shared" si="506"/>
        <v>1</v>
      </c>
      <c r="AD236" s="2">
        <f t="shared" si="506"/>
        <v>1</v>
      </c>
      <c r="AE236" s="2">
        <f t="shared" si="506"/>
        <v>1</v>
      </c>
      <c r="AF236" s="2">
        <f t="shared" si="506"/>
        <v>1</v>
      </c>
      <c r="AG236" s="2">
        <f t="shared" si="506"/>
        <v>1</v>
      </c>
      <c r="AH236" s="2">
        <f t="shared" si="506"/>
        <v>1</v>
      </c>
      <c r="AI236" s="2">
        <f t="shared" si="506"/>
        <v>1</v>
      </c>
      <c r="AJ236" s="2">
        <f t="shared" ref="AJ236:BJ236" si="507">AJ211+AJ213+AJ225</f>
        <v>1</v>
      </c>
      <c r="AK236" s="2">
        <f t="shared" si="507"/>
        <v>1</v>
      </c>
      <c r="AL236" s="2">
        <f t="shared" si="507"/>
        <v>1</v>
      </c>
      <c r="AM236" s="2">
        <f t="shared" si="507"/>
        <v>1</v>
      </c>
      <c r="AN236" s="2">
        <f t="shared" si="507"/>
        <v>1</v>
      </c>
      <c r="AO236" s="2">
        <f t="shared" si="507"/>
        <v>1</v>
      </c>
      <c r="AP236" s="2">
        <f t="shared" si="507"/>
        <v>1</v>
      </c>
      <c r="AQ236" s="2">
        <f t="shared" si="507"/>
        <v>1</v>
      </c>
      <c r="AR236" s="2">
        <f t="shared" si="507"/>
        <v>1</v>
      </c>
      <c r="AS236" s="2">
        <f t="shared" si="507"/>
        <v>1</v>
      </c>
      <c r="AT236" s="2">
        <f t="shared" si="507"/>
        <v>1</v>
      </c>
      <c r="AU236" s="2">
        <f t="shared" si="507"/>
        <v>1</v>
      </c>
      <c r="AV236" s="2">
        <f t="shared" si="507"/>
        <v>1</v>
      </c>
      <c r="AW236" s="2">
        <f t="shared" si="507"/>
        <v>1</v>
      </c>
      <c r="AX236" s="2">
        <f t="shared" si="507"/>
        <v>1</v>
      </c>
      <c r="AY236" s="2">
        <f t="shared" si="507"/>
        <v>1</v>
      </c>
      <c r="AZ236" s="2">
        <f t="shared" si="507"/>
        <v>1</v>
      </c>
      <c r="BA236" s="2">
        <f t="shared" si="507"/>
        <v>1</v>
      </c>
      <c r="BB236" s="2">
        <f t="shared" si="507"/>
        <v>1</v>
      </c>
      <c r="BC236" s="2">
        <f t="shared" si="507"/>
        <v>1</v>
      </c>
      <c r="BD236" s="2">
        <f t="shared" si="507"/>
        <v>1</v>
      </c>
      <c r="BE236" s="2">
        <f t="shared" si="507"/>
        <v>1</v>
      </c>
      <c r="BF236" s="2">
        <f t="shared" si="507"/>
        <v>1</v>
      </c>
      <c r="BG236" s="2">
        <f t="shared" si="507"/>
        <v>1</v>
      </c>
      <c r="BH236" s="2">
        <f t="shared" si="507"/>
        <v>1</v>
      </c>
      <c r="BI236" s="2">
        <f t="shared" si="507"/>
        <v>1</v>
      </c>
      <c r="BJ236" s="2">
        <f t="shared" si="507"/>
        <v>1</v>
      </c>
      <c r="BN236" s="2">
        <f>BN211+BN213+BN225</f>
        <v>1</v>
      </c>
    </row>
    <row r="237" spans="1:66">
      <c r="A237" s="38" t="s">
        <v>44</v>
      </c>
      <c r="B237" s="54">
        <f t="shared" ref="B237:T237" si="508">IF(B210=1, IF(B236=0, 1, 0), 0)</f>
        <v>0</v>
      </c>
      <c r="C237" s="2">
        <f t="shared" si="508"/>
        <v>0</v>
      </c>
      <c r="D237" s="2">
        <f t="shared" si="508"/>
        <v>0</v>
      </c>
      <c r="E237" s="2">
        <f t="shared" si="508"/>
        <v>0</v>
      </c>
      <c r="F237" s="2">
        <f t="shared" si="508"/>
        <v>0</v>
      </c>
      <c r="G237" s="2">
        <f t="shared" si="508"/>
        <v>0</v>
      </c>
      <c r="H237" s="2">
        <f t="shared" si="508"/>
        <v>0</v>
      </c>
      <c r="I237" s="2">
        <f t="shared" si="508"/>
        <v>0</v>
      </c>
      <c r="J237" s="2">
        <f t="shared" si="508"/>
        <v>0</v>
      </c>
      <c r="K237" s="54">
        <f t="shared" si="508"/>
        <v>0</v>
      </c>
      <c r="L237" s="2">
        <f t="shared" si="508"/>
        <v>0</v>
      </c>
      <c r="M237" s="2">
        <f t="shared" si="508"/>
        <v>0</v>
      </c>
      <c r="N237" s="2">
        <f t="shared" si="508"/>
        <v>0</v>
      </c>
      <c r="O237" s="2">
        <f t="shared" si="508"/>
        <v>0</v>
      </c>
      <c r="P237" s="2">
        <f t="shared" si="508"/>
        <v>0</v>
      </c>
      <c r="Q237" s="2">
        <f t="shared" si="508"/>
        <v>0</v>
      </c>
      <c r="R237" s="2">
        <f t="shared" si="508"/>
        <v>0</v>
      </c>
      <c r="S237" s="2">
        <f t="shared" si="508"/>
        <v>0</v>
      </c>
      <c r="T237" s="2">
        <f t="shared" si="508"/>
        <v>0</v>
      </c>
      <c r="U237" s="2">
        <f t="shared" ref="U237:AI237" si="509">IF(U210=1, IF(U236=0, 1, 0), 0)</f>
        <v>0</v>
      </c>
      <c r="V237" s="2">
        <f t="shared" si="509"/>
        <v>0</v>
      </c>
      <c r="W237" s="2">
        <f t="shared" si="509"/>
        <v>0</v>
      </c>
      <c r="X237" s="2">
        <f t="shared" si="509"/>
        <v>0</v>
      </c>
      <c r="Y237" s="2">
        <f t="shared" si="509"/>
        <v>0</v>
      </c>
      <c r="Z237" s="2">
        <f t="shared" si="509"/>
        <v>0</v>
      </c>
      <c r="AA237" s="2">
        <f t="shared" si="509"/>
        <v>0</v>
      </c>
      <c r="AB237" s="2">
        <f t="shared" si="509"/>
        <v>0</v>
      </c>
      <c r="AC237" s="2">
        <f t="shared" si="509"/>
        <v>0</v>
      </c>
      <c r="AD237" s="2">
        <f t="shared" si="509"/>
        <v>0</v>
      </c>
      <c r="AE237" s="2">
        <f t="shared" si="509"/>
        <v>0</v>
      </c>
      <c r="AF237" s="2">
        <f t="shared" si="509"/>
        <v>0</v>
      </c>
      <c r="AG237" s="2">
        <f t="shared" si="509"/>
        <v>0</v>
      </c>
      <c r="AH237" s="2">
        <f t="shared" si="509"/>
        <v>0</v>
      </c>
      <c r="AI237" s="2">
        <f t="shared" si="509"/>
        <v>0</v>
      </c>
      <c r="AJ237" s="2">
        <f t="shared" ref="AJ237:BJ237" si="510">IF(AJ210=1, IF(AJ236=0, 1, 0), 0)</f>
        <v>0</v>
      </c>
      <c r="AK237" s="2">
        <f t="shared" si="510"/>
        <v>0</v>
      </c>
      <c r="AL237" s="2">
        <f t="shared" si="510"/>
        <v>0</v>
      </c>
      <c r="AM237" s="2">
        <f t="shared" si="510"/>
        <v>0</v>
      </c>
      <c r="AN237" s="2">
        <f t="shared" si="510"/>
        <v>0</v>
      </c>
      <c r="AO237" s="2">
        <f t="shared" si="510"/>
        <v>0</v>
      </c>
      <c r="AP237" s="2">
        <f t="shared" si="510"/>
        <v>0</v>
      </c>
      <c r="AQ237" s="2">
        <f t="shared" si="510"/>
        <v>0</v>
      </c>
      <c r="AR237" s="2">
        <f t="shared" si="510"/>
        <v>0</v>
      </c>
      <c r="AS237" s="2">
        <f t="shared" si="510"/>
        <v>0</v>
      </c>
      <c r="AT237" s="2">
        <f t="shared" si="510"/>
        <v>0</v>
      </c>
      <c r="AU237" s="2">
        <f t="shared" si="510"/>
        <v>0</v>
      </c>
      <c r="AV237" s="2">
        <f t="shared" si="510"/>
        <v>0</v>
      </c>
      <c r="AW237" s="2">
        <f t="shared" si="510"/>
        <v>0</v>
      </c>
      <c r="AX237" s="2">
        <f t="shared" si="510"/>
        <v>0</v>
      </c>
      <c r="AY237" s="2">
        <f t="shared" si="510"/>
        <v>0</v>
      </c>
      <c r="AZ237" s="2">
        <f t="shared" si="510"/>
        <v>0</v>
      </c>
      <c r="BA237" s="2">
        <f t="shared" si="510"/>
        <v>0</v>
      </c>
      <c r="BB237" s="2">
        <f t="shared" si="510"/>
        <v>0</v>
      </c>
      <c r="BC237" s="2">
        <f t="shared" si="510"/>
        <v>0</v>
      </c>
      <c r="BD237" s="2">
        <f t="shared" si="510"/>
        <v>0</v>
      </c>
      <c r="BE237" s="2">
        <f t="shared" si="510"/>
        <v>0</v>
      </c>
      <c r="BF237" s="2">
        <f t="shared" si="510"/>
        <v>0</v>
      </c>
      <c r="BG237" s="2">
        <f t="shared" si="510"/>
        <v>0</v>
      </c>
      <c r="BH237" s="2">
        <f t="shared" si="510"/>
        <v>0</v>
      </c>
      <c r="BI237" s="2">
        <f t="shared" si="510"/>
        <v>0</v>
      </c>
      <c r="BJ237" s="2">
        <f t="shared" si="510"/>
        <v>0</v>
      </c>
      <c r="BN237" s="2">
        <f>IF(BN210=1, IF(BN236=0, 1, 0), 0)</f>
        <v>0</v>
      </c>
    </row>
    <row r="238" spans="1:66">
      <c r="A238" s="47" t="s">
        <v>46</v>
      </c>
      <c r="B238" s="54">
        <f t="shared" ref="B238:T238" si="511">IF(B237=1, IF(B200&gt;7.25, 1, 0), 0)</f>
        <v>0</v>
      </c>
      <c r="C238" s="2">
        <f t="shared" si="511"/>
        <v>0</v>
      </c>
      <c r="D238" s="2">
        <f t="shared" si="511"/>
        <v>0</v>
      </c>
      <c r="E238" s="2">
        <f t="shared" si="511"/>
        <v>0</v>
      </c>
      <c r="F238" s="2">
        <f t="shared" si="511"/>
        <v>0</v>
      </c>
      <c r="G238" s="2">
        <f t="shared" si="511"/>
        <v>0</v>
      </c>
      <c r="H238" s="2">
        <f t="shared" si="511"/>
        <v>0</v>
      </c>
      <c r="I238" s="2">
        <f t="shared" si="511"/>
        <v>0</v>
      </c>
      <c r="J238" s="2">
        <f t="shared" si="511"/>
        <v>0</v>
      </c>
      <c r="K238" s="54">
        <f t="shared" si="511"/>
        <v>0</v>
      </c>
      <c r="L238" s="2">
        <f t="shared" si="511"/>
        <v>0</v>
      </c>
      <c r="M238" s="2">
        <f t="shared" si="511"/>
        <v>0</v>
      </c>
      <c r="N238" s="2">
        <f t="shared" si="511"/>
        <v>0</v>
      </c>
      <c r="O238" s="2">
        <f t="shared" si="511"/>
        <v>0</v>
      </c>
      <c r="P238" s="2">
        <f t="shared" si="511"/>
        <v>0</v>
      </c>
      <c r="Q238" s="2">
        <f t="shared" si="511"/>
        <v>0</v>
      </c>
      <c r="R238" s="2">
        <f t="shared" si="511"/>
        <v>0</v>
      </c>
      <c r="S238" s="2">
        <f t="shared" si="511"/>
        <v>0</v>
      </c>
      <c r="T238" s="2">
        <f t="shared" si="511"/>
        <v>0</v>
      </c>
      <c r="U238" s="2">
        <f t="shared" ref="U238:AI238" si="512">IF(U237=1, IF(U200&gt;7.25, 1, 0), 0)</f>
        <v>0</v>
      </c>
      <c r="V238" s="2">
        <f t="shared" si="512"/>
        <v>0</v>
      </c>
      <c r="W238" s="2">
        <f t="shared" si="512"/>
        <v>0</v>
      </c>
      <c r="X238" s="2">
        <f t="shared" si="512"/>
        <v>0</v>
      </c>
      <c r="Y238" s="2">
        <f t="shared" si="512"/>
        <v>0</v>
      </c>
      <c r="Z238" s="2">
        <f t="shared" si="512"/>
        <v>0</v>
      </c>
      <c r="AA238" s="2">
        <f t="shared" si="512"/>
        <v>0</v>
      </c>
      <c r="AB238" s="2">
        <f t="shared" si="512"/>
        <v>0</v>
      </c>
      <c r="AC238" s="2">
        <f t="shared" si="512"/>
        <v>0</v>
      </c>
      <c r="AD238" s="2">
        <f t="shared" si="512"/>
        <v>0</v>
      </c>
      <c r="AE238" s="2">
        <f t="shared" si="512"/>
        <v>0</v>
      </c>
      <c r="AF238" s="2">
        <f t="shared" si="512"/>
        <v>0</v>
      </c>
      <c r="AG238" s="2">
        <f t="shared" si="512"/>
        <v>0</v>
      </c>
      <c r="AH238" s="2">
        <f t="shared" si="512"/>
        <v>0</v>
      </c>
      <c r="AI238" s="2">
        <f t="shared" si="512"/>
        <v>0</v>
      </c>
      <c r="AJ238" s="2">
        <f t="shared" ref="AJ238:BJ238" si="513">IF(AJ237=1, IF(AJ200&gt;7.25, 1, 0), 0)</f>
        <v>0</v>
      </c>
      <c r="AK238" s="2">
        <f t="shared" si="513"/>
        <v>0</v>
      </c>
      <c r="AL238" s="2">
        <f t="shared" si="513"/>
        <v>0</v>
      </c>
      <c r="AM238" s="2">
        <f t="shared" si="513"/>
        <v>0</v>
      </c>
      <c r="AN238" s="2">
        <f t="shared" si="513"/>
        <v>0</v>
      </c>
      <c r="AO238" s="2">
        <f t="shared" si="513"/>
        <v>0</v>
      </c>
      <c r="AP238" s="2">
        <f t="shared" si="513"/>
        <v>0</v>
      </c>
      <c r="AQ238" s="2">
        <f t="shared" si="513"/>
        <v>0</v>
      </c>
      <c r="AR238" s="2">
        <f t="shared" si="513"/>
        <v>0</v>
      </c>
      <c r="AS238" s="2">
        <f t="shared" si="513"/>
        <v>0</v>
      </c>
      <c r="AT238" s="2">
        <f t="shared" si="513"/>
        <v>0</v>
      </c>
      <c r="AU238" s="2">
        <f t="shared" si="513"/>
        <v>0</v>
      </c>
      <c r="AV238" s="2">
        <f t="shared" si="513"/>
        <v>0</v>
      </c>
      <c r="AW238" s="2">
        <f t="shared" si="513"/>
        <v>0</v>
      </c>
      <c r="AX238" s="2">
        <f t="shared" si="513"/>
        <v>0</v>
      </c>
      <c r="AY238" s="2">
        <f t="shared" si="513"/>
        <v>0</v>
      </c>
      <c r="AZ238" s="2">
        <f t="shared" si="513"/>
        <v>0</v>
      </c>
      <c r="BA238" s="2">
        <f t="shared" si="513"/>
        <v>0</v>
      </c>
      <c r="BB238" s="2">
        <f t="shared" si="513"/>
        <v>0</v>
      </c>
      <c r="BC238" s="2">
        <f t="shared" si="513"/>
        <v>0</v>
      </c>
      <c r="BD238" s="2">
        <f t="shared" si="513"/>
        <v>0</v>
      </c>
      <c r="BE238" s="2">
        <f t="shared" si="513"/>
        <v>0</v>
      </c>
      <c r="BF238" s="2">
        <f t="shared" si="513"/>
        <v>0</v>
      </c>
      <c r="BG238" s="2">
        <f t="shared" si="513"/>
        <v>0</v>
      </c>
      <c r="BH238" s="2">
        <f t="shared" si="513"/>
        <v>0</v>
      </c>
      <c r="BI238" s="2">
        <f t="shared" si="513"/>
        <v>0</v>
      </c>
      <c r="BJ238" s="2">
        <f t="shared" si="513"/>
        <v>0</v>
      </c>
      <c r="BN238" s="2">
        <f>IF(BN237=1, IF(BN200&gt;7.25, 1, 0), 0)</f>
        <v>0</v>
      </c>
    </row>
    <row r="239" spans="1:66">
      <c r="A239" s="37" t="s">
        <v>244</v>
      </c>
      <c r="B239" s="54">
        <f t="shared" ref="B239:T239" si="514">IF(B238=1, IF(B199&gt;0.5, 35, 36), 0)</f>
        <v>0</v>
      </c>
      <c r="C239" s="2">
        <f t="shared" si="514"/>
        <v>0</v>
      </c>
      <c r="D239" s="2">
        <f t="shared" si="514"/>
        <v>0</v>
      </c>
      <c r="E239" s="2">
        <f t="shared" si="514"/>
        <v>0</v>
      </c>
      <c r="F239" s="2">
        <f t="shared" si="514"/>
        <v>0</v>
      </c>
      <c r="G239" s="2">
        <f t="shared" si="514"/>
        <v>0</v>
      </c>
      <c r="H239" s="2">
        <f t="shared" si="514"/>
        <v>0</v>
      </c>
      <c r="I239" s="2">
        <f t="shared" si="514"/>
        <v>0</v>
      </c>
      <c r="J239" s="2">
        <f t="shared" si="514"/>
        <v>0</v>
      </c>
      <c r="K239" s="54">
        <f t="shared" si="514"/>
        <v>0</v>
      </c>
      <c r="L239" s="2">
        <f t="shared" si="514"/>
        <v>0</v>
      </c>
      <c r="M239" s="2">
        <f t="shared" si="514"/>
        <v>0</v>
      </c>
      <c r="N239" s="2">
        <f t="shared" si="514"/>
        <v>0</v>
      </c>
      <c r="O239" s="2">
        <f t="shared" si="514"/>
        <v>0</v>
      </c>
      <c r="P239" s="2">
        <f t="shared" si="514"/>
        <v>0</v>
      </c>
      <c r="Q239" s="2">
        <f t="shared" si="514"/>
        <v>0</v>
      </c>
      <c r="R239" s="2">
        <f t="shared" si="514"/>
        <v>0</v>
      </c>
      <c r="S239" s="2">
        <f t="shared" si="514"/>
        <v>0</v>
      </c>
      <c r="T239" s="2">
        <f t="shared" si="514"/>
        <v>0</v>
      </c>
      <c r="U239" s="2">
        <f t="shared" ref="U239:AI239" si="515">IF(U238=1, IF(U199&gt;0.5, 35, 36), 0)</f>
        <v>0</v>
      </c>
      <c r="V239" s="2">
        <f t="shared" si="515"/>
        <v>0</v>
      </c>
      <c r="W239" s="2">
        <f t="shared" si="515"/>
        <v>0</v>
      </c>
      <c r="X239" s="2">
        <f t="shared" si="515"/>
        <v>0</v>
      </c>
      <c r="Y239" s="2">
        <f t="shared" si="515"/>
        <v>0</v>
      </c>
      <c r="Z239" s="2">
        <f t="shared" si="515"/>
        <v>0</v>
      </c>
      <c r="AA239" s="2">
        <f t="shared" si="515"/>
        <v>0</v>
      </c>
      <c r="AB239" s="2">
        <f t="shared" si="515"/>
        <v>0</v>
      </c>
      <c r="AC239" s="2">
        <f t="shared" si="515"/>
        <v>0</v>
      </c>
      <c r="AD239" s="2">
        <f t="shared" si="515"/>
        <v>0</v>
      </c>
      <c r="AE239" s="2">
        <f t="shared" si="515"/>
        <v>0</v>
      </c>
      <c r="AF239" s="2">
        <f t="shared" si="515"/>
        <v>0</v>
      </c>
      <c r="AG239" s="2">
        <f t="shared" si="515"/>
        <v>0</v>
      </c>
      <c r="AH239" s="2">
        <f t="shared" si="515"/>
        <v>0</v>
      </c>
      <c r="AI239" s="2">
        <f t="shared" si="515"/>
        <v>0</v>
      </c>
      <c r="AJ239" s="2">
        <f t="shared" ref="AJ239:BJ239" si="516">IF(AJ238=1, IF(AJ199&gt;0.5, 35, 36), 0)</f>
        <v>0</v>
      </c>
      <c r="AK239" s="2">
        <f t="shared" si="516"/>
        <v>0</v>
      </c>
      <c r="AL239" s="2">
        <f t="shared" si="516"/>
        <v>0</v>
      </c>
      <c r="AM239" s="2">
        <f t="shared" si="516"/>
        <v>0</v>
      </c>
      <c r="AN239" s="2">
        <f t="shared" si="516"/>
        <v>0</v>
      </c>
      <c r="AO239" s="2">
        <f t="shared" si="516"/>
        <v>0</v>
      </c>
      <c r="AP239" s="2">
        <f t="shared" si="516"/>
        <v>0</v>
      </c>
      <c r="AQ239" s="2">
        <f t="shared" si="516"/>
        <v>0</v>
      </c>
      <c r="AR239" s="2">
        <f t="shared" si="516"/>
        <v>0</v>
      </c>
      <c r="AS239" s="2">
        <f t="shared" si="516"/>
        <v>0</v>
      </c>
      <c r="AT239" s="2">
        <f t="shared" si="516"/>
        <v>0</v>
      </c>
      <c r="AU239" s="2">
        <f t="shared" si="516"/>
        <v>0</v>
      </c>
      <c r="AV239" s="2">
        <f t="shared" si="516"/>
        <v>0</v>
      </c>
      <c r="AW239" s="2">
        <f t="shared" si="516"/>
        <v>0</v>
      </c>
      <c r="AX239" s="2">
        <f t="shared" si="516"/>
        <v>0</v>
      </c>
      <c r="AY239" s="2">
        <f t="shared" si="516"/>
        <v>0</v>
      </c>
      <c r="AZ239" s="2">
        <f t="shared" si="516"/>
        <v>0</v>
      </c>
      <c r="BA239" s="2">
        <f t="shared" si="516"/>
        <v>0</v>
      </c>
      <c r="BB239" s="2">
        <f t="shared" si="516"/>
        <v>0</v>
      </c>
      <c r="BC239" s="2">
        <f t="shared" si="516"/>
        <v>0</v>
      </c>
      <c r="BD239" s="2">
        <f t="shared" si="516"/>
        <v>0</v>
      </c>
      <c r="BE239" s="2">
        <f t="shared" si="516"/>
        <v>0</v>
      </c>
      <c r="BF239" s="2">
        <f t="shared" si="516"/>
        <v>0</v>
      </c>
      <c r="BG239" s="2">
        <f t="shared" si="516"/>
        <v>0</v>
      </c>
      <c r="BH239" s="2">
        <f t="shared" si="516"/>
        <v>0</v>
      </c>
      <c r="BI239" s="2">
        <f t="shared" si="516"/>
        <v>0</v>
      </c>
      <c r="BJ239" s="2">
        <f t="shared" si="516"/>
        <v>0</v>
      </c>
      <c r="BN239" s="2">
        <f>IF(BN238=1, IF(BN199&gt;0.5, 35, 36), 0)</f>
        <v>0</v>
      </c>
    </row>
    <row r="240" spans="1:66">
      <c r="A240" s="47" t="s">
        <v>245</v>
      </c>
      <c r="B240" s="54">
        <f t="shared" ref="B240:T240" si="517">IF(B237=1, IF(B200&gt;6.75, IF(B200&lt;=7.25, 1, 0), 0), 0)</f>
        <v>0</v>
      </c>
      <c r="C240" s="2">
        <f t="shared" si="517"/>
        <v>0</v>
      </c>
      <c r="D240" s="2">
        <f t="shared" si="517"/>
        <v>0</v>
      </c>
      <c r="E240" s="2">
        <f t="shared" si="517"/>
        <v>0</v>
      </c>
      <c r="F240" s="2">
        <f t="shared" si="517"/>
        <v>0</v>
      </c>
      <c r="G240" s="2">
        <f t="shared" si="517"/>
        <v>0</v>
      </c>
      <c r="H240" s="2">
        <f t="shared" si="517"/>
        <v>0</v>
      </c>
      <c r="I240" s="2">
        <f t="shared" si="517"/>
        <v>0</v>
      </c>
      <c r="J240" s="2">
        <f t="shared" si="517"/>
        <v>0</v>
      </c>
      <c r="K240" s="54">
        <f t="shared" si="517"/>
        <v>0</v>
      </c>
      <c r="L240" s="2">
        <f t="shared" si="517"/>
        <v>0</v>
      </c>
      <c r="M240" s="2">
        <f t="shared" si="517"/>
        <v>0</v>
      </c>
      <c r="N240" s="2">
        <f t="shared" si="517"/>
        <v>0</v>
      </c>
      <c r="O240" s="2">
        <f t="shared" si="517"/>
        <v>0</v>
      </c>
      <c r="P240" s="2">
        <f t="shared" si="517"/>
        <v>0</v>
      </c>
      <c r="Q240" s="2">
        <f t="shared" si="517"/>
        <v>0</v>
      </c>
      <c r="R240" s="2">
        <f t="shared" si="517"/>
        <v>0</v>
      </c>
      <c r="S240" s="2">
        <f t="shared" si="517"/>
        <v>0</v>
      </c>
      <c r="T240" s="2">
        <f t="shared" si="517"/>
        <v>0</v>
      </c>
      <c r="U240" s="2">
        <f t="shared" ref="U240:AI240" si="518">IF(U237=1, IF(U200&gt;6.75, IF(U200&lt;=7.25, 1, 0), 0), 0)</f>
        <v>0</v>
      </c>
      <c r="V240" s="2">
        <f t="shared" si="518"/>
        <v>0</v>
      </c>
      <c r="W240" s="2">
        <f t="shared" si="518"/>
        <v>0</v>
      </c>
      <c r="X240" s="2">
        <f t="shared" si="518"/>
        <v>0</v>
      </c>
      <c r="Y240" s="2">
        <f t="shared" si="518"/>
        <v>0</v>
      </c>
      <c r="Z240" s="2">
        <f t="shared" si="518"/>
        <v>0</v>
      </c>
      <c r="AA240" s="2">
        <f t="shared" si="518"/>
        <v>0</v>
      </c>
      <c r="AB240" s="2">
        <f t="shared" si="518"/>
        <v>0</v>
      </c>
      <c r="AC240" s="2">
        <f t="shared" si="518"/>
        <v>0</v>
      </c>
      <c r="AD240" s="2">
        <f t="shared" si="518"/>
        <v>0</v>
      </c>
      <c r="AE240" s="2">
        <f t="shared" si="518"/>
        <v>0</v>
      </c>
      <c r="AF240" s="2">
        <f t="shared" si="518"/>
        <v>0</v>
      </c>
      <c r="AG240" s="2">
        <f t="shared" si="518"/>
        <v>0</v>
      </c>
      <c r="AH240" s="2">
        <f t="shared" si="518"/>
        <v>0</v>
      </c>
      <c r="AI240" s="2">
        <f t="shared" si="518"/>
        <v>0</v>
      </c>
      <c r="AJ240" s="2">
        <f t="shared" ref="AJ240:BJ240" si="519">IF(AJ237=1, IF(AJ200&gt;6.75, IF(AJ200&lt;=7.25, 1, 0), 0), 0)</f>
        <v>0</v>
      </c>
      <c r="AK240" s="2">
        <f t="shared" si="519"/>
        <v>0</v>
      </c>
      <c r="AL240" s="2">
        <f t="shared" si="519"/>
        <v>0</v>
      </c>
      <c r="AM240" s="2">
        <f t="shared" si="519"/>
        <v>0</v>
      </c>
      <c r="AN240" s="2">
        <f t="shared" si="519"/>
        <v>0</v>
      </c>
      <c r="AO240" s="2">
        <f t="shared" si="519"/>
        <v>0</v>
      </c>
      <c r="AP240" s="2">
        <f t="shared" si="519"/>
        <v>0</v>
      </c>
      <c r="AQ240" s="2">
        <f t="shared" si="519"/>
        <v>0</v>
      </c>
      <c r="AR240" s="2">
        <f t="shared" si="519"/>
        <v>0</v>
      </c>
      <c r="AS240" s="2">
        <f t="shared" si="519"/>
        <v>0</v>
      </c>
      <c r="AT240" s="2">
        <f t="shared" si="519"/>
        <v>0</v>
      </c>
      <c r="AU240" s="2">
        <f t="shared" si="519"/>
        <v>0</v>
      </c>
      <c r="AV240" s="2">
        <f t="shared" si="519"/>
        <v>0</v>
      </c>
      <c r="AW240" s="2">
        <f t="shared" si="519"/>
        <v>0</v>
      </c>
      <c r="AX240" s="2">
        <f t="shared" si="519"/>
        <v>0</v>
      </c>
      <c r="AY240" s="2">
        <f t="shared" si="519"/>
        <v>0</v>
      </c>
      <c r="AZ240" s="2">
        <f t="shared" si="519"/>
        <v>0</v>
      </c>
      <c r="BA240" s="2">
        <f t="shared" si="519"/>
        <v>0</v>
      </c>
      <c r="BB240" s="2">
        <f t="shared" si="519"/>
        <v>0</v>
      </c>
      <c r="BC240" s="2">
        <f t="shared" si="519"/>
        <v>0</v>
      </c>
      <c r="BD240" s="2">
        <f t="shared" si="519"/>
        <v>0</v>
      </c>
      <c r="BE240" s="2">
        <f t="shared" si="519"/>
        <v>0</v>
      </c>
      <c r="BF240" s="2">
        <f t="shared" si="519"/>
        <v>0</v>
      </c>
      <c r="BG240" s="2">
        <f t="shared" si="519"/>
        <v>0</v>
      </c>
      <c r="BH240" s="2">
        <f t="shared" si="519"/>
        <v>0</v>
      </c>
      <c r="BI240" s="2">
        <f t="shared" si="519"/>
        <v>0</v>
      </c>
      <c r="BJ240" s="2">
        <f t="shared" si="519"/>
        <v>0</v>
      </c>
      <c r="BN240" s="2">
        <f>IF(BN237=1, IF(BN200&gt;6.75, IF(BN200&lt;=7.25, 1, 0), 0), 0)</f>
        <v>0</v>
      </c>
    </row>
    <row r="241" spans="1:66">
      <c r="A241" s="37" t="s">
        <v>246</v>
      </c>
      <c r="B241" s="54">
        <f t="shared" ref="B241:T241" si="520">IF(B240=1, IF(B199&gt;0.5, 37, 38), 0)</f>
        <v>0</v>
      </c>
      <c r="C241" s="2">
        <f t="shared" si="520"/>
        <v>0</v>
      </c>
      <c r="D241" s="2">
        <f t="shared" si="520"/>
        <v>0</v>
      </c>
      <c r="E241" s="2">
        <f t="shared" si="520"/>
        <v>0</v>
      </c>
      <c r="F241" s="2">
        <f t="shared" si="520"/>
        <v>0</v>
      </c>
      <c r="G241" s="2">
        <f t="shared" si="520"/>
        <v>0</v>
      </c>
      <c r="H241" s="2">
        <f t="shared" si="520"/>
        <v>0</v>
      </c>
      <c r="I241" s="2">
        <f t="shared" si="520"/>
        <v>0</v>
      </c>
      <c r="J241" s="2">
        <f t="shared" si="520"/>
        <v>0</v>
      </c>
      <c r="K241" s="54">
        <f t="shared" si="520"/>
        <v>0</v>
      </c>
      <c r="L241" s="2">
        <f t="shared" si="520"/>
        <v>0</v>
      </c>
      <c r="M241" s="2">
        <f t="shared" si="520"/>
        <v>0</v>
      </c>
      <c r="N241" s="2">
        <f t="shared" si="520"/>
        <v>0</v>
      </c>
      <c r="O241" s="2">
        <f t="shared" si="520"/>
        <v>0</v>
      </c>
      <c r="P241" s="2">
        <f t="shared" si="520"/>
        <v>0</v>
      </c>
      <c r="Q241" s="2">
        <f t="shared" si="520"/>
        <v>0</v>
      </c>
      <c r="R241" s="2">
        <f t="shared" si="520"/>
        <v>0</v>
      </c>
      <c r="S241" s="2">
        <f t="shared" si="520"/>
        <v>0</v>
      </c>
      <c r="T241" s="2">
        <f t="shared" si="520"/>
        <v>0</v>
      </c>
      <c r="U241" s="2">
        <f t="shared" ref="U241:AI241" si="521">IF(U240=1, IF(U199&gt;0.5, 37, 38), 0)</f>
        <v>0</v>
      </c>
      <c r="V241" s="2">
        <f t="shared" si="521"/>
        <v>0</v>
      </c>
      <c r="W241" s="2">
        <f t="shared" si="521"/>
        <v>0</v>
      </c>
      <c r="X241" s="2">
        <f t="shared" si="521"/>
        <v>0</v>
      </c>
      <c r="Y241" s="2">
        <f t="shared" si="521"/>
        <v>0</v>
      </c>
      <c r="Z241" s="2">
        <f t="shared" si="521"/>
        <v>0</v>
      </c>
      <c r="AA241" s="2">
        <f t="shared" si="521"/>
        <v>0</v>
      </c>
      <c r="AB241" s="2">
        <f t="shared" si="521"/>
        <v>0</v>
      </c>
      <c r="AC241" s="2">
        <f t="shared" si="521"/>
        <v>0</v>
      </c>
      <c r="AD241" s="2">
        <f t="shared" si="521"/>
        <v>0</v>
      </c>
      <c r="AE241" s="2">
        <f t="shared" si="521"/>
        <v>0</v>
      </c>
      <c r="AF241" s="2">
        <f t="shared" si="521"/>
        <v>0</v>
      </c>
      <c r="AG241" s="2">
        <f t="shared" si="521"/>
        <v>0</v>
      </c>
      <c r="AH241" s="2">
        <f t="shared" si="521"/>
        <v>0</v>
      </c>
      <c r="AI241" s="2">
        <f t="shared" si="521"/>
        <v>0</v>
      </c>
      <c r="AJ241" s="2">
        <f t="shared" ref="AJ241:BJ241" si="522">IF(AJ240=1, IF(AJ199&gt;0.5, 37, 38), 0)</f>
        <v>0</v>
      </c>
      <c r="AK241" s="2">
        <f t="shared" si="522"/>
        <v>0</v>
      </c>
      <c r="AL241" s="2">
        <f t="shared" si="522"/>
        <v>0</v>
      </c>
      <c r="AM241" s="2">
        <f t="shared" si="522"/>
        <v>0</v>
      </c>
      <c r="AN241" s="2">
        <f t="shared" si="522"/>
        <v>0</v>
      </c>
      <c r="AO241" s="2">
        <f t="shared" si="522"/>
        <v>0</v>
      </c>
      <c r="AP241" s="2">
        <f t="shared" si="522"/>
        <v>0</v>
      </c>
      <c r="AQ241" s="2">
        <f t="shared" si="522"/>
        <v>0</v>
      </c>
      <c r="AR241" s="2">
        <f t="shared" si="522"/>
        <v>0</v>
      </c>
      <c r="AS241" s="2">
        <f t="shared" si="522"/>
        <v>0</v>
      </c>
      <c r="AT241" s="2">
        <f t="shared" si="522"/>
        <v>0</v>
      </c>
      <c r="AU241" s="2">
        <f t="shared" si="522"/>
        <v>0</v>
      </c>
      <c r="AV241" s="2">
        <f t="shared" si="522"/>
        <v>0</v>
      </c>
      <c r="AW241" s="2">
        <f t="shared" si="522"/>
        <v>0</v>
      </c>
      <c r="AX241" s="2">
        <f t="shared" si="522"/>
        <v>0</v>
      </c>
      <c r="AY241" s="2">
        <f t="shared" si="522"/>
        <v>0</v>
      </c>
      <c r="AZ241" s="2">
        <f t="shared" si="522"/>
        <v>0</v>
      </c>
      <c r="BA241" s="2">
        <f t="shared" si="522"/>
        <v>0</v>
      </c>
      <c r="BB241" s="2">
        <f t="shared" si="522"/>
        <v>0</v>
      </c>
      <c r="BC241" s="2">
        <f t="shared" si="522"/>
        <v>0</v>
      </c>
      <c r="BD241" s="2">
        <f t="shared" si="522"/>
        <v>0</v>
      </c>
      <c r="BE241" s="2">
        <f t="shared" si="522"/>
        <v>0</v>
      </c>
      <c r="BF241" s="2">
        <f t="shared" si="522"/>
        <v>0</v>
      </c>
      <c r="BG241" s="2">
        <f t="shared" si="522"/>
        <v>0</v>
      </c>
      <c r="BH241" s="2">
        <f t="shared" si="522"/>
        <v>0</v>
      </c>
      <c r="BI241" s="2">
        <f t="shared" si="522"/>
        <v>0</v>
      </c>
      <c r="BJ241" s="2">
        <f t="shared" si="522"/>
        <v>0</v>
      </c>
      <c r="BN241" s="2">
        <f>IF(BN240=1, IF(BN199&gt;0.5, 37, 38), 0)</f>
        <v>0</v>
      </c>
    </row>
    <row r="242" spans="1:66">
      <c r="A242" s="47" t="s">
        <v>247</v>
      </c>
      <c r="B242" s="54">
        <f t="shared" ref="B242:T242" si="523">IF(B237=1, IF(B200&gt;6.5, IF(B200&lt;=6.75, 1, 0), 0), 0)</f>
        <v>0</v>
      </c>
      <c r="C242" s="2">
        <f t="shared" si="523"/>
        <v>0</v>
      </c>
      <c r="D242" s="2">
        <f t="shared" si="523"/>
        <v>0</v>
      </c>
      <c r="E242" s="2">
        <f t="shared" si="523"/>
        <v>0</v>
      </c>
      <c r="F242" s="2">
        <f t="shared" si="523"/>
        <v>0</v>
      </c>
      <c r="G242" s="2">
        <f t="shared" si="523"/>
        <v>0</v>
      </c>
      <c r="H242" s="2">
        <f t="shared" si="523"/>
        <v>0</v>
      </c>
      <c r="I242" s="2">
        <f t="shared" si="523"/>
        <v>0</v>
      </c>
      <c r="J242" s="2">
        <f t="shared" si="523"/>
        <v>0</v>
      </c>
      <c r="K242" s="54">
        <f t="shared" si="523"/>
        <v>0</v>
      </c>
      <c r="L242" s="2">
        <f t="shared" si="523"/>
        <v>0</v>
      </c>
      <c r="M242" s="2">
        <f t="shared" si="523"/>
        <v>0</v>
      </c>
      <c r="N242" s="2">
        <f t="shared" si="523"/>
        <v>0</v>
      </c>
      <c r="O242" s="2">
        <f t="shared" si="523"/>
        <v>0</v>
      </c>
      <c r="P242" s="2">
        <f t="shared" si="523"/>
        <v>0</v>
      </c>
      <c r="Q242" s="2">
        <f t="shared" si="523"/>
        <v>0</v>
      </c>
      <c r="R242" s="2">
        <f t="shared" si="523"/>
        <v>0</v>
      </c>
      <c r="S242" s="2">
        <f t="shared" si="523"/>
        <v>0</v>
      </c>
      <c r="T242" s="2">
        <f t="shared" si="523"/>
        <v>0</v>
      </c>
      <c r="U242" s="2">
        <f t="shared" ref="U242:AI242" si="524">IF(U237=1, IF(U200&gt;6.5, IF(U200&lt;=6.75, 1, 0), 0), 0)</f>
        <v>0</v>
      </c>
      <c r="V242" s="2">
        <f t="shared" si="524"/>
        <v>0</v>
      </c>
      <c r="W242" s="2">
        <f t="shared" si="524"/>
        <v>0</v>
      </c>
      <c r="X242" s="2">
        <f t="shared" si="524"/>
        <v>0</v>
      </c>
      <c r="Y242" s="2">
        <f t="shared" si="524"/>
        <v>0</v>
      </c>
      <c r="Z242" s="2">
        <f t="shared" si="524"/>
        <v>0</v>
      </c>
      <c r="AA242" s="2">
        <f t="shared" si="524"/>
        <v>0</v>
      </c>
      <c r="AB242" s="2">
        <f t="shared" si="524"/>
        <v>0</v>
      </c>
      <c r="AC242" s="2">
        <f t="shared" si="524"/>
        <v>0</v>
      </c>
      <c r="AD242" s="2">
        <f t="shared" si="524"/>
        <v>0</v>
      </c>
      <c r="AE242" s="2">
        <f t="shared" si="524"/>
        <v>0</v>
      </c>
      <c r="AF242" s="2">
        <f t="shared" si="524"/>
        <v>0</v>
      </c>
      <c r="AG242" s="2">
        <f t="shared" si="524"/>
        <v>0</v>
      </c>
      <c r="AH242" s="2">
        <f t="shared" si="524"/>
        <v>0</v>
      </c>
      <c r="AI242" s="2">
        <f t="shared" si="524"/>
        <v>0</v>
      </c>
      <c r="AJ242" s="2">
        <f t="shared" ref="AJ242:BJ242" si="525">IF(AJ237=1, IF(AJ200&gt;6.5, IF(AJ200&lt;=6.75, 1, 0), 0), 0)</f>
        <v>0</v>
      </c>
      <c r="AK242" s="2">
        <f t="shared" si="525"/>
        <v>0</v>
      </c>
      <c r="AL242" s="2">
        <f t="shared" si="525"/>
        <v>0</v>
      </c>
      <c r="AM242" s="2">
        <f t="shared" si="525"/>
        <v>0</v>
      </c>
      <c r="AN242" s="2">
        <f t="shared" si="525"/>
        <v>0</v>
      </c>
      <c r="AO242" s="2">
        <f t="shared" si="525"/>
        <v>0</v>
      </c>
      <c r="AP242" s="2">
        <f t="shared" si="525"/>
        <v>0</v>
      </c>
      <c r="AQ242" s="2">
        <f t="shared" si="525"/>
        <v>0</v>
      </c>
      <c r="AR242" s="2">
        <f t="shared" si="525"/>
        <v>0</v>
      </c>
      <c r="AS242" s="2">
        <f t="shared" si="525"/>
        <v>0</v>
      </c>
      <c r="AT242" s="2">
        <f t="shared" si="525"/>
        <v>0</v>
      </c>
      <c r="AU242" s="2">
        <f t="shared" si="525"/>
        <v>0</v>
      </c>
      <c r="AV242" s="2">
        <f t="shared" si="525"/>
        <v>0</v>
      </c>
      <c r="AW242" s="2">
        <f t="shared" si="525"/>
        <v>0</v>
      </c>
      <c r="AX242" s="2">
        <f t="shared" si="525"/>
        <v>0</v>
      </c>
      <c r="AY242" s="2">
        <f t="shared" si="525"/>
        <v>0</v>
      </c>
      <c r="AZ242" s="2">
        <f t="shared" si="525"/>
        <v>0</v>
      </c>
      <c r="BA242" s="2">
        <f t="shared" si="525"/>
        <v>0</v>
      </c>
      <c r="BB242" s="2">
        <f t="shared" si="525"/>
        <v>0</v>
      </c>
      <c r="BC242" s="2">
        <f t="shared" si="525"/>
        <v>0</v>
      </c>
      <c r="BD242" s="2">
        <f t="shared" si="525"/>
        <v>0</v>
      </c>
      <c r="BE242" s="2">
        <f t="shared" si="525"/>
        <v>0</v>
      </c>
      <c r="BF242" s="2">
        <f t="shared" si="525"/>
        <v>0</v>
      </c>
      <c r="BG242" s="2">
        <f t="shared" si="525"/>
        <v>0</v>
      </c>
      <c r="BH242" s="2">
        <f t="shared" si="525"/>
        <v>0</v>
      </c>
      <c r="BI242" s="2">
        <f t="shared" si="525"/>
        <v>0</v>
      </c>
      <c r="BJ242" s="2">
        <f t="shared" si="525"/>
        <v>0</v>
      </c>
      <c r="BN242" s="2">
        <f>IF(BN237=1, IF(BN200&gt;6.5, IF(BN200&lt;=6.75, 1, 0), 0), 0)</f>
        <v>0</v>
      </c>
    </row>
    <row r="243" spans="1:66">
      <c r="A243" s="37" t="s">
        <v>248</v>
      </c>
      <c r="B243" s="54">
        <f t="shared" ref="B243:T243" si="526">IF(B242=1, IF(B199&gt;0.5, 39, 40), 0)</f>
        <v>0</v>
      </c>
      <c r="C243" s="2">
        <f t="shared" si="526"/>
        <v>0</v>
      </c>
      <c r="D243" s="2">
        <f t="shared" si="526"/>
        <v>0</v>
      </c>
      <c r="E243" s="2">
        <f t="shared" si="526"/>
        <v>0</v>
      </c>
      <c r="F243" s="2">
        <f t="shared" si="526"/>
        <v>0</v>
      </c>
      <c r="G243" s="2">
        <f t="shared" si="526"/>
        <v>0</v>
      </c>
      <c r="H243" s="2">
        <f t="shared" si="526"/>
        <v>0</v>
      </c>
      <c r="I243" s="2">
        <f t="shared" si="526"/>
        <v>0</v>
      </c>
      <c r="J243" s="2">
        <f t="shared" si="526"/>
        <v>0</v>
      </c>
      <c r="K243" s="54">
        <f t="shared" si="526"/>
        <v>0</v>
      </c>
      <c r="L243" s="2">
        <f t="shared" si="526"/>
        <v>0</v>
      </c>
      <c r="M243" s="2">
        <f t="shared" si="526"/>
        <v>0</v>
      </c>
      <c r="N243" s="2">
        <f t="shared" si="526"/>
        <v>0</v>
      </c>
      <c r="O243" s="2">
        <f t="shared" si="526"/>
        <v>0</v>
      </c>
      <c r="P243" s="2">
        <f t="shared" si="526"/>
        <v>0</v>
      </c>
      <c r="Q243" s="2">
        <f t="shared" si="526"/>
        <v>0</v>
      </c>
      <c r="R243" s="2">
        <f t="shared" si="526"/>
        <v>0</v>
      </c>
      <c r="S243" s="2">
        <f t="shared" si="526"/>
        <v>0</v>
      </c>
      <c r="T243" s="2">
        <f t="shared" si="526"/>
        <v>0</v>
      </c>
      <c r="U243" s="2">
        <f t="shared" ref="U243:AI243" si="527">IF(U242=1, IF(U199&gt;0.5, 39, 40), 0)</f>
        <v>0</v>
      </c>
      <c r="V243" s="2">
        <f t="shared" si="527"/>
        <v>0</v>
      </c>
      <c r="W243" s="2">
        <f t="shared" si="527"/>
        <v>0</v>
      </c>
      <c r="X243" s="2">
        <f t="shared" si="527"/>
        <v>0</v>
      </c>
      <c r="Y243" s="2">
        <f t="shared" si="527"/>
        <v>0</v>
      </c>
      <c r="Z243" s="2">
        <f t="shared" si="527"/>
        <v>0</v>
      </c>
      <c r="AA243" s="2">
        <f t="shared" si="527"/>
        <v>0</v>
      </c>
      <c r="AB243" s="2">
        <f t="shared" si="527"/>
        <v>0</v>
      </c>
      <c r="AC243" s="2">
        <f t="shared" si="527"/>
        <v>0</v>
      </c>
      <c r="AD243" s="2">
        <f t="shared" si="527"/>
        <v>0</v>
      </c>
      <c r="AE243" s="2">
        <f t="shared" si="527"/>
        <v>0</v>
      </c>
      <c r="AF243" s="2">
        <f t="shared" si="527"/>
        <v>0</v>
      </c>
      <c r="AG243" s="2">
        <f t="shared" si="527"/>
        <v>0</v>
      </c>
      <c r="AH243" s="2">
        <f t="shared" si="527"/>
        <v>0</v>
      </c>
      <c r="AI243" s="2">
        <f t="shared" si="527"/>
        <v>0</v>
      </c>
      <c r="AJ243" s="2">
        <f t="shared" ref="AJ243:BJ243" si="528">IF(AJ242=1, IF(AJ199&gt;0.5, 39, 40), 0)</f>
        <v>0</v>
      </c>
      <c r="AK243" s="2">
        <f t="shared" si="528"/>
        <v>0</v>
      </c>
      <c r="AL243" s="2">
        <f t="shared" si="528"/>
        <v>0</v>
      </c>
      <c r="AM243" s="2">
        <f t="shared" si="528"/>
        <v>0</v>
      </c>
      <c r="AN243" s="2">
        <f t="shared" si="528"/>
        <v>0</v>
      </c>
      <c r="AO243" s="2">
        <f t="shared" si="528"/>
        <v>0</v>
      </c>
      <c r="AP243" s="2">
        <f t="shared" si="528"/>
        <v>0</v>
      </c>
      <c r="AQ243" s="2">
        <f t="shared" si="528"/>
        <v>0</v>
      </c>
      <c r="AR243" s="2">
        <f t="shared" si="528"/>
        <v>0</v>
      </c>
      <c r="AS243" s="2">
        <f t="shared" si="528"/>
        <v>0</v>
      </c>
      <c r="AT243" s="2">
        <f t="shared" si="528"/>
        <v>0</v>
      </c>
      <c r="AU243" s="2">
        <f t="shared" si="528"/>
        <v>0</v>
      </c>
      <c r="AV243" s="2">
        <f t="shared" si="528"/>
        <v>0</v>
      </c>
      <c r="AW243" s="2">
        <f t="shared" si="528"/>
        <v>0</v>
      </c>
      <c r="AX243" s="2">
        <f t="shared" si="528"/>
        <v>0</v>
      </c>
      <c r="AY243" s="2">
        <f t="shared" si="528"/>
        <v>0</v>
      </c>
      <c r="AZ243" s="2">
        <f t="shared" si="528"/>
        <v>0</v>
      </c>
      <c r="BA243" s="2">
        <f t="shared" si="528"/>
        <v>0</v>
      </c>
      <c r="BB243" s="2">
        <f t="shared" si="528"/>
        <v>0</v>
      </c>
      <c r="BC243" s="2">
        <f t="shared" si="528"/>
        <v>0</v>
      </c>
      <c r="BD243" s="2">
        <f t="shared" si="528"/>
        <v>0</v>
      </c>
      <c r="BE243" s="2">
        <f t="shared" si="528"/>
        <v>0</v>
      </c>
      <c r="BF243" s="2">
        <f t="shared" si="528"/>
        <v>0</v>
      </c>
      <c r="BG243" s="2">
        <f t="shared" si="528"/>
        <v>0</v>
      </c>
      <c r="BH243" s="2">
        <f t="shared" si="528"/>
        <v>0</v>
      </c>
      <c r="BI243" s="2">
        <f t="shared" si="528"/>
        <v>0</v>
      </c>
      <c r="BJ243" s="2">
        <f t="shared" si="528"/>
        <v>0</v>
      </c>
      <c r="BN243" s="2">
        <f>IF(BN242=1, IF(BN199&gt;0.5, 39, 40), 0)</f>
        <v>0</v>
      </c>
    </row>
    <row r="244" spans="1:66">
      <c r="A244" s="47" t="s">
        <v>249</v>
      </c>
      <c r="B244" s="54">
        <f t="shared" ref="B244:T244" si="529">IF(B237=1, IF(B200&gt;6.25, IF(B200&lt;=6.5, 1, 0), 0), 0)</f>
        <v>0</v>
      </c>
      <c r="C244" s="2">
        <f t="shared" si="529"/>
        <v>0</v>
      </c>
      <c r="D244" s="2">
        <f t="shared" si="529"/>
        <v>0</v>
      </c>
      <c r="E244" s="2">
        <f t="shared" si="529"/>
        <v>0</v>
      </c>
      <c r="F244" s="2">
        <f t="shared" si="529"/>
        <v>0</v>
      </c>
      <c r="G244" s="2">
        <f t="shared" si="529"/>
        <v>0</v>
      </c>
      <c r="H244" s="2">
        <f t="shared" si="529"/>
        <v>0</v>
      </c>
      <c r="I244" s="2">
        <f t="shared" si="529"/>
        <v>0</v>
      </c>
      <c r="J244" s="2">
        <f t="shared" si="529"/>
        <v>0</v>
      </c>
      <c r="K244" s="54">
        <f t="shared" si="529"/>
        <v>0</v>
      </c>
      <c r="L244" s="2">
        <f t="shared" si="529"/>
        <v>0</v>
      </c>
      <c r="M244" s="2">
        <f t="shared" si="529"/>
        <v>0</v>
      </c>
      <c r="N244" s="2">
        <f t="shared" si="529"/>
        <v>0</v>
      </c>
      <c r="O244" s="2">
        <f t="shared" si="529"/>
        <v>0</v>
      </c>
      <c r="P244" s="2">
        <f t="shared" si="529"/>
        <v>0</v>
      </c>
      <c r="Q244" s="2">
        <f t="shared" si="529"/>
        <v>0</v>
      </c>
      <c r="R244" s="2">
        <f t="shared" si="529"/>
        <v>0</v>
      </c>
      <c r="S244" s="2">
        <f t="shared" si="529"/>
        <v>0</v>
      </c>
      <c r="T244" s="2">
        <f t="shared" si="529"/>
        <v>0</v>
      </c>
      <c r="U244" s="2">
        <f t="shared" ref="U244:AI244" si="530">IF(U237=1, IF(U200&gt;6.25, IF(U200&lt;=6.5, 1, 0), 0), 0)</f>
        <v>0</v>
      </c>
      <c r="V244" s="2">
        <f t="shared" si="530"/>
        <v>0</v>
      </c>
      <c r="W244" s="2">
        <f t="shared" si="530"/>
        <v>0</v>
      </c>
      <c r="X244" s="2">
        <f t="shared" si="530"/>
        <v>0</v>
      </c>
      <c r="Y244" s="2">
        <f t="shared" si="530"/>
        <v>0</v>
      </c>
      <c r="Z244" s="2">
        <f t="shared" si="530"/>
        <v>0</v>
      </c>
      <c r="AA244" s="2">
        <f t="shared" si="530"/>
        <v>0</v>
      </c>
      <c r="AB244" s="2">
        <f t="shared" si="530"/>
        <v>0</v>
      </c>
      <c r="AC244" s="2">
        <f t="shared" si="530"/>
        <v>0</v>
      </c>
      <c r="AD244" s="2">
        <f t="shared" si="530"/>
        <v>0</v>
      </c>
      <c r="AE244" s="2">
        <f t="shared" si="530"/>
        <v>0</v>
      </c>
      <c r="AF244" s="2">
        <f t="shared" si="530"/>
        <v>0</v>
      </c>
      <c r="AG244" s="2">
        <f t="shared" si="530"/>
        <v>0</v>
      </c>
      <c r="AH244" s="2">
        <f t="shared" si="530"/>
        <v>0</v>
      </c>
      <c r="AI244" s="2">
        <f t="shared" si="530"/>
        <v>0</v>
      </c>
      <c r="AJ244" s="2">
        <f t="shared" ref="AJ244:BJ244" si="531">IF(AJ237=1, IF(AJ200&gt;6.25, IF(AJ200&lt;=6.5, 1, 0), 0), 0)</f>
        <v>0</v>
      </c>
      <c r="AK244" s="2">
        <f t="shared" si="531"/>
        <v>0</v>
      </c>
      <c r="AL244" s="2">
        <f t="shared" si="531"/>
        <v>0</v>
      </c>
      <c r="AM244" s="2">
        <f t="shared" si="531"/>
        <v>0</v>
      </c>
      <c r="AN244" s="2">
        <f t="shared" si="531"/>
        <v>0</v>
      </c>
      <c r="AO244" s="2">
        <f t="shared" si="531"/>
        <v>0</v>
      </c>
      <c r="AP244" s="2">
        <f t="shared" si="531"/>
        <v>0</v>
      </c>
      <c r="AQ244" s="2">
        <f t="shared" si="531"/>
        <v>0</v>
      </c>
      <c r="AR244" s="2">
        <f t="shared" si="531"/>
        <v>0</v>
      </c>
      <c r="AS244" s="2">
        <f t="shared" si="531"/>
        <v>0</v>
      </c>
      <c r="AT244" s="2">
        <f t="shared" si="531"/>
        <v>0</v>
      </c>
      <c r="AU244" s="2">
        <f t="shared" si="531"/>
        <v>0</v>
      </c>
      <c r="AV244" s="2">
        <f t="shared" si="531"/>
        <v>0</v>
      </c>
      <c r="AW244" s="2">
        <f t="shared" si="531"/>
        <v>0</v>
      </c>
      <c r="AX244" s="2">
        <f t="shared" si="531"/>
        <v>0</v>
      </c>
      <c r="AY244" s="2">
        <f t="shared" si="531"/>
        <v>0</v>
      </c>
      <c r="AZ244" s="2">
        <f t="shared" si="531"/>
        <v>0</v>
      </c>
      <c r="BA244" s="2">
        <f t="shared" si="531"/>
        <v>0</v>
      </c>
      <c r="BB244" s="2">
        <f t="shared" si="531"/>
        <v>0</v>
      </c>
      <c r="BC244" s="2">
        <f t="shared" si="531"/>
        <v>0</v>
      </c>
      <c r="BD244" s="2">
        <f t="shared" si="531"/>
        <v>0</v>
      </c>
      <c r="BE244" s="2">
        <f t="shared" si="531"/>
        <v>0</v>
      </c>
      <c r="BF244" s="2">
        <f t="shared" si="531"/>
        <v>0</v>
      </c>
      <c r="BG244" s="2">
        <f t="shared" si="531"/>
        <v>0</v>
      </c>
      <c r="BH244" s="2">
        <f t="shared" si="531"/>
        <v>0</v>
      </c>
      <c r="BI244" s="2">
        <f t="shared" si="531"/>
        <v>0</v>
      </c>
      <c r="BJ244" s="2">
        <f t="shared" si="531"/>
        <v>0</v>
      </c>
      <c r="BN244" s="2">
        <f>IF(BN237=1, IF(BN200&gt;6.25, IF(BN200&lt;=6.5, 1, 0), 0), 0)</f>
        <v>0</v>
      </c>
    </row>
    <row r="245" spans="1:66">
      <c r="A245" s="37" t="s">
        <v>62</v>
      </c>
      <c r="B245" s="54">
        <f t="shared" ref="B245:T245" si="532">IF(B244=1, IF(B199&gt;0.7, 41, IF(B199&gt;0.3, 42, 43)), 0)</f>
        <v>0</v>
      </c>
      <c r="C245" s="2">
        <f t="shared" si="532"/>
        <v>0</v>
      </c>
      <c r="D245" s="2">
        <f t="shared" si="532"/>
        <v>0</v>
      </c>
      <c r="E245" s="2">
        <f t="shared" si="532"/>
        <v>0</v>
      </c>
      <c r="F245" s="2">
        <f t="shared" si="532"/>
        <v>0</v>
      </c>
      <c r="G245" s="2">
        <f t="shared" si="532"/>
        <v>0</v>
      </c>
      <c r="H245" s="2">
        <f t="shared" si="532"/>
        <v>0</v>
      </c>
      <c r="I245" s="2">
        <f t="shared" si="532"/>
        <v>0</v>
      </c>
      <c r="J245" s="2">
        <f t="shared" si="532"/>
        <v>0</v>
      </c>
      <c r="K245" s="54">
        <f t="shared" si="532"/>
        <v>0</v>
      </c>
      <c r="L245" s="2">
        <f t="shared" si="532"/>
        <v>0</v>
      </c>
      <c r="M245" s="2">
        <f t="shared" si="532"/>
        <v>0</v>
      </c>
      <c r="N245" s="2">
        <f t="shared" si="532"/>
        <v>0</v>
      </c>
      <c r="O245" s="2">
        <f t="shared" si="532"/>
        <v>0</v>
      </c>
      <c r="P245" s="2">
        <f t="shared" si="532"/>
        <v>0</v>
      </c>
      <c r="Q245" s="2">
        <f t="shared" si="532"/>
        <v>0</v>
      </c>
      <c r="R245" s="2">
        <f t="shared" si="532"/>
        <v>0</v>
      </c>
      <c r="S245" s="2">
        <f t="shared" si="532"/>
        <v>0</v>
      </c>
      <c r="T245" s="2">
        <f t="shared" si="532"/>
        <v>0</v>
      </c>
      <c r="U245" s="2">
        <f t="shared" ref="U245:AI245" si="533">IF(U244=1, IF(U199&gt;0.7, 41, IF(U199&gt;0.3, 42, 43)), 0)</f>
        <v>0</v>
      </c>
      <c r="V245" s="2">
        <f t="shared" si="533"/>
        <v>0</v>
      </c>
      <c r="W245" s="2">
        <f t="shared" si="533"/>
        <v>0</v>
      </c>
      <c r="X245" s="2">
        <f t="shared" si="533"/>
        <v>0</v>
      </c>
      <c r="Y245" s="2">
        <f t="shared" si="533"/>
        <v>0</v>
      </c>
      <c r="Z245" s="2">
        <f t="shared" si="533"/>
        <v>0</v>
      </c>
      <c r="AA245" s="2">
        <f t="shared" si="533"/>
        <v>0</v>
      </c>
      <c r="AB245" s="2">
        <f t="shared" si="533"/>
        <v>0</v>
      </c>
      <c r="AC245" s="2">
        <f t="shared" si="533"/>
        <v>0</v>
      </c>
      <c r="AD245" s="2">
        <f t="shared" si="533"/>
        <v>0</v>
      </c>
      <c r="AE245" s="2">
        <f t="shared" si="533"/>
        <v>0</v>
      </c>
      <c r="AF245" s="2">
        <f t="shared" si="533"/>
        <v>0</v>
      </c>
      <c r="AG245" s="2">
        <f t="shared" si="533"/>
        <v>0</v>
      </c>
      <c r="AH245" s="2">
        <f t="shared" si="533"/>
        <v>0</v>
      </c>
      <c r="AI245" s="2">
        <f t="shared" si="533"/>
        <v>0</v>
      </c>
      <c r="AJ245" s="2">
        <f t="shared" ref="AJ245:BJ245" si="534">IF(AJ244=1, IF(AJ199&gt;0.7, 41, IF(AJ199&gt;0.3, 42, 43)), 0)</f>
        <v>0</v>
      </c>
      <c r="AK245" s="2">
        <f t="shared" si="534"/>
        <v>0</v>
      </c>
      <c r="AL245" s="2">
        <f t="shared" si="534"/>
        <v>0</v>
      </c>
      <c r="AM245" s="2">
        <f t="shared" si="534"/>
        <v>0</v>
      </c>
      <c r="AN245" s="2">
        <f t="shared" si="534"/>
        <v>0</v>
      </c>
      <c r="AO245" s="2">
        <f t="shared" si="534"/>
        <v>0</v>
      </c>
      <c r="AP245" s="2">
        <f t="shared" si="534"/>
        <v>0</v>
      </c>
      <c r="AQ245" s="2">
        <f t="shared" si="534"/>
        <v>0</v>
      </c>
      <c r="AR245" s="2">
        <f t="shared" si="534"/>
        <v>0</v>
      </c>
      <c r="AS245" s="2">
        <f t="shared" si="534"/>
        <v>0</v>
      </c>
      <c r="AT245" s="2">
        <f t="shared" si="534"/>
        <v>0</v>
      </c>
      <c r="AU245" s="2">
        <f t="shared" si="534"/>
        <v>0</v>
      </c>
      <c r="AV245" s="2">
        <f t="shared" si="534"/>
        <v>0</v>
      </c>
      <c r="AW245" s="2">
        <f t="shared" si="534"/>
        <v>0</v>
      </c>
      <c r="AX245" s="2">
        <f t="shared" si="534"/>
        <v>0</v>
      </c>
      <c r="AY245" s="2">
        <f t="shared" si="534"/>
        <v>0</v>
      </c>
      <c r="AZ245" s="2">
        <f t="shared" si="534"/>
        <v>0</v>
      </c>
      <c r="BA245" s="2">
        <f t="shared" si="534"/>
        <v>0</v>
      </c>
      <c r="BB245" s="2">
        <f t="shared" si="534"/>
        <v>0</v>
      </c>
      <c r="BC245" s="2">
        <f t="shared" si="534"/>
        <v>0</v>
      </c>
      <c r="BD245" s="2">
        <f t="shared" si="534"/>
        <v>0</v>
      </c>
      <c r="BE245" s="2">
        <f t="shared" si="534"/>
        <v>0</v>
      </c>
      <c r="BF245" s="2">
        <f t="shared" si="534"/>
        <v>0</v>
      </c>
      <c r="BG245" s="2">
        <f t="shared" si="534"/>
        <v>0</v>
      </c>
      <c r="BH245" s="2">
        <f t="shared" si="534"/>
        <v>0</v>
      </c>
      <c r="BI245" s="2">
        <f t="shared" si="534"/>
        <v>0</v>
      </c>
      <c r="BJ245" s="2">
        <f t="shared" si="534"/>
        <v>0</v>
      </c>
      <c r="BN245" s="2">
        <f>IF(BN244=1, IF(BN199&gt;0.7, 41, IF(BN199&gt;0.3, 42, 43)), 0)</f>
        <v>0</v>
      </c>
    </row>
    <row r="246" spans="1:66">
      <c r="A246" s="47" t="s">
        <v>63</v>
      </c>
      <c r="B246" s="54">
        <f t="shared" ref="B246:T246" si="535">IF(B237=1, IF(B200&lt;=6.25, 1, 0), 0)</f>
        <v>0</v>
      </c>
      <c r="C246" s="2">
        <f t="shared" si="535"/>
        <v>0</v>
      </c>
      <c r="D246" s="2">
        <f t="shared" si="535"/>
        <v>0</v>
      </c>
      <c r="E246" s="2">
        <f t="shared" si="535"/>
        <v>0</v>
      </c>
      <c r="F246" s="2">
        <f t="shared" si="535"/>
        <v>0</v>
      </c>
      <c r="G246" s="2">
        <f t="shared" si="535"/>
        <v>0</v>
      </c>
      <c r="H246" s="2">
        <f t="shared" si="535"/>
        <v>0</v>
      </c>
      <c r="I246" s="2">
        <f t="shared" si="535"/>
        <v>0</v>
      </c>
      <c r="J246" s="2">
        <f t="shared" si="535"/>
        <v>0</v>
      </c>
      <c r="K246" s="54">
        <f t="shared" si="535"/>
        <v>0</v>
      </c>
      <c r="L246" s="2">
        <f t="shared" si="535"/>
        <v>0</v>
      </c>
      <c r="M246" s="2">
        <f t="shared" si="535"/>
        <v>0</v>
      </c>
      <c r="N246" s="2">
        <f t="shared" si="535"/>
        <v>0</v>
      </c>
      <c r="O246" s="2">
        <f t="shared" si="535"/>
        <v>0</v>
      </c>
      <c r="P246" s="2">
        <f t="shared" si="535"/>
        <v>0</v>
      </c>
      <c r="Q246" s="2">
        <f t="shared" si="535"/>
        <v>0</v>
      </c>
      <c r="R246" s="2">
        <f t="shared" si="535"/>
        <v>0</v>
      </c>
      <c r="S246" s="2">
        <f t="shared" si="535"/>
        <v>0</v>
      </c>
      <c r="T246" s="2">
        <f t="shared" si="535"/>
        <v>0</v>
      </c>
      <c r="U246" s="2">
        <f t="shared" ref="U246:AI246" si="536">IF(U237=1, IF(U200&lt;=6.25, 1, 0), 0)</f>
        <v>0</v>
      </c>
      <c r="V246" s="2">
        <f t="shared" si="536"/>
        <v>0</v>
      </c>
      <c r="W246" s="2">
        <f t="shared" si="536"/>
        <v>0</v>
      </c>
      <c r="X246" s="2">
        <f t="shared" si="536"/>
        <v>0</v>
      </c>
      <c r="Y246" s="2">
        <f t="shared" si="536"/>
        <v>0</v>
      </c>
      <c r="Z246" s="2">
        <f t="shared" si="536"/>
        <v>0</v>
      </c>
      <c r="AA246" s="2">
        <f t="shared" si="536"/>
        <v>0</v>
      </c>
      <c r="AB246" s="2">
        <f t="shared" si="536"/>
        <v>0</v>
      </c>
      <c r="AC246" s="2">
        <f t="shared" si="536"/>
        <v>0</v>
      </c>
      <c r="AD246" s="2">
        <f t="shared" si="536"/>
        <v>0</v>
      </c>
      <c r="AE246" s="2">
        <f t="shared" si="536"/>
        <v>0</v>
      </c>
      <c r="AF246" s="2">
        <f t="shared" si="536"/>
        <v>0</v>
      </c>
      <c r="AG246" s="2">
        <f t="shared" si="536"/>
        <v>0</v>
      </c>
      <c r="AH246" s="2">
        <f t="shared" si="536"/>
        <v>0</v>
      </c>
      <c r="AI246" s="2">
        <f t="shared" si="536"/>
        <v>0</v>
      </c>
      <c r="AJ246" s="2">
        <f t="shared" ref="AJ246:BJ246" si="537">IF(AJ237=1, IF(AJ200&lt;=6.25, 1, 0), 0)</f>
        <v>0</v>
      </c>
      <c r="AK246" s="2">
        <f t="shared" si="537"/>
        <v>0</v>
      </c>
      <c r="AL246" s="2">
        <f t="shared" si="537"/>
        <v>0</v>
      </c>
      <c r="AM246" s="2">
        <f t="shared" si="537"/>
        <v>0</v>
      </c>
      <c r="AN246" s="2">
        <f t="shared" si="537"/>
        <v>0</v>
      </c>
      <c r="AO246" s="2">
        <f t="shared" si="537"/>
        <v>0</v>
      </c>
      <c r="AP246" s="2">
        <f t="shared" si="537"/>
        <v>0</v>
      </c>
      <c r="AQ246" s="2">
        <f t="shared" si="537"/>
        <v>0</v>
      </c>
      <c r="AR246" s="2">
        <f t="shared" si="537"/>
        <v>0</v>
      </c>
      <c r="AS246" s="2">
        <f t="shared" si="537"/>
        <v>0</v>
      </c>
      <c r="AT246" s="2">
        <f t="shared" si="537"/>
        <v>0</v>
      </c>
      <c r="AU246" s="2">
        <f t="shared" si="537"/>
        <v>0</v>
      </c>
      <c r="AV246" s="2">
        <f t="shared" si="537"/>
        <v>0</v>
      </c>
      <c r="AW246" s="2">
        <f t="shared" si="537"/>
        <v>0</v>
      </c>
      <c r="AX246" s="2">
        <f t="shared" si="537"/>
        <v>0</v>
      </c>
      <c r="AY246" s="2">
        <f t="shared" si="537"/>
        <v>0</v>
      </c>
      <c r="AZ246" s="2">
        <f t="shared" si="537"/>
        <v>0</v>
      </c>
      <c r="BA246" s="2">
        <f t="shared" si="537"/>
        <v>0</v>
      </c>
      <c r="BB246" s="2">
        <f t="shared" si="537"/>
        <v>0</v>
      </c>
      <c r="BC246" s="2">
        <f t="shared" si="537"/>
        <v>0</v>
      </c>
      <c r="BD246" s="2">
        <f t="shared" si="537"/>
        <v>0</v>
      </c>
      <c r="BE246" s="2">
        <f t="shared" si="537"/>
        <v>0</v>
      </c>
      <c r="BF246" s="2">
        <f t="shared" si="537"/>
        <v>0</v>
      </c>
      <c r="BG246" s="2">
        <f t="shared" si="537"/>
        <v>0</v>
      </c>
      <c r="BH246" s="2">
        <f t="shared" si="537"/>
        <v>0</v>
      </c>
      <c r="BI246" s="2">
        <f t="shared" si="537"/>
        <v>0</v>
      </c>
      <c r="BJ246" s="2">
        <f t="shared" si="537"/>
        <v>0</v>
      </c>
      <c r="BN246" s="2">
        <f>IF(BN237=1, IF(BN200&lt;=6.25, 1, 0), 0)</f>
        <v>0</v>
      </c>
    </row>
    <row r="247" spans="1:66">
      <c r="A247" s="47" t="s">
        <v>64</v>
      </c>
      <c r="B247" s="54">
        <f t="shared" ref="B247:T247" si="538">IF(B246=1, IF(B199&gt;0.7, 44, IF(B199&gt;0.3, 45, 46)), 0)</f>
        <v>0</v>
      </c>
      <c r="C247" s="2">
        <f t="shared" si="538"/>
        <v>0</v>
      </c>
      <c r="D247" s="2">
        <f t="shared" si="538"/>
        <v>0</v>
      </c>
      <c r="E247" s="2">
        <f t="shared" si="538"/>
        <v>0</v>
      </c>
      <c r="F247" s="2">
        <f t="shared" si="538"/>
        <v>0</v>
      </c>
      <c r="G247" s="2">
        <f t="shared" si="538"/>
        <v>0</v>
      </c>
      <c r="H247" s="2">
        <f t="shared" si="538"/>
        <v>0</v>
      </c>
      <c r="I247" s="2">
        <f t="shared" si="538"/>
        <v>0</v>
      </c>
      <c r="J247" s="2">
        <f t="shared" si="538"/>
        <v>0</v>
      </c>
      <c r="K247" s="54">
        <f t="shared" si="538"/>
        <v>0</v>
      </c>
      <c r="L247" s="2">
        <f t="shared" si="538"/>
        <v>0</v>
      </c>
      <c r="M247" s="2">
        <f t="shared" si="538"/>
        <v>0</v>
      </c>
      <c r="N247" s="2">
        <f t="shared" si="538"/>
        <v>0</v>
      </c>
      <c r="O247" s="2">
        <f t="shared" si="538"/>
        <v>0</v>
      </c>
      <c r="P247" s="2">
        <f t="shared" si="538"/>
        <v>0</v>
      </c>
      <c r="Q247" s="2">
        <f t="shared" si="538"/>
        <v>0</v>
      </c>
      <c r="R247" s="2">
        <f t="shared" si="538"/>
        <v>0</v>
      </c>
      <c r="S247" s="2">
        <f t="shared" si="538"/>
        <v>0</v>
      </c>
      <c r="T247" s="2">
        <f t="shared" si="538"/>
        <v>0</v>
      </c>
      <c r="U247" s="2">
        <f t="shared" ref="U247:AI247" si="539">IF(U246=1, IF(U199&gt;0.7, 44, IF(U199&gt;0.3, 45, 46)), 0)</f>
        <v>0</v>
      </c>
      <c r="V247" s="2">
        <f t="shared" si="539"/>
        <v>0</v>
      </c>
      <c r="W247" s="2">
        <f t="shared" si="539"/>
        <v>0</v>
      </c>
      <c r="X247" s="2">
        <f t="shared" si="539"/>
        <v>0</v>
      </c>
      <c r="Y247" s="2">
        <f t="shared" si="539"/>
        <v>0</v>
      </c>
      <c r="Z247" s="2">
        <f t="shared" si="539"/>
        <v>0</v>
      </c>
      <c r="AA247" s="2">
        <f t="shared" si="539"/>
        <v>0</v>
      </c>
      <c r="AB247" s="2">
        <f t="shared" si="539"/>
        <v>0</v>
      </c>
      <c r="AC247" s="2">
        <f t="shared" si="539"/>
        <v>0</v>
      </c>
      <c r="AD247" s="2">
        <f t="shared" si="539"/>
        <v>0</v>
      </c>
      <c r="AE247" s="2">
        <f t="shared" si="539"/>
        <v>0</v>
      </c>
      <c r="AF247" s="2">
        <f t="shared" si="539"/>
        <v>0</v>
      </c>
      <c r="AG247" s="2">
        <f t="shared" si="539"/>
        <v>0</v>
      </c>
      <c r="AH247" s="2">
        <f t="shared" si="539"/>
        <v>0</v>
      </c>
      <c r="AI247" s="2">
        <f t="shared" si="539"/>
        <v>0</v>
      </c>
      <c r="AJ247" s="2">
        <f t="shared" ref="AJ247:BJ247" si="540">IF(AJ246=1, IF(AJ199&gt;0.7, 44, IF(AJ199&gt;0.3, 45, 46)), 0)</f>
        <v>0</v>
      </c>
      <c r="AK247" s="2">
        <f t="shared" si="540"/>
        <v>0</v>
      </c>
      <c r="AL247" s="2">
        <f t="shared" si="540"/>
        <v>0</v>
      </c>
      <c r="AM247" s="2">
        <f t="shared" si="540"/>
        <v>0</v>
      </c>
      <c r="AN247" s="2">
        <f t="shared" si="540"/>
        <v>0</v>
      </c>
      <c r="AO247" s="2">
        <f t="shared" si="540"/>
        <v>0</v>
      </c>
      <c r="AP247" s="2">
        <f t="shared" si="540"/>
        <v>0</v>
      </c>
      <c r="AQ247" s="2">
        <f t="shared" si="540"/>
        <v>0</v>
      </c>
      <c r="AR247" s="2">
        <f t="shared" si="540"/>
        <v>0</v>
      </c>
      <c r="AS247" s="2">
        <f t="shared" si="540"/>
        <v>0</v>
      </c>
      <c r="AT247" s="2">
        <f t="shared" si="540"/>
        <v>0</v>
      </c>
      <c r="AU247" s="2">
        <f t="shared" si="540"/>
        <v>0</v>
      </c>
      <c r="AV247" s="2">
        <f t="shared" si="540"/>
        <v>0</v>
      </c>
      <c r="AW247" s="2">
        <f t="shared" si="540"/>
        <v>0</v>
      </c>
      <c r="AX247" s="2">
        <f t="shared" si="540"/>
        <v>0</v>
      </c>
      <c r="AY247" s="2">
        <f t="shared" si="540"/>
        <v>0</v>
      </c>
      <c r="AZ247" s="2">
        <f t="shared" si="540"/>
        <v>0</v>
      </c>
      <c r="BA247" s="2">
        <f t="shared" si="540"/>
        <v>0</v>
      </c>
      <c r="BB247" s="2">
        <f t="shared" si="540"/>
        <v>0</v>
      </c>
      <c r="BC247" s="2">
        <f t="shared" si="540"/>
        <v>0</v>
      </c>
      <c r="BD247" s="2">
        <f t="shared" si="540"/>
        <v>0</v>
      </c>
      <c r="BE247" s="2">
        <f t="shared" si="540"/>
        <v>0</v>
      </c>
      <c r="BF247" s="2">
        <f t="shared" si="540"/>
        <v>0</v>
      </c>
      <c r="BG247" s="2">
        <f t="shared" si="540"/>
        <v>0</v>
      </c>
      <c r="BH247" s="2">
        <f t="shared" si="540"/>
        <v>0</v>
      </c>
      <c r="BI247" s="2">
        <f t="shared" si="540"/>
        <v>0</v>
      </c>
      <c r="BJ247" s="2">
        <f t="shared" si="540"/>
        <v>0</v>
      </c>
      <c r="BN247" s="2">
        <f>IF(BN246=1, IF(BN199&gt;0.7, 44, IF(BN199&gt;0.3, 45, 46)), 0)</f>
        <v>0</v>
      </c>
    </row>
    <row r="248" spans="1:66">
      <c r="A248" s="43" t="s">
        <v>65</v>
      </c>
    </row>
    <row r="249" spans="1:66">
      <c r="A249" s="48" t="s">
        <v>0</v>
      </c>
      <c r="B249" s="54">
        <f t="shared" ref="B249:T249" si="541">IF(B197&gt;0.67, IF(B197&lt;1.34, 1, 0), 0)</f>
        <v>0</v>
      </c>
      <c r="C249" s="2">
        <f t="shared" si="541"/>
        <v>0</v>
      </c>
      <c r="D249" s="2">
        <f t="shared" si="541"/>
        <v>0</v>
      </c>
      <c r="E249" s="2">
        <f t="shared" si="541"/>
        <v>0</v>
      </c>
      <c r="F249" s="2">
        <f t="shared" si="541"/>
        <v>0</v>
      </c>
      <c r="G249" s="2">
        <f t="shared" si="541"/>
        <v>0</v>
      </c>
      <c r="H249" s="2">
        <f t="shared" si="541"/>
        <v>0</v>
      </c>
      <c r="I249" s="2">
        <f t="shared" si="541"/>
        <v>0</v>
      </c>
      <c r="J249" s="2">
        <f t="shared" si="541"/>
        <v>0</v>
      </c>
      <c r="K249" s="54">
        <f t="shared" si="541"/>
        <v>0</v>
      </c>
      <c r="L249" s="2">
        <f t="shared" si="541"/>
        <v>0</v>
      </c>
      <c r="M249" s="2">
        <f t="shared" si="541"/>
        <v>0</v>
      </c>
      <c r="N249" s="2">
        <f t="shared" si="541"/>
        <v>0</v>
      </c>
      <c r="O249" s="2">
        <f t="shared" si="541"/>
        <v>0</v>
      </c>
      <c r="P249" s="2">
        <f t="shared" si="541"/>
        <v>0</v>
      </c>
      <c r="Q249" s="2">
        <f t="shared" si="541"/>
        <v>0</v>
      </c>
      <c r="R249" s="2">
        <f t="shared" si="541"/>
        <v>0</v>
      </c>
      <c r="S249" s="2">
        <f t="shared" si="541"/>
        <v>0</v>
      </c>
      <c r="T249" s="2">
        <f t="shared" si="541"/>
        <v>0</v>
      </c>
      <c r="U249" s="2">
        <f t="shared" ref="U249:AI249" si="542">IF(U197&gt;0.67, IF(U197&lt;1.34, 1, 0), 0)</f>
        <v>0</v>
      </c>
      <c r="V249" s="2">
        <f t="shared" si="542"/>
        <v>0</v>
      </c>
      <c r="W249" s="2">
        <f t="shared" si="542"/>
        <v>0</v>
      </c>
      <c r="X249" s="2">
        <f t="shared" si="542"/>
        <v>0</v>
      </c>
      <c r="Y249" s="2">
        <f t="shared" si="542"/>
        <v>0</v>
      </c>
      <c r="Z249" s="2">
        <f t="shared" si="542"/>
        <v>0</v>
      </c>
      <c r="AA249" s="2">
        <f t="shared" si="542"/>
        <v>0</v>
      </c>
      <c r="AB249" s="2">
        <f t="shared" si="542"/>
        <v>0</v>
      </c>
      <c r="AC249" s="2">
        <f t="shared" si="542"/>
        <v>0</v>
      </c>
      <c r="AD249" s="2">
        <f t="shared" si="542"/>
        <v>0</v>
      </c>
      <c r="AE249" s="2">
        <f t="shared" si="542"/>
        <v>0</v>
      </c>
      <c r="AF249" s="2">
        <f t="shared" si="542"/>
        <v>0</v>
      </c>
      <c r="AG249" s="2">
        <f t="shared" si="542"/>
        <v>0</v>
      </c>
      <c r="AH249" s="2">
        <f t="shared" si="542"/>
        <v>0</v>
      </c>
      <c r="AI249" s="2">
        <f t="shared" si="542"/>
        <v>0</v>
      </c>
      <c r="AJ249" s="2">
        <f t="shared" ref="AJ249:BJ249" si="543">IF(AJ197&gt;0.67, IF(AJ197&lt;1.34, 1, 0), 0)</f>
        <v>0</v>
      </c>
      <c r="AK249" s="2">
        <f t="shared" si="543"/>
        <v>0</v>
      </c>
      <c r="AL249" s="2">
        <f t="shared" si="543"/>
        <v>0</v>
      </c>
      <c r="AM249" s="2">
        <f t="shared" si="543"/>
        <v>0</v>
      </c>
      <c r="AN249" s="2">
        <f t="shared" si="543"/>
        <v>0</v>
      </c>
      <c r="AO249" s="2">
        <f t="shared" si="543"/>
        <v>0</v>
      </c>
      <c r="AP249" s="2">
        <f t="shared" si="543"/>
        <v>0</v>
      </c>
      <c r="AQ249" s="2">
        <f t="shared" si="543"/>
        <v>0</v>
      </c>
      <c r="AR249" s="2">
        <f t="shared" si="543"/>
        <v>0</v>
      </c>
      <c r="AS249" s="2">
        <f t="shared" si="543"/>
        <v>0</v>
      </c>
      <c r="AT249" s="2">
        <f t="shared" si="543"/>
        <v>0</v>
      </c>
      <c r="AU249" s="2">
        <f t="shared" si="543"/>
        <v>0</v>
      </c>
      <c r="AV249" s="2">
        <f t="shared" si="543"/>
        <v>0</v>
      </c>
      <c r="AW249" s="2">
        <f t="shared" si="543"/>
        <v>0</v>
      </c>
      <c r="AX249" s="2">
        <f t="shared" si="543"/>
        <v>0</v>
      </c>
      <c r="AY249" s="2">
        <f t="shared" si="543"/>
        <v>0</v>
      </c>
      <c r="AZ249" s="2">
        <f t="shared" si="543"/>
        <v>0</v>
      </c>
      <c r="BA249" s="2">
        <f t="shared" si="543"/>
        <v>0</v>
      </c>
      <c r="BB249" s="2">
        <f t="shared" si="543"/>
        <v>0</v>
      </c>
      <c r="BC249" s="2">
        <f t="shared" si="543"/>
        <v>0</v>
      </c>
      <c r="BD249" s="2">
        <f t="shared" si="543"/>
        <v>0</v>
      </c>
      <c r="BE249" s="2">
        <f t="shared" si="543"/>
        <v>0</v>
      </c>
      <c r="BF249" s="2">
        <f t="shared" si="543"/>
        <v>0</v>
      </c>
      <c r="BG249" s="2">
        <f t="shared" si="543"/>
        <v>0</v>
      </c>
      <c r="BH249" s="2">
        <f t="shared" si="543"/>
        <v>0</v>
      </c>
      <c r="BI249" s="2">
        <f t="shared" si="543"/>
        <v>0</v>
      </c>
      <c r="BJ249" s="2">
        <f t="shared" si="543"/>
        <v>0</v>
      </c>
      <c r="BN249" s="2">
        <f>IF(BN197&gt;0.67, IF(BN197&lt;1.34, 1, 0), 0)</f>
        <v>0</v>
      </c>
    </row>
    <row r="250" spans="1:66">
      <c r="A250" s="38" t="s">
        <v>66</v>
      </c>
      <c r="B250" s="54">
        <f t="shared" ref="B250:T250" si="544">IF(B249=1, IF(B198&lt;0.5, 1, 0), 0)</f>
        <v>0</v>
      </c>
      <c r="C250" s="2">
        <f t="shared" si="544"/>
        <v>0</v>
      </c>
      <c r="D250" s="2">
        <f t="shared" si="544"/>
        <v>0</v>
      </c>
      <c r="E250" s="2">
        <f t="shared" si="544"/>
        <v>0</v>
      </c>
      <c r="F250" s="2">
        <f t="shared" si="544"/>
        <v>0</v>
      </c>
      <c r="G250" s="2">
        <f t="shared" si="544"/>
        <v>0</v>
      </c>
      <c r="H250" s="2">
        <f t="shared" si="544"/>
        <v>0</v>
      </c>
      <c r="I250" s="2">
        <f t="shared" si="544"/>
        <v>0</v>
      </c>
      <c r="J250" s="2">
        <f t="shared" si="544"/>
        <v>0</v>
      </c>
      <c r="K250" s="54">
        <f t="shared" si="544"/>
        <v>0</v>
      </c>
      <c r="L250" s="2">
        <f t="shared" si="544"/>
        <v>0</v>
      </c>
      <c r="M250" s="2">
        <f t="shared" si="544"/>
        <v>0</v>
      </c>
      <c r="N250" s="2">
        <f t="shared" si="544"/>
        <v>0</v>
      </c>
      <c r="O250" s="2">
        <f t="shared" si="544"/>
        <v>0</v>
      </c>
      <c r="P250" s="2">
        <f t="shared" si="544"/>
        <v>0</v>
      </c>
      <c r="Q250" s="2">
        <f t="shared" si="544"/>
        <v>0</v>
      </c>
      <c r="R250" s="2">
        <f t="shared" si="544"/>
        <v>0</v>
      </c>
      <c r="S250" s="2">
        <f t="shared" si="544"/>
        <v>0</v>
      </c>
      <c r="T250" s="2">
        <f t="shared" si="544"/>
        <v>0</v>
      </c>
      <c r="U250" s="2">
        <f t="shared" ref="U250:AI250" si="545">IF(U249=1, IF(U198&lt;0.5, 1, 0), 0)</f>
        <v>0</v>
      </c>
      <c r="V250" s="2">
        <f t="shared" si="545"/>
        <v>0</v>
      </c>
      <c r="W250" s="2">
        <f t="shared" si="545"/>
        <v>0</v>
      </c>
      <c r="X250" s="2">
        <f t="shared" si="545"/>
        <v>0</v>
      </c>
      <c r="Y250" s="2">
        <f t="shared" si="545"/>
        <v>0</v>
      </c>
      <c r="Z250" s="2">
        <f t="shared" si="545"/>
        <v>0</v>
      </c>
      <c r="AA250" s="2">
        <f t="shared" si="545"/>
        <v>0</v>
      </c>
      <c r="AB250" s="2">
        <f t="shared" si="545"/>
        <v>0</v>
      </c>
      <c r="AC250" s="2">
        <f t="shared" si="545"/>
        <v>0</v>
      </c>
      <c r="AD250" s="2">
        <f t="shared" si="545"/>
        <v>0</v>
      </c>
      <c r="AE250" s="2">
        <f t="shared" si="545"/>
        <v>0</v>
      </c>
      <c r="AF250" s="2">
        <f t="shared" si="545"/>
        <v>0</v>
      </c>
      <c r="AG250" s="2">
        <f t="shared" si="545"/>
        <v>0</v>
      </c>
      <c r="AH250" s="2">
        <f t="shared" si="545"/>
        <v>0</v>
      </c>
      <c r="AI250" s="2">
        <f t="shared" si="545"/>
        <v>0</v>
      </c>
      <c r="AJ250" s="2">
        <f t="shared" ref="AJ250:BJ250" si="546">IF(AJ249=1, IF(AJ198&lt;0.5, 1, 0), 0)</f>
        <v>0</v>
      </c>
      <c r="AK250" s="2">
        <f t="shared" si="546"/>
        <v>0</v>
      </c>
      <c r="AL250" s="2">
        <f t="shared" si="546"/>
        <v>0</v>
      </c>
      <c r="AM250" s="2">
        <f t="shared" si="546"/>
        <v>0</v>
      </c>
      <c r="AN250" s="2">
        <f t="shared" si="546"/>
        <v>0</v>
      </c>
      <c r="AO250" s="2">
        <f t="shared" si="546"/>
        <v>0</v>
      </c>
      <c r="AP250" s="2">
        <f t="shared" si="546"/>
        <v>0</v>
      </c>
      <c r="AQ250" s="2">
        <f t="shared" si="546"/>
        <v>0</v>
      </c>
      <c r="AR250" s="2">
        <f t="shared" si="546"/>
        <v>0</v>
      </c>
      <c r="AS250" s="2">
        <f t="shared" si="546"/>
        <v>0</v>
      </c>
      <c r="AT250" s="2">
        <f t="shared" si="546"/>
        <v>0</v>
      </c>
      <c r="AU250" s="2">
        <f t="shared" si="546"/>
        <v>0</v>
      </c>
      <c r="AV250" s="2">
        <f t="shared" si="546"/>
        <v>0</v>
      </c>
      <c r="AW250" s="2">
        <f t="shared" si="546"/>
        <v>0</v>
      </c>
      <c r="AX250" s="2">
        <f t="shared" si="546"/>
        <v>0</v>
      </c>
      <c r="AY250" s="2">
        <f t="shared" si="546"/>
        <v>0</v>
      </c>
      <c r="AZ250" s="2">
        <f t="shared" si="546"/>
        <v>0</v>
      </c>
      <c r="BA250" s="2">
        <f t="shared" si="546"/>
        <v>0</v>
      </c>
      <c r="BB250" s="2">
        <f t="shared" si="546"/>
        <v>0</v>
      </c>
      <c r="BC250" s="2">
        <f t="shared" si="546"/>
        <v>0</v>
      </c>
      <c r="BD250" s="2">
        <f t="shared" si="546"/>
        <v>0</v>
      </c>
      <c r="BE250" s="2">
        <f t="shared" si="546"/>
        <v>0</v>
      </c>
      <c r="BF250" s="2">
        <f t="shared" si="546"/>
        <v>0</v>
      </c>
      <c r="BG250" s="2">
        <f t="shared" si="546"/>
        <v>0</v>
      </c>
      <c r="BH250" s="2">
        <f t="shared" si="546"/>
        <v>0</v>
      </c>
      <c r="BI250" s="2">
        <f t="shared" si="546"/>
        <v>0</v>
      </c>
      <c r="BJ250" s="2">
        <f t="shared" si="546"/>
        <v>0</v>
      </c>
      <c r="BN250" s="2">
        <f>IF(BN249=1, IF(BN198&lt;0.5, 1, 0), 0)</f>
        <v>0</v>
      </c>
    </row>
    <row r="251" spans="1:66">
      <c r="A251" s="1" t="s">
        <v>67</v>
      </c>
      <c r="B251" s="54">
        <f t="shared" ref="B251:T251" si="547">IF(B250=1, IF(B199&gt;7.5, 1, 0), 0)</f>
        <v>0</v>
      </c>
      <c r="C251" s="2">
        <f t="shared" si="547"/>
        <v>0</v>
      </c>
      <c r="D251" s="2">
        <f t="shared" si="547"/>
        <v>0</v>
      </c>
      <c r="E251" s="2">
        <f t="shared" si="547"/>
        <v>0</v>
      </c>
      <c r="F251" s="2">
        <f t="shared" si="547"/>
        <v>0</v>
      </c>
      <c r="G251" s="2">
        <f t="shared" si="547"/>
        <v>0</v>
      </c>
      <c r="H251" s="2">
        <f t="shared" si="547"/>
        <v>0</v>
      </c>
      <c r="I251" s="2">
        <f t="shared" si="547"/>
        <v>0</v>
      </c>
      <c r="J251" s="2">
        <f t="shared" si="547"/>
        <v>0</v>
      </c>
      <c r="K251" s="54">
        <f t="shared" si="547"/>
        <v>0</v>
      </c>
      <c r="L251" s="2">
        <f t="shared" si="547"/>
        <v>0</v>
      </c>
      <c r="M251" s="2">
        <f t="shared" si="547"/>
        <v>0</v>
      </c>
      <c r="N251" s="2">
        <f t="shared" si="547"/>
        <v>0</v>
      </c>
      <c r="O251" s="2">
        <f t="shared" si="547"/>
        <v>0</v>
      </c>
      <c r="P251" s="2">
        <f t="shared" si="547"/>
        <v>0</v>
      </c>
      <c r="Q251" s="2">
        <f t="shared" si="547"/>
        <v>0</v>
      </c>
      <c r="R251" s="2">
        <f t="shared" si="547"/>
        <v>0</v>
      </c>
      <c r="S251" s="2">
        <f t="shared" si="547"/>
        <v>0</v>
      </c>
      <c r="T251" s="2">
        <f t="shared" si="547"/>
        <v>0</v>
      </c>
      <c r="U251" s="2">
        <f t="shared" ref="U251:AI251" si="548">IF(U250=1, IF(U199&gt;7.5, 1, 0), 0)</f>
        <v>0</v>
      </c>
      <c r="V251" s="2">
        <f t="shared" si="548"/>
        <v>0</v>
      </c>
      <c r="W251" s="2">
        <f t="shared" si="548"/>
        <v>0</v>
      </c>
      <c r="X251" s="2">
        <f t="shared" si="548"/>
        <v>0</v>
      </c>
      <c r="Y251" s="2">
        <f t="shared" si="548"/>
        <v>0</v>
      </c>
      <c r="Z251" s="2">
        <f t="shared" si="548"/>
        <v>0</v>
      </c>
      <c r="AA251" s="2">
        <f t="shared" si="548"/>
        <v>0</v>
      </c>
      <c r="AB251" s="2">
        <f t="shared" si="548"/>
        <v>0</v>
      </c>
      <c r="AC251" s="2">
        <f t="shared" si="548"/>
        <v>0</v>
      </c>
      <c r="AD251" s="2">
        <f t="shared" si="548"/>
        <v>0</v>
      </c>
      <c r="AE251" s="2">
        <f t="shared" si="548"/>
        <v>0</v>
      </c>
      <c r="AF251" s="2">
        <f t="shared" si="548"/>
        <v>0</v>
      </c>
      <c r="AG251" s="2">
        <f t="shared" si="548"/>
        <v>0</v>
      </c>
      <c r="AH251" s="2">
        <f t="shared" si="548"/>
        <v>0</v>
      </c>
      <c r="AI251" s="2">
        <f t="shared" si="548"/>
        <v>0</v>
      </c>
      <c r="AJ251" s="2">
        <f t="shared" ref="AJ251:BJ251" si="549">IF(AJ250=1, IF(AJ199&gt;7.5, 1, 0), 0)</f>
        <v>0</v>
      </c>
      <c r="AK251" s="2">
        <f t="shared" si="549"/>
        <v>0</v>
      </c>
      <c r="AL251" s="2">
        <f t="shared" si="549"/>
        <v>0</v>
      </c>
      <c r="AM251" s="2">
        <f t="shared" si="549"/>
        <v>0</v>
      </c>
      <c r="AN251" s="2">
        <f t="shared" si="549"/>
        <v>0</v>
      </c>
      <c r="AO251" s="2">
        <f t="shared" si="549"/>
        <v>0</v>
      </c>
      <c r="AP251" s="2">
        <f t="shared" si="549"/>
        <v>0</v>
      </c>
      <c r="AQ251" s="2">
        <f t="shared" si="549"/>
        <v>0</v>
      </c>
      <c r="AR251" s="2">
        <f t="shared" si="549"/>
        <v>0</v>
      </c>
      <c r="AS251" s="2">
        <f t="shared" si="549"/>
        <v>0</v>
      </c>
      <c r="AT251" s="2">
        <f t="shared" si="549"/>
        <v>0</v>
      </c>
      <c r="AU251" s="2">
        <f t="shared" si="549"/>
        <v>0</v>
      </c>
      <c r="AV251" s="2">
        <f t="shared" si="549"/>
        <v>0</v>
      </c>
      <c r="AW251" s="2">
        <f t="shared" si="549"/>
        <v>0</v>
      </c>
      <c r="AX251" s="2">
        <f t="shared" si="549"/>
        <v>0</v>
      </c>
      <c r="AY251" s="2">
        <f t="shared" si="549"/>
        <v>0</v>
      </c>
      <c r="AZ251" s="2">
        <f t="shared" si="549"/>
        <v>0</v>
      </c>
      <c r="BA251" s="2">
        <f t="shared" si="549"/>
        <v>0</v>
      </c>
      <c r="BB251" s="2">
        <f t="shared" si="549"/>
        <v>0</v>
      </c>
      <c r="BC251" s="2">
        <f t="shared" si="549"/>
        <v>0</v>
      </c>
      <c r="BD251" s="2">
        <f t="shared" si="549"/>
        <v>0</v>
      </c>
      <c r="BE251" s="2">
        <f t="shared" si="549"/>
        <v>0</v>
      </c>
      <c r="BF251" s="2">
        <f t="shared" si="549"/>
        <v>0</v>
      </c>
      <c r="BG251" s="2">
        <f t="shared" si="549"/>
        <v>0</v>
      </c>
      <c r="BH251" s="2">
        <f t="shared" si="549"/>
        <v>0</v>
      </c>
      <c r="BI251" s="2">
        <f t="shared" si="549"/>
        <v>0</v>
      </c>
      <c r="BJ251" s="2">
        <f t="shared" si="549"/>
        <v>0</v>
      </c>
      <c r="BN251" s="2">
        <f>IF(BN250=1, IF(BN199&gt;7.5, 1, 0), 0)</f>
        <v>0</v>
      </c>
    </row>
    <row r="252" spans="1:66">
      <c r="A252" s="37" t="s">
        <v>68</v>
      </c>
      <c r="B252" s="54">
        <f t="shared" ref="B252:T252" si="550">IF(B251=1, IF(B199&gt;0.5, 47, 48), 0)</f>
        <v>0</v>
      </c>
      <c r="C252" s="2">
        <f t="shared" si="550"/>
        <v>0</v>
      </c>
      <c r="D252" s="2">
        <f t="shared" si="550"/>
        <v>0</v>
      </c>
      <c r="E252" s="2">
        <f t="shared" si="550"/>
        <v>0</v>
      </c>
      <c r="F252" s="2">
        <f t="shared" si="550"/>
        <v>0</v>
      </c>
      <c r="G252" s="2">
        <f t="shared" si="550"/>
        <v>0</v>
      </c>
      <c r="H252" s="2">
        <f t="shared" si="550"/>
        <v>0</v>
      </c>
      <c r="I252" s="2">
        <f t="shared" si="550"/>
        <v>0</v>
      </c>
      <c r="J252" s="2">
        <f t="shared" si="550"/>
        <v>0</v>
      </c>
      <c r="K252" s="54">
        <f t="shared" si="550"/>
        <v>0</v>
      </c>
      <c r="L252" s="2">
        <f t="shared" si="550"/>
        <v>0</v>
      </c>
      <c r="M252" s="2">
        <f t="shared" si="550"/>
        <v>0</v>
      </c>
      <c r="N252" s="2">
        <f t="shared" si="550"/>
        <v>0</v>
      </c>
      <c r="O252" s="2">
        <f t="shared" si="550"/>
        <v>0</v>
      </c>
      <c r="P252" s="2">
        <f t="shared" si="550"/>
        <v>0</v>
      </c>
      <c r="Q252" s="2">
        <f t="shared" si="550"/>
        <v>0</v>
      </c>
      <c r="R252" s="2">
        <f t="shared" si="550"/>
        <v>0</v>
      </c>
      <c r="S252" s="2">
        <f t="shared" si="550"/>
        <v>0</v>
      </c>
      <c r="T252" s="2">
        <f t="shared" si="550"/>
        <v>0</v>
      </c>
      <c r="U252" s="2">
        <f t="shared" ref="U252:AI252" si="551">IF(U251=1, IF(U199&gt;0.5, 47, 48), 0)</f>
        <v>0</v>
      </c>
      <c r="V252" s="2">
        <f t="shared" si="551"/>
        <v>0</v>
      </c>
      <c r="W252" s="2">
        <f t="shared" si="551"/>
        <v>0</v>
      </c>
      <c r="X252" s="2">
        <f t="shared" si="551"/>
        <v>0</v>
      </c>
      <c r="Y252" s="2">
        <f t="shared" si="551"/>
        <v>0</v>
      </c>
      <c r="Z252" s="2">
        <f t="shared" si="551"/>
        <v>0</v>
      </c>
      <c r="AA252" s="2">
        <f t="shared" si="551"/>
        <v>0</v>
      </c>
      <c r="AB252" s="2">
        <f t="shared" si="551"/>
        <v>0</v>
      </c>
      <c r="AC252" s="2">
        <f t="shared" si="551"/>
        <v>0</v>
      </c>
      <c r="AD252" s="2">
        <f t="shared" si="551"/>
        <v>0</v>
      </c>
      <c r="AE252" s="2">
        <f t="shared" si="551"/>
        <v>0</v>
      </c>
      <c r="AF252" s="2">
        <f t="shared" si="551"/>
        <v>0</v>
      </c>
      <c r="AG252" s="2">
        <f t="shared" si="551"/>
        <v>0</v>
      </c>
      <c r="AH252" s="2">
        <f t="shared" si="551"/>
        <v>0</v>
      </c>
      <c r="AI252" s="2">
        <f t="shared" si="551"/>
        <v>0</v>
      </c>
      <c r="AJ252" s="2">
        <f t="shared" ref="AJ252:BJ252" si="552">IF(AJ251=1, IF(AJ199&gt;0.5, 47, 48), 0)</f>
        <v>0</v>
      </c>
      <c r="AK252" s="2">
        <f t="shared" si="552"/>
        <v>0</v>
      </c>
      <c r="AL252" s="2">
        <f t="shared" si="552"/>
        <v>0</v>
      </c>
      <c r="AM252" s="2">
        <f t="shared" si="552"/>
        <v>0</v>
      </c>
      <c r="AN252" s="2">
        <f t="shared" si="552"/>
        <v>0</v>
      </c>
      <c r="AO252" s="2">
        <f t="shared" si="552"/>
        <v>0</v>
      </c>
      <c r="AP252" s="2">
        <f t="shared" si="552"/>
        <v>0</v>
      </c>
      <c r="AQ252" s="2">
        <f t="shared" si="552"/>
        <v>0</v>
      </c>
      <c r="AR252" s="2">
        <f t="shared" si="552"/>
        <v>0</v>
      </c>
      <c r="AS252" s="2">
        <f t="shared" si="552"/>
        <v>0</v>
      </c>
      <c r="AT252" s="2">
        <f t="shared" si="552"/>
        <v>0</v>
      </c>
      <c r="AU252" s="2">
        <f t="shared" si="552"/>
        <v>0</v>
      </c>
      <c r="AV252" s="2">
        <f t="shared" si="552"/>
        <v>0</v>
      </c>
      <c r="AW252" s="2">
        <f t="shared" si="552"/>
        <v>0</v>
      </c>
      <c r="AX252" s="2">
        <f t="shared" si="552"/>
        <v>0</v>
      </c>
      <c r="AY252" s="2">
        <f t="shared" si="552"/>
        <v>0</v>
      </c>
      <c r="AZ252" s="2">
        <f t="shared" si="552"/>
        <v>0</v>
      </c>
      <c r="BA252" s="2">
        <f t="shared" si="552"/>
        <v>0</v>
      </c>
      <c r="BB252" s="2">
        <f t="shared" si="552"/>
        <v>0</v>
      </c>
      <c r="BC252" s="2">
        <f t="shared" si="552"/>
        <v>0</v>
      </c>
      <c r="BD252" s="2">
        <f t="shared" si="552"/>
        <v>0</v>
      </c>
      <c r="BE252" s="2">
        <f t="shared" si="552"/>
        <v>0</v>
      </c>
      <c r="BF252" s="2">
        <f t="shared" si="552"/>
        <v>0</v>
      </c>
      <c r="BG252" s="2">
        <f t="shared" si="552"/>
        <v>0</v>
      </c>
      <c r="BH252" s="2">
        <f t="shared" si="552"/>
        <v>0</v>
      </c>
      <c r="BI252" s="2">
        <f t="shared" si="552"/>
        <v>0</v>
      </c>
      <c r="BJ252" s="2">
        <f t="shared" si="552"/>
        <v>0</v>
      </c>
      <c r="BN252" s="2">
        <f>IF(BN251=1, IF(BN199&gt;0.5, 47, 48), 0)</f>
        <v>0</v>
      </c>
    </row>
    <row r="253" spans="1:66">
      <c r="A253" s="1" t="s">
        <v>69</v>
      </c>
      <c r="B253" s="54">
        <f t="shared" ref="B253:T253" si="553">IF(B250=1, IF(B200&lt;=7.5, 1, 0), 0)</f>
        <v>0</v>
      </c>
      <c r="C253" s="2">
        <f t="shared" si="553"/>
        <v>0</v>
      </c>
      <c r="D253" s="2">
        <f t="shared" si="553"/>
        <v>0</v>
      </c>
      <c r="E253" s="2">
        <f t="shared" si="553"/>
        <v>0</v>
      </c>
      <c r="F253" s="2">
        <f t="shared" si="553"/>
        <v>0</v>
      </c>
      <c r="G253" s="2">
        <f t="shared" si="553"/>
        <v>0</v>
      </c>
      <c r="H253" s="2">
        <f t="shared" si="553"/>
        <v>0</v>
      </c>
      <c r="I253" s="2">
        <f t="shared" si="553"/>
        <v>0</v>
      </c>
      <c r="J253" s="2">
        <f t="shared" si="553"/>
        <v>0</v>
      </c>
      <c r="K253" s="54">
        <f t="shared" si="553"/>
        <v>0</v>
      </c>
      <c r="L253" s="2">
        <f t="shared" si="553"/>
        <v>0</v>
      </c>
      <c r="M253" s="2">
        <f t="shared" si="553"/>
        <v>0</v>
      </c>
      <c r="N253" s="2">
        <f t="shared" si="553"/>
        <v>0</v>
      </c>
      <c r="O253" s="2">
        <f t="shared" si="553"/>
        <v>0</v>
      </c>
      <c r="P253" s="2">
        <f t="shared" si="553"/>
        <v>0</v>
      </c>
      <c r="Q253" s="2">
        <f t="shared" si="553"/>
        <v>0</v>
      </c>
      <c r="R253" s="2">
        <f t="shared" si="553"/>
        <v>0</v>
      </c>
      <c r="S253" s="2">
        <f t="shared" si="553"/>
        <v>0</v>
      </c>
      <c r="T253" s="2">
        <f t="shared" si="553"/>
        <v>0</v>
      </c>
      <c r="U253" s="2">
        <f t="shared" ref="U253:AI253" si="554">IF(U250=1, IF(U200&lt;=7.5, 1, 0), 0)</f>
        <v>0</v>
      </c>
      <c r="V253" s="2">
        <f t="shared" si="554"/>
        <v>0</v>
      </c>
      <c r="W253" s="2">
        <f t="shared" si="554"/>
        <v>0</v>
      </c>
      <c r="X253" s="2">
        <f t="shared" si="554"/>
        <v>0</v>
      </c>
      <c r="Y253" s="2">
        <f t="shared" si="554"/>
        <v>0</v>
      </c>
      <c r="Z253" s="2">
        <f t="shared" si="554"/>
        <v>0</v>
      </c>
      <c r="AA253" s="2">
        <f t="shared" si="554"/>
        <v>0</v>
      </c>
      <c r="AB253" s="2">
        <f t="shared" si="554"/>
        <v>0</v>
      </c>
      <c r="AC253" s="2">
        <f t="shared" si="554"/>
        <v>0</v>
      </c>
      <c r="AD253" s="2">
        <f t="shared" si="554"/>
        <v>0</v>
      </c>
      <c r="AE253" s="2">
        <f t="shared" si="554"/>
        <v>0</v>
      </c>
      <c r="AF253" s="2">
        <f t="shared" si="554"/>
        <v>0</v>
      </c>
      <c r="AG253" s="2">
        <f t="shared" si="554"/>
        <v>0</v>
      </c>
      <c r="AH253" s="2">
        <f t="shared" si="554"/>
        <v>0</v>
      </c>
      <c r="AI253" s="2">
        <f t="shared" si="554"/>
        <v>0</v>
      </c>
      <c r="AJ253" s="2">
        <f t="shared" ref="AJ253:BJ253" si="555">IF(AJ250=1, IF(AJ200&lt;=7.5, 1, 0), 0)</f>
        <v>0</v>
      </c>
      <c r="AK253" s="2">
        <f t="shared" si="555"/>
        <v>0</v>
      </c>
      <c r="AL253" s="2">
        <f t="shared" si="555"/>
        <v>0</v>
      </c>
      <c r="AM253" s="2">
        <f t="shared" si="555"/>
        <v>0</v>
      </c>
      <c r="AN253" s="2">
        <f t="shared" si="555"/>
        <v>0</v>
      </c>
      <c r="AO253" s="2">
        <f t="shared" si="555"/>
        <v>0</v>
      </c>
      <c r="AP253" s="2">
        <f t="shared" si="555"/>
        <v>0</v>
      </c>
      <c r="AQ253" s="2">
        <f t="shared" si="555"/>
        <v>0</v>
      </c>
      <c r="AR253" s="2">
        <f t="shared" si="555"/>
        <v>0</v>
      </c>
      <c r="AS253" s="2">
        <f t="shared" si="555"/>
        <v>0</v>
      </c>
      <c r="AT253" s="2">
        <f t="shared" si="555"/>
        <v>0</v>
      </c>
      <c r="AU253" s="2">
        <f t="shared" si="555"/>
        <v>0</v>
      </c>
      <c r="AV253" s="2">
        <f t="shared" si="555"/>
        <v>0</v>
      </c>
      <c r="AW253" s="2">
        <f t="shared" si="555"/>
        <v>0</v>
      </c>
      <c r="AX253" s="2">
        <f t="shared" si="555"/>
        <v>0</v>
      </c>
      <c r="AY253" s="2">
        <f t="shared" si="555"/>
        <v>0</v>
      </c>
      <c r="AZ253" s="2">
        <f t="shared" si="555"/>
        <v>0</v>
      </c>
      <c r="BA253" s="2">
        <f t="shared" si="555"/>
        <v>0</v>
      </c>
      <c r="BB253" s="2">
        <f t="shared" si="555"/>
        <v>0</v>
      </c>
      <c r="BC253" s="2">
        <f t="shared" si="555"/>
        <v>0</v>
      </c>
      <c r="BD253" s="2">
        <f t="shared" si="555"/>
        <v>0</v>
      </c>
      <c r="BE253" s="2">
        <f t="shared" si="555"/>
        <v>0</v>
      </c>
      <c r="BF253" s="2">
        <f t="shared" si="555"/>
        <v>0</v>
      </c>
      <c r="BG253" s="2">
        <f t="shared" si="555"/>
        <v>0</v>
      </c>
      <c r="BH253" s="2">
        <f t="shared" si="555"/>
        <v>0</v>
      </c>
      <c r="BI253" s="2">
        <f t="shared" si="555"/>
        <v>0</v>
      </c>
      <c r="BJ253" s="2">
        <f t="shared" si="555"/>
        <v>0</v>
      </c>
      <c r="BN253" s="2">
        <f>IF(BN250=1, IF(BN200&lt;=7.5, 1, 0), 0)</f>
        <v>0</v>
      </c>
    </row>
    <row r="254" spans="1:66">
      <c r="A254" s="37" t="s">
        <v>70</v>
      </c>
      <c r="B254" s="54">
        <f t="shared" ref="B254:T254" si="556">IF(B253=1, IF(B199&gt;0.5, 49, 50), 0)</f>
        <v>0</v>
      </c>
      <c r="C254" s="2">
        <f t="shared" si="556"/>
        <v>0</v>
      </c>
      <c r="D254" s="2">
        <f t="shared" si="556"/>
        <v>0</v>
      </c>
      <c r="E254" s="2">
        <f t="shared" si="556"/>
        <v>0</v>
      </c>
      <c r="F254" s="2">
        <f t="shared" si="556"/>
        <v>0</v>
      </c>
      <c r="G254" s="2">
        <f t="shared" si="556"/>
        <v>0</v>
      </c>
      <c r="H254" s="2">
        <f t="shared" si="556"/>
        <v>0</v>
      </c>
      <c r="I254" s="2">
        <f t="shared" si="556"/>
        <v>0</v>
      </c>
      <c r="J254" s="2">
        <f t="shared" si="556"/>
        <v>0</v>
      </c>
      <c r="K254" s="54">
        <f t="shared" si="556"/>
        <v>0</v>
      </c>
      <c r="L254" s="2">
        <f t="shared" si="556"/>
        <v>0</v>
      </c>
      <c r="M254" s="2">
        <f t="shared" si="556"/>
        <v>0</v>
      </c>
      <c r="N254" s="2">
        <f t="shared" si="556"/>
        <v>0</v>
      </c>
      <c r="O254" s="2">
        <f t="shared" si="556"/>
        <v>0</v>
      </c>
      <c r="P254" s="2">
        <f t="shared" si="556"/>
        <v>0</v>
      </c>
      <c r="Q254" s="2">
        <f t="shared" si="556"/>
        <v>0</v>
      </c>
      <c r="R254" s="2">
        <f t="shared" si="556"/>
        <v>0</v>
      </c>
      <c r="S254" s="2">
        <f t="shared" si="556"/>
        <v>0</v>
      </c>
      <c r="T254" s="2">
        <f t="shared" si="556"/>
        <v>0</v>
      </c>
      <c r="U254" s="2">
        <f t="shared" ref="U254:AI254" si="557">IF(U253=1, IF(U199&gt;0.5, 49, 50), 0)</f>
        <v>0</v>
      </c>
      <c r="V254" s="2">
        <f t="shared" si="557"/>
        <v>0</v>
      </c>
      <c r="W254" s="2">
        <f t="shared" si="557"/>
        <v>0</v>
      </c>
      <c r="X254" s="2">
        <f t="shared" si="557"/>
        <v>0</v>
      </c>
      <c r="Y254" s="2">
        <f t="shared" si="557"/>
        <v>0</v>
      </c>
      <c r="Z254" s="2">
        <f t="shared" si="557"/>
        <v>0</v>
      </c>
      <c r="AA254" s="2">
        <f t="shared" si="557"/>
        <v>0</v>
      </c>
      <c r="AB254" s="2">
        <f t="shared" si="557"/>
        <v>0</v>
      </c>
      <c r="AC254" s="2">
        <f t="shared" si="557"/>
        <v>0</v>
      </c>
      <c r="AD254" s="2">
        <f t="shared" si="557"/>
        <v>0</v>
      </c>
      <c r="AE254" s="2">
        <f t="shared" si="557"/>
        <v>0</v>
      </c>
      <c r="AF254" s="2">
        <f t="shared" si="557"/>
        <v>0</v>
      </c>
      <c r="AG254" s="2">
        <f t="shared" si="557"/>
        <v>0</v>
      </c>
      <c r="AH254" s="2">
        <f t="shared" si="557"/>
        <v>0</v>
      </c>
      <c r="AI254" s="2">
        <f t="shared" si="557"/>
        <v>0</v>
      </c>
      <c r="AJ254" s="2">
        <f t="shared" ref="AJ254:BJ254" si="558">IF(AJ253=1, IF(AJ199&gt;0.5, 49, 50), 0)</f>
        <v>0</v>
      </c>
      <c r="AK254" s="2">
        <f t="shared" si="558"/>
        <v>0</v>
      </c>
      <c r="AL254" s="2">
        <f t="shared" si="558"/>
        <v>0</v>
      </c>
      <c r="AM254" s="2">
        <f t="shared" si="558"/>
        <v>0</v>
      </c>
      <c r="AN254" s="2">
        <f t="shared" si="558"/>
        <v>0</v>
      </c>
      <c r="AO254" s="2">
        <f t="shared" si="558"/>
        <v>0</v>
      </c>
      <c r="AP254" s="2">
        <f t="shared" si="558"/>
        <v>0</v>
      </c>
      <c r="AQ254" s="2">
        <f t="shared" si="558"/>
        <v>0</v>
      </c>
      <c r="AR254" s="2">
        <f t="shared" si="558"/>
        <v>0</v>
      </c>
      <c r="AS254" s="2">
        <f t="shared" si="558"/>
        <v>0</v>
      </c>
      <c r="AT254" s="2">
        <f t="shared" si="558"/>
        <v>0</v>
      </c>
      <c r="AU254" s="2">
        <f t="shared" si="558"/>
        <v>0</v>
      </c>
      <c r="AV254" s="2">
        <f t="shared" si="558"/>
        <v>0</v>
      </c>
      <c r="AW254" s="2">
        <f t="shared" si="558"/>
        <v>0</v>
      </c>
      <c r="AX254" s="2">
        <f t="shared" si="558"/>
        <v>0</v>
      </c>
      <c r="AY254" s="2">
        <f t="shared" si="558"/>
        <v>0</v>
      </c>
      <c r="AZ254" s="2">
        <f t="shared" si="558"/>
        <v>0</v>
      </c>
      <c r="BA254" s="2">
        <f t="shared" si="558"/>
        <v>0</v>
      </c>
      <c r="BB254" s="2">
        <f t="shared" si="558"/>
        <v>0</v>
      </c>
      <c r="BC254" s="2">
        <f t="shared" si="558"/>
        <v>0</v>
      </c>
      <c r="BD254" s="2">
        <f t="shared" si="558"/>
        <v>0</v>
      </c>
      <c r="BE254" s="2">
        <f t="shared" si="558"/>
        <v>0</v>
      </c>
      <c r="BF254" s="2">
        <f t="shared" si="558"/>
        <v>0</v>
      </c>
      <c r="BG254" s="2">
        <f t="shared" si="558"/>
        <v>0</v>
      </c>
      <c r="BH254" s="2">
        <f t="shared" si="558"/>
        <v>0</v>
      </c>
      <c r="BI254" s="2">
        <f t="shared" si="558"/>
        <v>0</v>
      </c>
      <c r="BJ254" s="2">
        <f t="shared" si="558"/>
        <v>0</v>
      </c>
      <c r="BN254" s="2">
        <f>IF(BN253=1, IF(BN199&gt;0.5, 49, 50), 0)</f>
        <v>0</v>
      </c>
    </row>
    <row r="255" spans="1:66">
      <c r="A255" s="38" t="s">
        <v>71</v>
      </c>
      <c r="B255" s="54">
        <f t="shared" ref="B255:T255" si="559">IF(B249=1, IF(B198&gt;0.5, 1, 0), 0)</f>
        <v>0</v>
      </c>
      <c r="C255" s="2">
        <f t="shared" si="559"/>
        <v>0</v>
      </c>
      <c r="D255" s="2">
        <f t="shared" si="559"/>
        <v>0</v>
      </c>
      <c r="E255" s="2">
        <f t="shared" si="559"/>
        <v>0</v>
      </c>
      <c r="F255" s="2">
        <f t="shared" si="559"/>
        <v>0</v>
      </c>
      <c r="G255" s="2">
        <f t="shared" si="559"/>
        <v>0</v>
      </c>
      <c r="H255" s="2">
        <f t="shared" si="559"/>
        <v>0</v>
      </c>
      <c r="I255" s="2">
        <f t="shared" si="559"/>
        <v>0</v>
      </c>
      <c r="J255" s="2">
        <f t="shared" si="559"/>
        <v>0</v>
      </c>
      <c r="K255" s="54">
        <f t="shared" si="559"/>
        <v>0</v>
      </c>
      <c r="L255" s="2">
        <f t="shared" si="559"/>
        <v>0</v>
      </c>
      <c r="M255" s="2">
        <f t="shared" si="559"/>
        <v>0</v>
      </c>
      <c r="N255" s="2">
        <f t="shared" si="559"/>
        <v>0</v>
      </c>
      <c r="O255" s="2">
        <f t="shared" si="559"/>
        <v>0</v>
      </c>
      <c r="P255" s="2">
        <f t="shared" si="559"/>
        <v>0</v>
      </c>
      <c r="Q255" s="2">
        <f t="shared" si="559"/>
        <v>0</v>
      </c>
      <c r="R255" s="2">
        <f t="shared" si="559"/>
        <v>0</v>
      </c>
      <c r="S255" s="2">
        <f t="shared" si="559"/>
        <v>0</v>
      </c>
      <c r="T255" s="2">
        <f t="shared" si="559"/>
        <v>0</v>
      </c>
      <c r="U255" s="2">
        <f t="shared" ref="U255:AI255" si="560">IF(U249=1, IF(U198&gt;0.5, 1, 0), 0)</f>
        <v>0</v>
      </c>
      <c r="V255" s="2">
        <f t="shared" si="560"/>
        <v>0</v>
      </c>
      <c r="W255" s="2">
        <f t="shared" si="560"/>
        <v>0</v>
      </c>
      <c r="X255" s="2">
        <f t="shared" si="560"/>
        <v>0</v>
      </c>
      <c r="Y255" s="2">
        <f t="shared" si="560"/>
        <v>0</v>
      </c>
      <c r="Z255" s="2">
        <f t="shared" si="560"/>
        <v>0</v>
      </c>
      <c r="AA255" s="2">
        <f t="shared" si="560"/>
        <v>0</v>
      </c>
      <c r="AB255" s="2">
        <f t="shared" si="560"/>
        <v>0</v>
      </c>
      <c r="AC255" s="2">
        <f t="shared" si="560"/>
        <v>0</v>
      </c>
      <c r="AD255" s="2">
        <f t="shared" si="560"/>
        <v>0</v>
      </c>
      <c r="AE255" s="2">
        <f t="shared" si="560"/>
        <v>0</v>
      </c>
      <c r="AF255" s="2">
        <f t="shared" si="560"/>
        <v>0</v>
      </c>
      <c r="AG255" s="2">
        <f t="shared" si="560"/>
        <v>0</v>
      </c>
      <c r="AH255" s="2">
        <f t="shared" si="560"/>
        <v>0</v>
      </c>
      <c r="AI255" s="2">
        <f t="shared" si="560"/>
        <v>0</v>
      </c>
      <c r="AJ255" s="2">
        <f t="shared" ref="AJ255:BJ255" si="561">IF(AJ249=1, IF(AJ198&gt;0.5, 1, 0), 0)</f>
        <v>0</v>
      </c>
      <c r="AK255" s="2">
        <f t="shared" si="561"/>
        <v>0</v>
      </c>
      <c r="AL255" s="2">
        <f t="shared" si="561"/>
        <v>0</v>
      </c>
      <c r="AM255" s="2">
        <f t="shared" si="561"/>
        <v>0</v>
      </c>
      <c r="AN255" s="2">
        <f t="shared" si="561"/>
        <v>0</v>
      </c>
      <c r="AO255" s="2">
        <f t="shared" si="561"/>
        <v>0</v>
      </c>
      <c r="AP255" s="2">
        <f t="shared" si="561"/>
        <v>0</v>
      </c>
      <c r="AQ255" s="2">
        <f t="shared" si="561"/>
        <v>0</v>
      </c>
      <c r="AR255" s="2">
        <f t="shared" si="561"/>
        <v>0</v>
      </c>
      <c r="AS255" s="2">
        <f t="shared" si="561"/>
        <v>0</v>
      </c>
      <c r="AT255" s="2">
        <f t="shared" si="561"/>
        <v>0</v>
      </c>
      <c r="AU255" s="2">
        <f t="shared" si="561"/>
        <v>0</v>
      </c>
      <c r="AV255" s="2">
        <f t="shared" si="561"/>
        <v>0</v>
      </c>
      <c r="AW255" s="2">
        <f t="shared" si="561"/>
        <v>0</v>
      </c>
      <c r="AX255" s="2">
        <f t="shared" si="561"/>
        <v>0</v>
      </c>
      <c r="AY255" s="2">
        <f t="shared" si="561"/>
        <v>0</v>
      </c>
      <c r="AZ255" s="2">
        <f t="shared" si="561"/>
        <v>0</v>
      </c>
      <c r="BA255" s="2">
        <f t="shared" si="561"/>
        <v>0</v>
      </c>
      <c r="BB255" s="2">
        <f t="shared" si="561"/>
        <v>0</v>
      </c>
      <c r="BC255" s="2">
        <f t="shared" si="561"/>
        <v>0</v>
      </c>
      <c r="BD255" s="2">
        <f t="shared" si="561"/>
        <v>0</v>
      </c>
      <c r="BE255" s="2">
        <f t="shared" si="561"/>
        <v>0</v>
      </c>
      <c r="BF255" s="2">
        <f t="shared" si="561"/>
        <v>0</v>
      </c>
      <c r="BG255" s="2">
        <f t="shared" si="561"/>
        <v>0</v>
      </c>
      <c r="BH255" s="2">
        <f t="shared" si="561"/>
        <v>0</v>
      </c>
      <c r="BI255" s="2">
        <f t="shared" si="561"/>
        <v>0</v>
      </c>
      <c r="BJ255" s="2">
        <f t="shared" si="561"/>
        <v>0</v>
      </c>
      <c r="BN255" s="2">
        <f>IF(BN249=1, IF(BN198&gt;0.5, 1, 0), 0)</f>
        <v>0</v>
      </c>
    </row>
    <row r="256" spans="1:66">
      <c r="A256" s="1" t="s">
        <v>72</v>
      </c>
      <c r="B256" s="54">
        <f t="shared" ref="B256:T256" si="562">IF(B255=1, IF(B200&gt;7.5, 1, 0), 0)</f>
        <v>0</v>
      </c>
      <c r="C256" s="2">
        <f t="shared" si="562"/>
        <v>0</v>
      </c>
      <c r="D256" s="2">
        <f t="shared" si="562"/>
        <v>0</v>
      </c>
      <c r="E256" s="2">
        <f t="shared" si="562"/>
        <v>0</v>
      </c>
      <c r="F256" s="2">
        <f t="shared" si="562"/>
        <v>0</v>
      </c>
      <c r="G256" s="2">
        <f t="shared" si="562"/>
        <v>0</v>
      </c>
      <c r="H256" s="2">
        <f t="shared" si="562"/>
        <v>0</v>
      </c>
      <c r="I256" s="2">
        <f t="shared" si="562"/>
        <v>0</v>
      </c>
      <c r="J256" s="2">
        <f t="shared" si="562"/>
        <v>0</v>
      </c>
      <c r="K256" s="54">
        <f t="shared" si="562"/>
        <v>0</v>
      </c>
      <c r="L256" s="2">
        <f t="shared" si="562"/>
        <v>0</v>
      </c>
      <c r="M256" s="2">
        <f t="shared" si="562"/>
        <v>0</v>
      </c>
      <c r="N256" s="2">
        <f t="shared" si="562"/>
        <v>0</v>
      </c>
      <c r="O256" s="2">
        <f t="shared" si="562"/>
        <v>0</v>
      </c>
      <c r="P256" s="2">
        <f t="shared" si="562"/>
        <v>0</v>
      </c>
      <c r="Q256" s="2">
        <f t="shared" si="562"/>
        <v>0</v>
      </c>
      <c r="R256" s="2">
        <f t="shared" si="562"/>
        <v>0</v>
      </c>
      <c r="S256" s="2">
        <f t="shared" si="562"/>
        <v>0</v>
      </c>
      <c r="T256" s="2">
        <f t="shared" si="562"/>
        <v>0</v>
      </c>
      <c r="U256" s="2">
        <f t="shared" ref="U256:AI256" si="563">IF(U255=1, IF(U200&gt;7.5, 1, 0), 0)</f>
        <v>0</v>
      </c>
      <c r="V256" s="2">
        <f t="shared" si="563"/>
        <v>0</v>
      </c>
      <c r="W256" s="2">
        <f t="shared" si="563"/>
        <v>0</v>
      </c>
      <c r="X256" s="2">
        <f t="shared" si="563"/>
        <v>0</v>
      </c>
      <c r="Y256" s="2">
        <f t="shared" si="563"/>
        <v>0</v>
      </c>
      <c r="Z256" s="2">
        <f t="shared" si="563"/>
        <v>0</v>
      </c>
      <c r="AA256" s="2">
        <f t="shared" si="563"/>
        <v>0</v>
      </c>
      <c r="AB256" s="2">
        <f t="shared" si="563"/>
        <v>0</v>
      </c>
      <c r="AC256" s="2">
        <f t="shared" si="563"/>
        <v>0</v>
      </c>
      <c r="AD256" s="2">
        <f t="shared" si="563"/>
        <v>0</v>
      </c>
      <c r="AE256" s="2">
        <f t="shared" si="563"/>
        <v>0</v>
      </c>
      <c r="AF256" s="2">
        <f t="shared" si="563"/>
        <v>0</v>
      </c>
      <c r="AG256" s="2">
        <f t="shared" si="563"/>
        <v>0</v>
      </c>
      <c r="AH256" s="2">
        <f t="shared" si="563"/>
        <v>0</v>
      </c>
      <c r="AI256" s="2">
        <f t="shared" si="563"/>
        <v>0</v>
      </c>
      <c r="AJ256" s="2">
        <f t="shared" ref="AJ256:BJ256" si="564">IF(AJ255=1, IF(AJ200&gt;7.5, 1, 0), 0)</f>
        <v>0</v>
      </c>
      <c r="AK256" s="2">
        <f t="shared" si="564"/>
        <v>0</v>
      </c>
      <c r="AL256" s="2">
        <f t="shared" si="564"/>
        <v>0</v>
      </c>
      <c r="AM256" s="2">
        <f t="shared" si="564"/>
        <v>0</v>
      </c>
      <c r="AN256" s="2">
        <f t="shared" si="564"/>
        <v>0</v>
      </c>
      <c r="AO256" s="2">
        <f t="shared" si="564"/>
        <v>0</v>
      </c>
      <c r="AP256" s="2">
        <f t="shared" si="564"/>
        <v>0</v>
      </c>
      <c r="AQ256" s="2">
        <f t="shared" si="564"/>
        <v>0</v>
      </c>
      <c r="AR256" s="2">
        <f t="shared" si="564"/>
        <v>0</v>
      </c>
      <c r="AS256" s="2">
        <f t="shared" si="564"/>
        <v>0</v>
      </c>
      <c r="AT256" s="2">
        <f t="shared" si="564"/>
        <v>0</v>
      </c>
      <c r="AU256" s="2">
        <f t="shared" si="564"/>
        <v>0</v>
      </c>
      <c r="AV256" s="2">
        <f t="shared" si="564"/>
        <v>0</v>
      </c>
      <c r="AW256" s="2">
        <f t="shared" si="564"/>
        <v>0</v>
      </c>
      <c r="AX256" s="2">
        <f t="shared" si="564"/>
        <v>0</v>
      </c>
      <c r="AY256" s="2">
        <f t="shared" si="564"/>
        <v>0</v>
      </c>
      <c r="AZ256" s="2">
        <f t="shared" si="564"/>
        <v>0</v>
      </c>
      <c r="BA256" s="2">
        <f t="shared" si="564"/>
        <v>0</v>
      </c>
      <c r="BB256" s="2">
        <f t="shared" si="564"/>
        <v>0</v>
      </c>
      <c r="BC256" s="2">
        <f t="shared" si="564"/>
        <v>0</v>
      </c>
      <c r="BD256" s="2">
        <f t="shared" si="564"/>
        <v>0</v>
      </c>
      <c r="BE256" s="2">
        <f t="shared" si="564"/>
        <v>0</v>
      </c>
      <c r="BF256" s="2">
        <f t="shared" si="564"/>
        <v>0</v>
      </c>
      <c r="BG256" s="2">
        <f t="shared" si="564"/>
        <v>0</v>
      </c>
      <c r="BH256" s="2">
        <f t="shared" si="564"/>
        <v>0</v>
      </c>
      <c r="BI256" s="2">
        <f t="shared" si="564"/>
        <v>0</v>
      </c>
      <c r="BJ256" s="2">
        <f t="shared" si="564"/>
        <v>0</v>
      </c>
      <c r="BN256" s="2">
        <f>IF(BN255=1, IF(BN200&gt;7.5, 1, 0), 0)</f>
        <v>0</v>
      </c>
    </row>
    <row r="257" spans="1:66">
      <c r="A257" s="37" t="s">
        <v>51</v>
      </c>
      <c r="B257" s="54">
        <f t="shared" ref="B257:T257" si="565">IF(B256=1, IF(B199&gt;0.5, 51, 52), 0)</f>
        <v>0</v>
      </c>
      <c r="C257" s="2">
        <f t="shared" si="565"/>
        <v>0</v>
      </c>
      <c r="D257" s="2">
        <f t="shared" si="565"/>
        <v>0</v>
      </c>
      <c r="E257" s="2">
        <f t="shared" si="565"/>
        <v>0</v>
      </c>
      <c r="F257" s="2">
        <f t="shared" si="565"/>
        <v>0</v>
      </c>
      <c r="G257" s="2">
        <f t="shared" si="565"/>
        <v>0</v>
      </c>
      <c r="H257" s="2">
        <f t="shared" si="565"/>
        <v>0</v>
      </c>
      <c r="I257" s="2">
        <f t="shared" si="565"/>
        <v>0</v>
      </c>
      <c r="J257" s="2">
        <f t="shared" si="565"/>
        <v>0</v>
      </c>
      <c r="K257" s="54">
        <f t="shared" si="565"/>
        <v>0</v>
      </c>
      <c r="L257" s="2">
        <f t="shared" si="565"/>
        <v>0</v>
      </c>
      <c r="M257" s="2">
        <f t="shared" si="565"/>
        <v>0</v>
      </c>
      <c r="N257" s="2">
        <f t="shared" si="565"/>
        <v>0</v>
      </c>
      <c r="O257" s="2">
        <f t="shared" si="565"/>
        <v>0</v>
      </c>
      <c r="P257" s="2">
        <f t="shared" si="565"/>
        <v>0</v>
      </c>
      <c r="Q257" s="2">
        <f t="shared" si="565"/>
        <v>0</v>
      </c>
      <c r="R257" s="2">
        <f t="shared" si="565"/>
        <v>0</v>
      </c>
      <c r="S257" s="2">
        <f t="shared" si="565"/>
        <v>0</v>
      </c>
      <c r="T257" s="2">
        <f t="shared" si="565"/>
        <v>0</v>
      </c>
      <c r="U257" s="2">
        <f t="shared" ref="U257:AI257" si="566">IF(U256=1, IF(U199&gt;0.5, 51, 52), 0)</f>
        <v>0</v>
      </c>
      <c r="V257" s="2">
        <f t="shared" si="566"/>
        <v>0</v>
      </c>
      <c r="W257" s="2">
        <f t="shared" si="566"/>
        <v>0</v>
      </c>
      <c r="X257" s="2">
        <f t="shared" si="566"/>
        <v>0</v>
      </c>
      <c r="Y257" s="2">
        <f t="shared" si="566"/>
        <v>0</v>
      </c>
      <c r="Z257" s="2">
        <f t="shared" si="566"/>
        <v>0</v>
      </c>
      <c r="AA257" s="2">
        <f t="shared" si="566"/>
        <v>0</v>
      </c>
      <c r="AB257" s="2">
        <f t="shared" si="566"/>
        <v>0</v>
      </c>
      <c r="AC257" s="2">
        <f t="shared" si="566"/>
        <v>0</v>
      </c>
      <c r="AD257" s="2">
        <f t="shared" si="566"/>
        <v>0</v>
      </c>
      <c r="AE257" s="2">
        <f t="shared" si="566"/>
        <v>0</v>
      </c>
      <c r="AF257" s="2">
        <f t="shared" si="566"/>
        <v>0</v>
      </c>
      <c r="AG257" s="2">
        <f t="shared" si="566"/>
        <v>0</v>
      </c>
      <c r="AH257" s="2">
        <f t="shared" si="566"/>
        <v>0</v>
      </c>
      <c r="AI257" s="2">
        <f t="shared" si="566"/>
        <v>0</v>
      </c>
      <c r="AJ257" s="2">
        <f t="shared" ref="AJ257:BJ257" si="567">IF(AJ256=1, IF(AJ199&gt;0.5, 51, 52), 0)</f>
        <v>0</v>
      </c>
      <c r="AK257" s="2">
        <f t="shared" si="567"/>
        <v>0</v>
      </c>
      <c r="AL257" s="2">
        <f t="shared" si="567"/>
        <v>0</v>
      </c>
      <c r="AM257" s="2">
        <f t="shared" si="567"/>
        <v>0</v>
      </c>
      <c r="AN257" s="2">
        <f t="shared" si="567"/>
        <v>0</v>
      </c>
      <c r="AO257" s="2">
        <f t="shared" si="567"/>
        <v>0</v>
      </c>
      <c r="AP257" s="2">
        <f t="shared" si="567"/>
        <v>0</v>
      </c>
      <c r="AQ257" s="2">
        <f t="shared" si="567"/>
        <v>0</v>
      </c>
      <c r="AR257" s="2">
        <f t="shared" si="567"/>
        <v>0</v>
      </c>
      <c r="AS257" s="2">
        <f t="shared" si="567"/>
        <v>0</v>
      </c>
      <c r="AT257" s="2">
        <f t="shared" si="567"/>
        <v>0</v>
      </c>
      <c r="AU257" s="2">
        <f t="shared" si="567"/>
        <v>0</v>
      </c>
      <c r="AV257" s="2">
        <f t="shared" si="567"/>
        <v>0</v>
      </c>
      <c r="AW257" s="2">
        <f t="shared" si="567"/>
        <v>0</v>
      </c>
      <c r="AX257" s="2">
        <f t="shared" si="567"/>
        <v>0</v>
      </c>
      <c r="AY257" s="2">
        <f t="shared" si="567"/>
        <v>0</v>
      </c>
      <c r="AZ257" s="2">
        <f t="shared" si="567"/>
        <v>0</v>
      </c>
      <c r="BA257" s="2">
        <f t="shared" si="567"/>
        <v>0</v>
      </c>
      <c r="BB257" s="2">
        <f t="shared" si="567"/>
        <v>0</v>
      </c>
      <c r="BC257" s="2">
        <f t="shared" si="567"/>
        <v>0</v>
      </c>
      <c r="BD257" s="2">
        <f t="shared" si="567"/>
        <v>0</v>
      </c>
      <c r="BE257" s="2">
        <f t="shared" si="567"/>
        <v>0</v>
      </c>
      <c r="BF257" s="2">
        <f t="shared" si="567"/>
        <v>0</v>
      </c>
      <c r="BG257" s="2">
        <f t="shared" si="567"/>
        <v>0</v>
      </c>
      <c r="BH257" s="2">
        <f t="shared" si="567"/>
        <v>0</v>
      </c>
      <c r="BI257" s="2">
        <f t="shared" si="567"/>
        <v>0</v>
      </c>
      <c r="BJ257" s="2">
        <f t="shared" si="567"/>
        <v>0</v>
      </c>
      <c r="BN257" s="2">
        <f>IF(BN256=1, IF(BN199&gt;0.5, 51, 52), 0)</f>
        <v>0</v>
      </c>
    </row>
    <row r="258" spans="1:66">
      <c r="A258" s="1" t="s">
        <v>52</v>
      </c>
      <c r="B258" s="54">
        <f t="shared" ref="B258:T258" si="568">IF(B255=1, IF(B200&gt;6.5, IF(B200&lt;=7.5, 1, 0), 0), 0)</f>
        <v>0</v>
      </c>
      <c r="C258" s="2">
        <f t="shared" si="568"/>
        <v>0</v>
      </c>
      <c r="D258" s="2">
        <f t="shared" si="568"/>
        <v>0</v>
      </c>
      <c r="E258" s="2">
        <f t="shared" si="568"/>
        <v>0</v>
      </c>
      <c r="F258" s="2">
        <f t="shared" si="568"/>
        <v>0</v>
      </c>
      <c r="G258" s="2">
        <f t="shared" si="568"/>
        <v>0</v>
      </c>
      <c r="H258" s="2">
        <f t="shared" si="568"/>
        <v>0</v>
      </c>
      <c r="I258" s="2">
        <f t="shared" si="568"/>
        <v>0</v>
      </c>
      <c r="J258" s="2">
        <f t="shared" si="568"/>
        <v>0</v>
      </c>
      <c r="K258" s="54">
        <f t="shared" si="568"/>
        <v>0</v>
      </c>
      <c r="L258" s="2">
        <f t="shared" si="568"/>
        <v>0</v>
      </c>
      <c r="M258" s="2">
        <f t="shared" si="568"/>
        <v>0</v>
      </c>
      <c r="N258" s="2">
        <f t="shared" si="568"/>
        <v>0</v>
      </c>
      <c r="O258" s="2">
        <f t="shared" si="568"/>
        <v>0</v>
      </c>
      <c r="P258" s="2">
        <f t="shared" si="568"/>
        <v>0</v>
      </c>
      <c r="Q258" s="2">
        <f t="shared" si="568"/>
        <v>0</v>
      </c>
      <c r="R258" s="2">
        <f t="shared" si="568"/>
        <v>0</v>
      </c>
      <c r="S258" s="2">
        <f t="shared" si="568"/>
        <v>0</v>
      </c>
      <c r="T258" s="2">
        <f t="shared" si="568"/>
        <v>0</v>
      </c>
      <c r="U258" s="2">
        <f t="shared" ref="U258:AI258" si="569">IF(U255=1, IF(U200&gt;6.5, IF(U200&lt;=7.5, 1, 0), 0), 0)</f>
        <v>0</v>
      </c>
      <c r="V258" s="2">
        <f t="shared" si="569"/>
        <v>0</v>
      </c>
      <c r="W258" s="2">
        <f t="shared" si="569"/>
        <v>0</v>
      </c>
      <c r="X258" s="2">
        <f t="shared" si="569"/>
        <v>0</v>
      </c>
      <c r="Y258" s="2">
        <f t="shared" si="569"/>
        <v>0</v>
      </c>
      <c r="Z258" s="2">
        <f t="shared" si="569"/>
        <v>0</v>
      </c>
      <c r="AA258" s="2">
        <f t="shared" si="569"/>
        <v>0</v>
      </c>
      <c r="AB258" s="2">
        <f t="shared" si="569"/>
        <v>0</v>
      </c>
      <c r="AC258" s="2">
        <f t="shared" si="569"/>
        <v>0</v>
      </c>
      <c r="AD258" s="2">
        <f t="shared" si="569"/>
        <v>0</v>
      </c>
      <c r="AE258" s="2">
        <f t="shared" si="569"/>
        <v>0</v>
      </c>
      <c r="AF258" s="2">
        <f t="shared" si="569"/>
        <v>0</v>
      </c>
      <c r="AG258" s="2">
        <f t="shared" si="569"/>
        <v>0</v>
      </c>
      <c r="AH258" s="2">
        <f t="shared" si="569"/>
        <v>0</v>
      </c>
      <c r="AI258" s="2">
        <f t="shared" si="569"/>
        <v>0</v>
      </c>
      <c r="AJ258" s="2">
        <f t="shared" ref="AJ258:BJ258" si="570">IF(AJ255=1, IF(AJ200&gt;6.5, IF(AJ200&lt;=7.5, 1, 0), 0), 0)</f>
        <v>0</v>
      </c>
      <c r="AK258" s="2">
        <f t="shared" si="570"/>
        <v>0</v>
      </c>
      <c r="AL258" s="2">
        <f t="shared" si="570"/>
        <v>0</v>
      </c>
      <c r="AM258" s="2">
        <f t="shared" si="570"/>
        <v>0</v>
      </c>
      <c r="AN258" s="2">
        <f t="shared" si="570"/>
        <v>0</v>
      </c>
      <c r="AO258" s="2">
        <f t="shared" si="570"/>
        <v>0</v>
      </c>
      <c r="AP258" s="2">
        <f t="shared" si="570"/>
        <v>0</v>
      </c>
      <c r="AQ258" s="2">
        <f t="shared" si="570"/>
        <v>0</v>
      </c>
      <c r="AR258" s="2">
        <f t="shared" si="570"/>
        <v>0</v>
      </c>
      <c r="AS258" s="2">
        <f t="shared" si="570"/>
        <v>0</v>
      </c>
      <c r="AT258" s="2">
        <f t="shared" si="570"/>
        <v>0</v>
      </c>
      <c r="AU258" s="2">
        <f t="shared" si="570"/>
        <v>0</v>
      </c>
      <c r="AV258" s="2">
        <f t="shared" si="570"/>
        <v>0</v>
      </c>
      <c r="AW258" s="2">
        <f t="shared" si="570"/>
        <v>0</v>
      </c>
      <c r="AX258" s="2">
        <f t="shared" si="570"/>
        <v>0</v>
      </c>
      <c r="AY258" s="2">
        <f t="shared" si="570"/>
        <v>0</v>
      </c>
      <c r="AZ258" s="2">
        <f t="shared" si="570"/>
        <v>0</v>
      </c>
      <c r="BA258" s="2">
        <f t="shared" si="570"/>
        <v>0</v>
      </c>
      <c r="BB258" s="2">
        <f t="shared" si="570"/>
        <v>0</v>
      </c>
      <c r="BC258" s="2">
        <f t="shared" si="570"/>
        <v>0</v>
      </c>
      <c r="BD258" s="2">
        <f t="shared" si="570"/>
        <v>0</v>
      </c>
      <c r="BE258" s="2">
        <f t="shared" si="570"/>
        <v>0</v>
      </c>
      <c r="BF258" s="2">
        <f t="shared" si="570"/>
        <v>0</v>
      </c>
      <c r="BG258" s="2">
        <f t="shared" si="570"/>
        <v>0</v>
      </c>
      <c r="BH258" s="2">
        <f t="shared" si="570"/>
        <v>0</v>
      </c>
      <c r="BI258" s="2">
        <f t="shared" si="570"/>
        <v>0</v>
      </c>
      <c r="BJ258" s="2">
        <f t="shared" si="570"/>
        <v>0</v>
      </c>
      <c r="BN258" s="2">
        <f>IF(BN255=1, IF(BN200&gt;6.5, IF(BN200&lt;=7.5, 1, 0), 0), 0)</f>
        <v>0</v>
      </c>
    </row>
    <row r="259" spans="1:66">
      <c r="A259" s="37" t="s">
        <v>53</v>
      </c>
      <c r="B259" s="54">
        <f t="shared" ref="B259:T259" si="571">IF(B258=1, IF(B199&gt;0.5, 53, 54), 0)</f>
        <v>0</v>
      </c>
      <c r="C259" s="2">
        <f t="shared" si="571"/>
        <v>0</v>
      </c>
      <c r="D259" s="2">
        <f t="shared" si="571"/>
        <v>0</v>
      </c>
      <c r="E259" s="2">
        <f t="shared" si="571"/>
        <v>0</v>
      </c>
      <c r="F259" s="2">
        <f t="shared" si="571"/>
        <v>0</v>
      </c>
      <c r="G259" s="2">
        <f t="shared" si="571"/>
        <v>0</v>
      </c>
      <c r="H259" s="2">
        <f t="shared" si="571"/>
        <v>0</v>
      </c>
      <c r="I259" s="2">
        <f t="shared" si="571"/>
        <v>0</v>
      </c>
      <c r="J259" s="2">
        <f t="shared" si="571"/>
        <v>0</v>
      </c>
      <c r="K259" s="54">
        <f t="shared" si="571"/>
        <v>0</v>
      </c>
      <c r="L259" s="2">
        <f t="shared" si="571"/>
        <v>0</v>
      </c>
      <c r="M259" s="2">
        <f t="shared" si="571"/>
        <v>0</v>
      </c>
      <c r="N259" s="2">
        <f t="shared" si="571"/>
        <v>0</v>
      </c>
      <c r="O259" s="2">
        <f t="shared" si="571"/>
        <v>0</v>
      </c>
      <c r="P259" s="2">
        <f t="shared" si="571"/>
        <v>0</v>
      </c>
      <c r="Q259" s="2">
        <f t="shared" si="571"/>
        <v>0</v>
      </c>
      <c r="R259" s="2">
        <f t="shared" si="571"/>
        <v>0</v>
      </c>
      <c r="S259" s="2">
        <f t="shared" si="571"/>
        <v>0</v>
      </c>
      <c r="T259" s="2">
        <f t="shared" si="571"/>
        <v>0</v>
      </c>
      <c r="U259" s="2">
        <f t="shared" ref="U259:AI259" si="572">IF(U258=1, IF(U199&gt;0.5, 53, 54), 0)</f>
        <v>0</v>
      </c>
      <c r="V259" s="2">
        <f t="shared" si="572"/>
        <v>0</v>
      </c>
      <c r="W259" s="2">
        <f t="shared" si="572"/>
        <v>0</v>
      </c>
      <c r="X259" s="2">
        <f t="shared" si="572"/>
        <v>0</v>
      </c>
      <c r="Y259" s="2">
        <f t="shared" si="572"/>
        <v>0</v>
      </c>
      <c r="Z259" s="2">
        <f t="shared" si="572"/>
        <v>0</v>
      </c>
      <c r="AA259" s="2">
        <f t="shared" si="572"/>
        <v>0</v>
      </c>
      <c r="AB259" s="2">
        <f t="shared" si="572"/>
        <v>0</v>
      </c>
      <c r="AC259" s="2">
        <f t="shared" si="572"/>
        <v>0</v>
      </c>
      <c r="AD259" s="2">
        <f t="shared" si="572"/>
        <v>0</v>
      </c>
      <c r="AE259" s="2">
        <f t="shared" si="572"/>
        <v>0</v>
      </c>
      <c r="AF259" s="2">
        <f t="shared" si="572"/>
        <v>0</v>
      </c>
      <c r="AG259" s="2">
        <f t="shared" si="572"/>
        <v>0</v>
      </c>
      <c r="AH259" s="2">
        <f t="shared" si="572"/>
        <v>0</v>
      </c>
      <c r="AI259" s="2">
        <f t="shared" si="572"/>
        <v>0</v>
      </c>
      <c r="AJ259" s="2">
        <f t="shared" ref="AJ259:BJ259" si="573">IF(AJ258=1, IF(AJ199&gt;0.5, 53, 54), 0)</f>
        <v>0</v>
      </c>
      <c r="AK259" s="2">
        <f t="shared" si="573"/>
        <v>0</v>
      </c>
      <c r="AL259" s="2">
        <f t="shared" si="573"/>
        <v>0</v>
      </c>
      <c r="AM259" s="2">
        <f t="shared" si="573"/>
        <v>0</v>
      </c>
      <c r="AN259" s="2">
        <f t="shared" si="573"/>
        <v>0</v>
      </c>
      <c r="AO259" s="2">
        <f t="shared" si="573"/>
        <v>0</v>
      </c>
      <c r="AP259" s="2">
        <f t="shared" si="573"/>
        <v>0</v>
      </c>
      <c r="AQ259" s="2">
        <f t="shared" si="573"/>
        <v>0</v>
      </c>
      <c r="AR259" s="2">
        <f t="shared" si="573"/>
        <v>0</v>
      </c>
      <c r="AS259" s="2">
        <f t="shared" si="573"/>
        <v>0</v>
      </c>
      <c r="AT259" s="2">
        <f t="shared" si="573"/>
        <v>0</v>
      </c>
      <c r="AU259" s="2">
        <f t="shared" si="573"/>
        <v>0</v>
      </c>
      <c r="AV259" s="2">
        <f t="shared" si="573"/>
        <v>0</v>
      </c>
      <c r="AW259" s="2">
        <f t="shared" si="573"/>
        <v>0</v>
      </c>
      <c r="AX259" s="2">
        <f t="shared" si="573"/>
        <v>0</v>
      </c>
      <c r="AY259" s="2">
        <f t="shared" si="573"/>
        <v>0</v>
      </c>
      <c r="AZ259" s="2">
        <f t="shared" si="573"/>
        <v>0</v>
      </c>
      <c r="BA259" s="2">
        <f t="shared" si="573"/>
        <v>0</v>
      </c>
      <c r="BB259" s="2">
        <f t="shared" si="573"/>
        <v>0</v>
      </c>
      <c r="BC259" s="2">
        <f t="shared" si="573"/>
        <v>0</v>
      </c>
      <c r="BD259" s="2">
        <f t="shared" si="573"/>
        <v>0</v>
      </c>
      <c r="BE259" s="2">
        <f t="shared" si="573"/>
        <v>0</v>
      </c>
      <c r="BF259" s="2">
        <f t="shared" si="573"/>
        <v>0</v>
      </c>
      <c r="BG259" s="2">
        <f t="shared" si="573"/>
        <v>0</v>
      </c>
      <c r="BH259" s="2">
        <f t="shared" si="573"/>
        <v>0</v>
      </c>
      <c r="BI259" s="2">
        <f t="shared" si="573"/>
        <v>0</v>
      </c>
      <c r="BJ259" s="2">
        <f t="shared" si="573"/>
        <v>0</v>
      </c>
      <c r="BN259" s="2">
        <f>IF(BN258=1, IF(BN199&gt;0.5, 53, 54), 0)</f>
        <v>0</v>
      </c>
    </row>
    <row r="260" spans="1:66">
      <c r="A260" s="1" t="s">
        <v>54</v>
      </c>
      <c r="B260" s="54">
        <f t="shared" ref="B260:T260" si="574">IF(B255=1, IF(B200&lt;=6.5, 1, 0), 0)</f>
        <v>0</v>
      </c>
      <c r="C260" s="2">
        <f t="shared" si="574"/>
        <v>0</v>
      </c>
      <c r="D260" s="2">
        <f t="shared" si="574"/>
        <v>0</v>
      </c>
      <c r="E260" s="2">
        <f t="shared" si="574"/>
        <v>0</v>
      </c>
      <c r="F260" s="2">
        <f t="shared" si="574"/>
        <v>0</v>
      </c>
      <c r="G260" s="2">
        <f t="shared" si="574"/>
        <v>0</v>
      </c>
      <c r="H260" s="2">
        <f t="shared" si="574"/>
        <v>0</v>
      </c>
      <c r="I260" s="2">
        <f t="shared" si="574"/>
        <v>0</v>
      </c>
      <c r="J260" s="2">
        <f t="shared" si="574"/>
        <v>0</v>
      </c>
      <c r="K260" s="54">
        <f t="shared" si="574"/>
        <v>0</v>
      </c>
      <c r="L260" s="2">
        <f t="shared" si="574"/>
        <v>0</v>
      </c>
      <c r="M260" s="2">
        <f t="shared" si="574"/>
        <v>0</v>
      </c>
      <c r="N260" s="2">
        <f t="shared" si="574"/>
        <v>0</v>
      </c>
      <c r="O260" s="2">
        <f t="shared" si="574"/>
        <v>0</v>
      </c>
      <c r="P260" s="2">
        <f t="shared" si="574"/>
        <v>0</v>
      </c>
      <c r="Q260" s="2">
        <f t="shared" si="574"/>
        <v>0</v>
      </c>
      <c r="R260" s="2">
        <f t="shared" si="574"/>
        <v>0</v>
      </c>
      <c r="S260" s="2">
        <f t="shared" si="574"/>
        <v>0</v>
      </c>
      <c r="T260" s="2">
        <f t="shared" si="574"/>
        <v>0</v>
      </c>
      <c r="U260" s="2">
        <f t="shared" ref="U260:AI260" si="575">IF(U255=1, IF(U200&lt;=6.5, 1, 0), 0)</f>
        <v>0</v>
      </c>
      <c r="V260" s="2">
        <f t="shared" si="575"/>
        <v>0</v>
      </c>
      <c r="W260" s="2">
        <f t="shared" si="575"/>
        <v>0</v>
      </c>
      <c r="X260" s="2">
        <f t="shared" si="575"/>
        <v>0</v>
      </c>
      <c r="Y260" s="2">
        <f t="shared" si="575"/>
        <v>0</v>
      </c>
      <c r="Z260" s="2">
        <f t="shared" si="575"/>
        <v>0</v>
      </c>
      <c r="AA260" s="2">
        <f t="shared" si="575"/>
        <v>0</v>
      </c>
      <c r="AB260" s="2">
        <f t="shared" si="575"/>
        <v>0</v>
      </c>
      <c r="AC260" s="2">
        <f t="shared" si="575"/>
        <v>0</v>
      </c>
      <c r="AD260" s="2">
        <f t="shared" si="575"/>
        <v>0</v>
      </c>
      <c r="AE260" s="2">
        <f t="shared" si="575"/>
        <v>0</v>
      </c>
      <c r="AF260" s="2">
        <f t="shared" si="575"/>
        <v>0</v>
      </c>
      <c r="AG260" s="2">
        <f t="shared" si="575"/>
        <v>0</v>
      </c>
      <c r="AH260" s="2">
        <f t="shared" si="575"/>
        <v>0</v>
      </c>
      <c r="AI260" s="2">
        <f t="shared" si="575"/>
        <v>0</v>
      </c>
      <c r="AJ260" s="2">
        <f t="shared" ref="AJ260:BJ260" si="576">IF(AJ255=1, IF(AJ200&lt;=6.5, 1, 0), 0)</f>
        <v>0</v>
      </c>
      <c r="AK260" s="2">
        <f t="shared" si="576"/>
        <v>0</v>
      </c>
      <c r="AL260" s="2">
        <f t="shared" si="576"/>
        <v>0</v>
      </c>
      <c r="AM260" s="2">
        <f t="shared" si="576"/>
        <v>0</v>
      </c>
      <c r="AN260" s="2">
        <f t="shared" si="576"/>
        <v>0</v>
      </c>
      <c r="AO260" s="2">
        <f t="shared" si="576"/>
        <v>0</v>
      </c>
      <c r="AP260" s="2">
        <f t="shared" si="576"/>
        <v>0</v>
      </c>
      <c r="AQ260" s="2">
        <f t="shared" si="576"/>
        <v>0</v>
      </c>
      <c r="AR260" s="2">
        <f t="shared" si="576"/>
        <v>0</v>
      </c>
      <c r="AS260" s="2">
        <f t="shared" si="576"/>
        <v>0</v>
      </c>
      <c r="AT260" s="2">
        <f t="shared" si="576"/>
        <v>0</v>
      </c>
      <c r="AU260" s="2">
        <f t="shared" si="576"/>
        <v>0</v>
      </c>
      <c r="AV260" s="2">
        <f t="shared" si="576"/>
        <v>0</v>
      </c>
      <c r="AW260" s="2">
        <f t="shared" si="576"/>
        <v>0</v>
      </c>
      <c r="AX260" s="2">
        <f t="shared" si="576"/>
        <v>0</v>
      </c>
      <c r="AY260" s="2">
        <f t="shared" si="576"/>
        <v>0</v>
      </c>
      <c r="AZ260" s="2">
        <f t="shared" si="576"/>
        <v>0</v>
      </c>
      <c r="BA260" s="2">
        <f t="shared" si="576"/>
        <v>0</v>
      </c>
      <c r="BB260" s="2">
        <f t="shared" si="576"/>
        <v>0</v>
      </c>
      <c r="BC260" s="2">
        <f t="shared" si="576"/>
        <v>0</v>
      </c>
      <c r="BD260" s="2">
        <f t="shared" si="576"/>
        <v>0</v>
      </c>
      <c r="BE260" s="2">
        <f t="shared" si="576"/>
        <v>0</v>
      </c>
      <c r="BF260" s="2">
        <f t="shared" si="576"/>
        <v>0</v>
      </c>
      <c r="BG260" s="2">
        <f t="shared" si="576"/>
        <v>0</v>
      </c>
      <c r="BH260" s="2">
        <f t="shared" si="576"/>
        <v>0</v>
      </c>
      <c r="BI260" s="2">
        <f t="shared" si="576"/>
        <v>0</v>
      </c>
      <c r="BJ260" s="2">
        <f t="shared" si="576"/>
        <v>0</v>
      </c>
      <c r="BN260" s="2">
        <f>IF(BN255=1, IF(BN200&lt;=6.5, 1, 0), 0)</f>
        <v>0</v>
      </c>
    </row>
    <row r="261" spans="1:66">
      <c r="A261" s="37" t="s">
        <v>147</v>
      </c>
      <c r="B261" s="54">
        <f t="shared" ref="B261:T261" si="577">IF(B260=1, IF(B199&gt;0.5, 55, 56), 0)</f>
        <v>0</v>
      </c>
      <c r="C261" s="2">
        <f t="shared" si="577"/>
        <v>0</v>
      </c>
      <c r="D261" s="2">
        <f t="shared" si="577"/>
        <v>0</v>
      </c>
      <c r="E261" s="2">
        <f t="shared" si="577"/>
        <v>0</v>
      </c>
      <c r="F261" s="2">
        <f t="shared" si="577"/>
        <v>0</v>
      </c>
      <c r="G261" s="2">
        <f t="shared" si="577"/>
        <v>0</v>
      </c>
      <c r="H261" s="2">
        <f t="shared" si="577"/>
        <v>0</v>
      </c>
      <c r="I261" s="2">
        <f t="shared" si="577"/>
        <v>0</v>
      </c>
      <c r="J261" s="2">
        <f t="shared" si="577"/>
        <v>0</v>
      </c>
      <c r="K261" s="54">
        <f t="shared" si="577"/>
        <v>0</v>
      </c>
      <c r="L261" s="2">
        <f t="shared" si="577"/>
        <v>0</v>
      </c>
      <c r="M261" s="2">
        <f t="shared" si="577"/>
        <v>0</v>
      </c>
      <c r="N261" s="2">
        <f t="shared" si="577"/>
        <v>0</v>
      </c>
      <c r="O261" s="2">
        <f t="shared" si="577"/>
        <v>0</v>
      </c>
      <c r="P261" s="2">
        <f t="shared" si="577"/>
        <v>0</v>
      </c>
      <c r="Q261" s="2">
        <f t="shared" si="577"/>
        <v>0</v>
      </c>
      <c r="R261" s="2">
        <f t="shared" si="577"/>
        <v>0</v>
      </c>
      <c r="S261" s="2">
        <f t="shared" si="577"/>
        <v>0</v>
      </c>
      <c r="T261" s="2">
        <f t="shared" si="577"/>
        <v>0</v>
      </c>
      <c r="U261" s="2">
        <f t="shared" ref="U261:AI261" si="578">IF(U260=1, IF(U199&gt;0.5, 55, 56), 0)</f>
        <v>0</v>
      </c>
      <c r="V261" s="2">
        <f t="shared" si="578"/>
        <v>0</v>
      </c>
      <c r="W261" s="2">
        <f t="shared" si="578"/>
        <v>0</v>
      </c>
      <c r="X261" s="2">
        <f t="shared" si="578"/>
        <v>0</v>
      </c>
      <c r="Y261" s="2">
        <f t="shared" si="578"/>
        <v>0</v>
      </c>
      <c r="Z261" s="2">
        <f t="shared" si="578"/>
        <v>0</v>
      </c>
      <c r="AA261" s="2">
        <f t="shared" si="578"/>
        <v>0</v>
      </c>
      <c r="AB261" s="2">
        <f t="shared" si="578"/>
        <v>0</v>
      </c>
      <c r="AC261" s="2">
        <f t="shared" si="578"/>
        <v>0</v>
      </c>
      <c r="AD261" s="2">
        <f t="shared" si="578"/>
        <v>0</v>
      </c>
      <c r="AE261" s="2">
        <f t="shared" si="578"/>
        <v>0</v>
      </c>
      <c r="AF261" s="2">
        <f t="shared" si="578"/>
        <v>0</v>
      </c>
      <c r="AG261" s="2">
        <f t="shared" si="578"/>
        <v>0</v>
      </c>
      <c r="AH261" s="2">
        <f t="shared" si="578"/>
        <v>0</v>
      </c>
      <c r="AI261" s="2">
        <f t="shared" si="578"/>
        <v>0</v>
      </c>
      <c r="AJ261" s="2">
        <f t="shared" ref="AJ261:BJ261" si="579">IF(AJ260=1, IF(AJ199&gt;0.5, 55, 56), 0)</f>
        <v>0</v>
      </c>
      <c r="AK261" s="2">
        <f t="shared" si="579"/>
        <v>0</v>
      </c>
      <c r="AL261" s="2">
        <f t="shared" si="579"/>
        <v>0</v>
      </c>
      <c r="AM261" s="2">
        <f t="shared" si="579"/>
        <v>0</v>
      </c>
      <c r="AN261" s="2">
        <f t="shared" si="579"/>
        <v>0</v>
      </c>
      <c r="AO261" s="2">
        <f t="shared" si="579"/>
        <v>0</v>
      </c>
      <c r="AP261" s="2">
        <f t="shared" si="579"/>
        <v>0</v>
      </c>
      <c r="AQ261" s="2">
        <f t="shared" si="579"/>
        <v>0</v>
      </c>
      <c r="AR261" s="2">
        <f t="shared" si="579"/>
        <v>0</v>
      </c>
      <c r="AS261" s="2">
        <f t="shared" si="579"/>
        <v>0</v>
      </c>
      <c r="AT261" s="2">
        <f t="shared" si="579"/>
        <v>0</v>
      </c>
      <c r="AU261" s="2">
        <f t="shared" si="579"/>
        <v>0</v>
      </c>
      <c r="AV261" s="2">
        <f t="shared" si="579"/>
        <v>0</v>
      </c>
      <c r="AW261" s="2">
        <f t="shared" si="579"/>
        <v>0</v>
      </c>
      <c r="AX261" s="2">
        <f t="shared" si="579"/>
        <v>0</v>
      </c>
      <c r="AY261" s="2">
        <f t="shared" si="579"/>
        <v>0</v>
      </c>
      <c r="AZ261" s="2">
        <f t="shared" si="579"/>
        <v>0</v>
      </c>
      <c r="BA261" s="2">
        <f t="shared" si="579"/>
        <v>0</v>
      </c>
      <c r="BB261" s="2">
        <f t="shared" si="579"/>
        <v>0</v>
      </c>
      <c r="BC261" s="2">
        <f t="shared" si="579"/>
        <v>0</v>
      </c>
      <c r="BD261" s="2">
        <f t="shared" si="579"/>
        <v>0</v>
      </c>
      <c r="BE261" s="2">
        <f t="shared" si="579"/>
        <v>0</v>
      </c>
      <c r="BF261" s="2">
        <f t="shared" si="579"/>
        <v>0</v>
      </c>
      <c r="BG261" s="2">
        <f t="shared" si="579"/>
        <v>0</v>
      </c>
      <c r="BH261" s="2">
        <f t="shared" si="579"/>
        <v>0</v>
      </c>
      <c r="BI261" s="2">
        <f t="shared" si="579"/>
        <v>0</v>
      </c>
      <c r="BJ261" s="2">
        <f t="shared" si="579"/>
        <v>0</v>
      </c>
      <c r="BN261" s="2">
        <f>IF(BN260=1, IF(BN199&gt;0.5, 55, 56), 0)</f>
        <v>0</v>
      </c>
    </row>
    <row r="262" spans="1:66">
      <c r="A262" s="43" t="s">
        <v>148</v>
      </c>
    </row>
    <row r="263" spans="1:66">
      <c r="A263" s="48" t="s">
        <v>170</v>
      </c>
      <c r="B263" s="54">
        <f t="shared" ref="B263:T263" si="580">IF(B197&gt;=1.34, 1, 0)</f>
        <v>0</v>
      </c>
      <c r="C263" s="2">
        <f t="shared" si="580"/>
        <v>0</v>
      </c>
      <c r="D263" s="2">
        <f t="shared" si="580"/>
        <v>0</v>
      </c>
      <c r="E263" s="2">
        <f t="shared" si="580"/>
        <v>0</v>
      </c>
      <c r="F263" s="2">
        <f t="shared" si="580"/>
        <v>0</v>
      </c>
      <c r="G263" s="2">
        <f t="shared" si="580"/>
        <v>0</v>
      </c>
      <c r="H263" s="2">
        <f t="shared" si="580"/>
        <v>0</v>
      </c>
      <c r="I263" s="2">
        <f t="shared" si="580"/>
        <v>0</v>
      </c>
      <c r="J263" s="2">
        <f t="shared" si="580"/>
        <v>0</v>
      </c>
      <c r="K263" s="54">
        <f t="shared" si="580"/>
        <v>0</v>
      </c>
      <c r="L263" s="2">
        <f t="shared" si="580"/>
        <v>0</v>
      </c>
      <c r="M263" s="2">
        <f t="shared" si="580"/>
        <v>0</v>
      </c>
      <c r="N263" s="2">
        <f t="shared" si="580"/>
        <v>0</v>
      </c>
      <c r="O263" s="2">
        <f t="shared" si="580"/>
        <v>0</v>
      </c>
      <c r="P263" s="2">
        <f t="shared" si="580"/>
        <v>0</v>
      </c>
      <c r="Q263" s="2">
        <f t="shared" si="580"/>
        <v>0</v>
      </c>
      <c r="R263" s="2">
        <f t="shared" si="580"/>
        <v>0</v>
      </c>
      <c r="S263" s="2">
        <f t="shared" si="580"/>
        <v>0</v>
      </c>
      <c r="T263" s="2">
        <f t="shared" si="580"/>
        <v>0</v>
      </c>
      <c r="U263" s="2">
        <f t="shared" ref="U263:AI263" si="581">IF(U197&gt;=1.34, 1, 0)</f>
        <v>0</v>
      </c>
      <c r="V263" s="2">
        <f t="shared" si="581"/>
        <v>0</v>
      </c>
      <c r="W263" s="2">
        <f t="shared" si="581"/>
        <v>0</v>
      </c>
      <c r="X263" s="2">
        <f t="shared" si="581"/>
        <v>0</v>
      </c>
      <c r="Y263" s="2">
        <f t="shared" si="581"/>
        <v>0</v>
      </c>
      <c r="Z263" s="2">
        <f t="shared" si="581"/>
        <v>0</v>
      </c>
      <c r="AA263" s="2">
        <f t="shared" si="581"/>
        <v>0</v>
      </c>
      <c r="AB263" s="2">
        <f t="shared" si="581"/>
        <v>0</v>
      </c>
      <c r="AC263" s="2">
        <f t="shared" si="581"/>
        <v>0</v>
      </c>
      <c r="AD263" s="2">
        <f t="shared" si="581"/>
        <v>0</v>
      </c>
      <c r="AE263" s="2">
        <f t="shared" si="581"/>
        <v>0</v>
      </c>
      <c r="AF263" s="2">
        <f t="shared" si="581"/>
        <v>0</v>
      </c>
      <c r="AG263" s="2">
        <f t="shared" si="581"/>
        <v>0</v>
      </c>
      <c r="AH263" s="2">
        <f t="shared" si="581"/>
        <v>0</v>
      </c>
      <c r="AI263" s="2">
        <f t="shared" si="581"/>
        <v>0</v>
      </c>
      <c r="AJ263" s="2">
        <f t="shared" ref="AJ263:BJ263" si="582">IF(AJ197&gt;=1.34, 1, 0)</f>
        <v>0</v>
      </c>
      <c r="AK263" s="2">
        <f t="shared" si="582"/>
        <v>0</v>
      </c>
      <c r="AL263" s="2">
        <f t="shared" si="582"/>
        <v>0</v>
      </c>
      <c r="AM263" s="2">
        <f t="shared" si="582"/>
        <v>0</v>
      </c>
      <c r="AN263" s="2">
        <f t="shared" si="582"/>
        <v>0</v>
      </c>
      <c r="AO263" s="2">
        <f t="shared" si="582"/>
        <v>0</v>
      </c>
      <c r="AP263" s="2">
        <f t="shared" si="582"/>
        <v>0</v>
      </c>
      <c r="AQ263" s="2">
        <f t="shared" si="582"/>
        <v>0</v>
      </c>
      <c r="AR263" s="2">
        <f t="shared" si="582"/>
        <v>0</v>
      </c>
      <c r="AS263" s="2">
        <f t="shared" si="582"/>
        <v>0</v>
      </c>
      <c r="AT263" s="2">
        <f t="shared" si="582"/>
        <v>0</v>
      </c>
      <c r="AU263" s="2">
        <f t="shared" si="582"/>
        <v>0</v>
      </c>
      <c r="AV263" s="2">
        <f t="shared" si="582"/>
        <v>0</v>
      </c>
      <c r="AW263" s="2">
        <f t="shared" si="582"/>
        <v>0</v>
      </c>
      <c r="AX263" s="2">
        <f t="shared" si="582"/>
        <v>0</v>
      </c>
      <c r="AY263" s="2">
        <f t="shared" si="582"/>
        <v>0</v>
      </c>
      <c r="AZ263" s="2">
        <f t="shared" si="582"/>
        <v>0</v>
      </c>
      <c r="BA263" s="2">
        <f t="shared" si="582"/>
        <v>0</v>
      </c>
      <c r="BB263" s="2">
        <f t="shared" si="582"/>
        <v>0</v>
      </c>
      <c r="BC263" s="2">
        <f t="shared" si="582"/>
        <v>0</v>
      </c>
      <c r="BD263" s="2">
        <f t="shared" si="582"/>
        <v>0</v>
      </c>
      <c r="BE263" s="2">
        <f t="shared" si="582"/>
        <v>0</v>
      </c>
      <c r="BF263" s="2">
        <f t="shared" si="582"/>
        <v>0</v>
      </c>
      <c r="BG263" s="2">
        <f t="shared" si="582"/>
        <v>0</v>
      </c>
      <c r="BH263" s="2">
        <f t="shared" si="582"/>
        <v>0</v>
      </c>
      <c r="BI263" s="2">
        <f t="shared" si="582"/>
        <v>0</v>
      </c>
      <c r="BJ263" s="2">
        <f t="shared" si="582"/>
        <v>0</v>
      </c>
      <c r="BN263" s="2">
        <f>IF(BN197&gt;=1.34, 1, 0)</f>
        <v>0</v>
      </c>
    </row>
    <row r="264" spans="1:66">
      <c r="A264" s="38" t="s">
        <v>149</v>
      </c>
      <c r="B264" s="54">
        <f t="shared" ref="B264:T264" si="583">IF(B263=1, IF(B198&gt;0.5, 1, 0), 0)</f>
        <v>0</v>
      </c>
      <c r="C264" s="2">
        <f t="shared" si="583"/>
        <v>0</v>
      </c>
      <c r="D264" s="2">
        <f t="shared" si="583"/>
        <v>0</v>
      </c>
      <c r="E264" s="2">
        <f t="shared" si="583"/>
        <v>0</v>
      </c>
      <c r="F264" s="2">
        <f t="shared" si="583"/>
        <v>0</v>
      </c>
      <c r="G264" s="2">
        <f t="shared" si="583"/>
        <v>0</v>
      </c>
      <c r="H264" s="2">
        <f t="shared" si="583"/>
        <v>0</v>
      </c>
      <c r="I264" s="2">
        <f t="shared" si="583"/>
        <v>0</v>
      </c>
      <c r="J264" s="2">
        <f t="shared" si="583"/>
        <v>0</v>
      </c>
      <c r="K264" s="54">
        <f t="shared" si="583"/>
        <v>0</v>
      </c>
      <c r="L264" s="2">
        <f t="shared" si="583"/>
        <v>0</v>
      </c>
      <c r="M264" s="2">
        <f t="shared" si="583"/>
        <v>0</v>
      </c>
      <c r="N264" s="2">
        <f t="shared" si="583"/>
        <v>0</v>
      </c>
      <c r="O264" s="2">
        <f t="shared" si="583"/>
        <v>0</v>
      </c>
      <c r="P264" s="2">
        <f t="shared" si="583"/>
        <v>0</v>
      </c>
      <c r="Q264" s="2">
        <f t="shared" si="583"/>
        <v>0</v>
      </c>
      <c r="R264" s="2">
        <f t="shared" si="583"/>
        <v>0</v>
      </c>
      <c r="S264" s="2">
        <f t="shared" si="583"/>
        <v>0</v>
      </c>
      <c r="T264" s="2">
        <f t="shared" si="583"/>
        <v>0</v>
      </c>
      <c r="U264" s="2">
        <f t="shared" ref="U264:AI264" si="584">IF(U263=1, IF(U198&gt;0.5, 1, 0), 0)</f>
        <v>0</v>
      </c>
      <c r="V264" s="2">
        <f t="shared" si="584"/>
        <v>0</v>
      </c>
      <c r="W264" s="2">
        <f t="shared" si="584"/>
        <v>0</v>
      </c>
      <c r="X264" s="2">
        <f t="shared" si="584"/>
        <v>0</v>
      </c>
      <c r="Y264" s="2">
        <f t="shared" si="584"/>
        <v>0</v>
      </c>
      <c r="Z264" s="2">
        <f t="shared" si="584"/>
        <v>0</v>
      </c>
      <c r="AA264" s="2">
        <f t="shared" si="584"/>
        <v>0</v>
      </c>
      <c r="AB264" s="2">
        <f t="shared" si="584"/>
        <v>0</v>
      </c>
      <c r="AC264" s="2">
        <f t="shared" si="584"/>
        <v>0</v>
      </c>
      <c r="AD264" s="2">
        <f t="shared" si="584"/>
        <v>0</v>
      </c>
      <c r="AE264" s="2">
        <f t="shared" si="584"/>
        <v>0</v>
      </c>
      <c r="AF264" s="2">
        <f t="shared" si="584"/>
        <v>0</v>
      </c>
      <c r="AG264" s="2">
        <f t="shared" si="584"/>
        <v>0</v>
      </c>
      <c r="AH264" s="2">
        <f t="shared" si="584"/>
        <v>0</v>
      </c>
      <c r="AI264" s="2">
        <f t="shared" si="584"/>
        <v>0</v>
      </c>
      <c r="AJ264" s="2">
        <f t="shared" ref="AJ264:BJ264" si="585">IF(AJ263=1, IF(AJ198&gt;0.5, 1, 0), 0)</f>
        <v>0</v>
      </c>
      <c r="AK264" s="2">
        <f t="shared" si="585"/>
        <v>0</v>
      </c>
      <c r="AL264" s="2">
        <f t="shared" si="585"/>
        <v>0</v>
      </c>
      <c r="AM264" s="2">
        <f t="shared" si="585"/>
        <v>0</v>
      </c>
      <c r="AN264" s="2">
        <f t="shared" si="585"/>
        <v>0</v>
      </c>
      <c r="AO264" s="2">
        <f t="shared" si="585"/>
        <v>0</v>
      </c>
      <c r="AP264" s="2">
        <f t="shared" si="585"/>
        <v>0</v>
      </c>
      <c r="AQ264" s="2">
        <f t="shared" si="585"/>
        <v>0</v>
      </c>
      <c r="AR264" s="2">
        <f t="shared" si="585"/>
        <v>0</v>
      </c>
      <c r="AS264" s="2">
        <f t="shared" si="585"/>
        <v>0</v>
      </c>
      <c r="AT264" s="2">
        <f t="shared" si="585"/>
        <v>0</v>
      </c>
      <c r="AU264" s="2">
        <f t="shared" si="585"/>
        <v>0</v>
      </c>
      <c r="AV264" s="2">
        <f t="shared" si="585"/>
        <v>0</v>
      </c>
      <c r="AW264" s="2">
        <f t="shared" si="585"/>
        <v>0</v>
      </c>
      <c r="AX264" s="2">
        <f t="shared" si="585"/>
        <v>0</v>
      </c>
      <c r="AY264" s="2">
        <f t="shared" si="585"/>
        <v>0</v>
      </c>
      <c r="AZ264" s="2">
        <f t="shared" si="585"/>
        <v>0</v>
      </c>
      <c r="BA264" s="2">
        <f t="shared" si="585"/>
        <v>0</v>
      </c>
      <c r="BB264" s="2">
        <f t="shared" si="585"/>
        <v>0</v>
      </c>
      <c r="BC264" s="2">
        <f t="shared" si="585"/>
        <v>0</v>
      </c>
      <c r="BD264" s="2">
        <f t="shared" si="585"/>
        <v>0</v>
      </c>
      <c r="BE264" s="2">
        <f t="shared" si="585"/>
        <v>0</v>
      </c>
      <c r="BF264" s="2">
        <f t="shared" si="585"/>
        <v>0</v>
      </c>
      <c r="BG264" s="2">
        <f t="shared" si="585"/>
        <v>0</v>
      </c>
      <c r="BH264" s="2">
        <f t="shared" si="585"/>
        <v>0</v>
      </c>
      <c r="BI264" s="2">
        <f t="shared" si="585"/>
        <v>0</v>
      </c>
      <c r="BJ264" s="2">
        <f t="shared" si="585"/>
        <v>0</v>
      </c>
      <c r="BN264" s="2">
        <f>IF(BN263=1, IF(BN198&gt;0.5, 1, 0), 0)</f>
        <v>0</v>
      </c>
    </row>
    <row r="265" spans="1:66">
      <c r="A265" s="1" t="s">
        <v>135</v>
      </c>
      <c r="B265" s="54">
        <f t="shared" ref="B265:T265" si="586">IF(B264=1, IF(B202&lt;0.5, 1, 0), 0)</f>
        <v>0</v>
      </c>
      <c r="C265" s="2">
        <f t="shared" si="586"/>
        <v>0</v>
      </c>
      <c r="D265" s="2">
        <f t="shared" si="586"/>
        <v>0</v>
      </c>
      <c r="E265" s="2">
        <f t="shared" si="586"/>
        <v>0</v>
      </c>
      <c r="F265" s="2">
        <f t="shared" si="586"/>
        <v>0</v>
      </c>
      <c r="G265" s="2">
        <f t="shared" si="586"/>
        <v>0</v>
      </c>
      <c r="H265" s="2">
        <f t="shared" si="586"/>
        <v>0</v>
      </c>
      <c r="I265" s="2">
        <f t="shared" si="586"/>
        <v>0</v>
      </c>
      <c r="J265" s="2">
        <f t="shared" si="586"/>
        <v>0</v>
      </c>
      <c r="K265" s="54">
        <f t="shared" si="586"/>
        <v>0</v>
      </c>
      <c r="L265" s="2">
        <f t="shared" si="586"/>
        <v>0</v>
      </c>
      <c r="M265" s="2">
        <f t="shared" si="586"/>
        <v>0</v>
      </c>
      <c r="N265" s="2">
        <f t="shared" si="586"/>
        <v>0</v>
      </c>
      <c r="O265" s="2">
        <f t="shared" si="586"/>
        <v>0</v>
      </c>
      <c r="P265" s="2">
        <f t="shared" si="586"/>
        <v>0</v>
      </c>
      <c r="Q265" s="2">
        <f t="shared" si="586"/>
        <v>0</v>
      </c>
      <c r="R265" s="2">
        <f t="shared" si="586"/>
        <v>0</v>
      </c>
      <c r="S265" s="2">
        <f t="shared" si="586"/>
        <v>0</v>
      </c>
      <c r="T265" s="2">
        <f t="shared" si="586"/>
        <v>0</v>
      </c>
      <c r="U265" s="2">
        <f t="shared" ref="U265:AI265" si="587">IF(U264=1, IF(U202&lt;0.5, 1, 0), 0)</f>
        <v>0</v>
      </c>
      <c r="V265" s="2">
        <f t="shared" si="587"/>
        <v>0</v>
      </c>
      <c r="W265" s="2">
        <f t="shared" si="587"/>
        <v>0</v>
      </c>
      <c r="X265" s="2">
        <f t="shared" si="587"/>
        <v>0</v>
      </c>
      <c r="Y265" s="2">
        <f t="shared" si="587"/>
        <v>0</v>
      </c>
      <c r="Z265" s="2">
        <f t="shared" si="587"/>
        <v>0</v>
      </c>
      <c r="AA265" s="2">
        <f t="shared" si="587"/>
        <v>0</v>
      </c>
      <c r="AB265" s="2">
        <f t="shared" si="587"/>
        <v>0</v>
      </c>
      <c r="AC265" s="2">
        <f t="shared" si="587"/>
        <v>0</v>
      </c>
      <c r="AD265" s="2">
        <f t="shared" si="587"/>
        <v>0</v>
      </c>
      <c r="AE265" s="2">
        <f t="shared" si="587"/>
        <v>0</v>
      </c>
      <c r="AF265" s="2">
        <f t="shared" si="587"/>
        <v>0</v>
      </c>
      <c r="AG265" s="2">
        <f t="shared" si="587"/>
        <v>0</v>
      </c>
      <c r="AH265" s="2">
        <f t="shared" si="587"/>
        <v>0</v>
      </c>
      <c r="AI265" s="2">
        <f t="shared" si="587"/>
        <v>0</v>
      </c>
      <c r="AJ265" s="2">
        <f t="shared" ref="AJ265:BJ265" si="588">IF(AJ264=1, IF(AJ202&lt;0.5, 1, 0), 0)</f>
        <v>0</v>
      </c>
      <c r="AK265" s="2">
        <f t="shared" si="588"/>
        <v>0</v>
      </c>
      <c r="AL265" s="2">
        <f t="shared" si="588"/>
        <v>0</v>
      </c>
      <c r="AM265" s="2">
        <f t="shared" si="588"/>
        <v>0</v>
      </c>
      <c r="AN265" s="2">
        <f t="shared" si="588"/>
        <v>0</v>
      </c>
      <c r="AO265" s="2">
        <f t="shared" si="588"/>
        <v>0</v>
      </c>
      <c r="AP265" s="2">
        <f t="shared" si="588"/>
        <v>0</v>
      </c>
      <c r="AQ265" s="2">
        <f t="shared" si="588"/>
        <v>0</v>
      </c>
      <c r="AR265" s="2">
        <f t="shared" si="588"/>
        <v>0</v>
      </c>
      <c r="AS265" s="2">
        <f t="shared" si="588"/>
        <v>0</v>
      </c>
      <c r="AT265" s="2">
        <f t="shared" si="588"/>
        <v>0</v>
      </c>
      <c r="AU265" s="2">
        <f t="shared" si="588"/>
        <v>0</v>
      </c>
      <c r="AV265" s="2">
        <f t="shared" si="588"/>
        <v>0</v>
      </c>
      <c r="AW265" s="2">
        <f t="shared" si="588"/>
        <v>0</v>
      </c>
      <c r="AX265" s="2">
        <f t="shared" si="588"/>
        <v>0</v>
      </c>
      <c r="AY265" s="2">
        <f t="shared" si="588"/>
        <v>0</v>
      </c>
      <c r="AZ265" s="2">
        <f t="shared" si="588"/>
        <v>0</v>
      </c>
      <c r="BA265" s="2">
        <f t="shared" si="588"/>
        <v>0</v>
      </c>
      <c r="BB265" s="2">
        <f t="shared" si="588"/>
        <v>0</v>
      </c>
      <c r="BC265" s="2">
        <f t="shared" si="588"/>
        <v>0</v>
      </c>
      <c r="BD265" s="2">
        <f t="shared" si="588"/>
        <v>0</v>
      </c>
      <c r="BE265" s="2">
        <f t="shared" si="588"/>
        <v>0</v>
      </c>
      <c r="BF265" s="2">
        <f t="shared" si="588"/>
        <v>0</v>
      </c>
      <c r="BG265" s="2">
        <f t="shared" si="588"/>
        <v>0</v>
      </c>
      <c r="BH265" s="2">
        <f t="shared" si="588"/>
        <v>0</v>
      </c>
      <c r="BI265" s="2">
        <f t="shared" si="588"/>
        <v>0</v>
      </c>
      <c r="BJ265" s="2">
        <f t="shared" si="588"/>
        <v>0</v>
      </c>
      <c r="BN265" s="2">
        <f>IF(BN264=1, IF(BN202&lt;0.5, 1, 0), 0)</f>
        <v>0</v>
      </c>
    </row>
    <row r="266" spans="1:66">
      <c r="A266" s="37" t="s">
        <v>150</v>
      </c>
      <c r="B266" s="54">
        <f t="shared" ref="B266:T266" si="589">IF(B265=1, IF(B199&gt;0.5, 57, 58), 0)</f>
        <v>0</v>
      </c>
      <c r="C266" s="2">
        <f t="shared" si="589"/>
        <v>0</v>
      </c>
      <c r="D266" s="2">
        <f t="shared" si="589"/>
        <v>0</v>
      </c>
      <c r="E266" s="2">
        <f t="shared" si="589"/>
        <v>0</v>
      </c>
      <c r="F266" s="2">
        <f t="shared" si="589"/>
        <v>0</v>
      </c>
      <c r="G266" s="2">
        <f t="shared" si="589"/>
        <v>0</v>
      </c>
      <c r="H266" s="2">
        <f t="shared" si="589"/>
        <v>0</v>
      </c>
      <c r="I266" s="2">
        <f t="shared" si="589"/>
        <v>0</v>
      </c>
      <c r="J266" s="2">
        <f t="shared" si="589"/>
        <v>0</v>
      </c>
      <c r="K266" s="54">
        <f t="shared" si="589"/>
        <v>0</v>
      </c>
      <c r="L266" s="2">
        <f t="shared" si="589"/>
        <v>0</v>
      </c>
      <c r="M266" s="2">
        <f t="shared" si="589"/>
        <v>0</v>
      </c>
      <c r="N266" s="2">
        <f t="shared" si="589"/>
        <v>0</v>
      </c>
      <c r="O266" s="2">
        <f t="shared" si="589"/>
        <v>0</v>
      </c>
      <c r="P266" s="2">
        <f t="shared" si="589"/>
        <v>0</v>
      </c>
      <c r="Q266" s="2">
        <f t="shared" si="589"/>
        <v>0</v>
      </c>
      <c r="R266" s="2">
        <f t="shared" si="589"/>
        <v>0</v>
      </c>
      <c r="S266" s="2">
        <f t="shared" si="589"/>
        <v>0</v>
      </c>
      <c r="T266" s="2">
        <f t="shared" si="589"/>
        <v>0</v>
      </c>
      <c r="U266" s="2">
        <f t="shared" ref="U266:AI266" si="590">IF(U265=1, IF(U199&gt;0.5, 57, 58), 0)</f>
        <v>0</v>
      </c>
      <c r="V266" s="2">
        <f t="shared" si="590"/>
        <v>0</v>
      </c>
      <c r="W266" s="2">
        <f t="shared" si="590"/>
        <v>0</v>
      </c>
      <c r="X266" s="2">
        <f t="shared" si="590"/>
        <v>0</v>
      </c>
      <c r="Y266" s="2">
        <f t="shared" si="590"/>
        <v>0</v>
      </c>
      <c r="Z266" s="2">
        <f t="shared" si="590"/>
        <v>0</v>
      </c>
      <c r="AA266" s="2">
        <f t="shared" si="590"/>
        <v>0</v>
      </c>
      <c r="AB266" s="2">
        <f t="shared" si="590"/>
        <v>0</v>
      </c>
      <c r="AC266" s="2">
        <f t="shared" si="590"/>
        <v>0</v>
      </c>
      <c r="AD266" s="2">
        <f t="shared" si="590"/>
        <v>0</v>
      </c>
      <c r="AE266" s="2">
        <f t="shared" si="590"/>
        <v>0</v>
      </c>
      <c r="AF266" s="2">
        <f t="shared" si="590"/>
        <v>0</v>
      </c>
      <c r="AG266" s="2">
        <f t="shared" si="590"/>
        <v>0</v>
      </c>
      <c r="AH266" s="2">
        <f t="shared" si="590"/>
        <v>0</v>
      </c>
      <c r="AI266" s="2">
        <f t="shared" si="590"/>
        <v>0</v>
      </c>
      <c r="AJ266" s="2">
        <f t="shared" ref="AJ266:BJ266" si="591">IF(AJ265=1, IF(AJ199&gt;0.5, 57, 58), 0)</f>
        <v>0</v>
      </c>
      <c r="AK266" s="2">
        <f t="shared" si="591"/>
        <v>0</v>
      </c>
      <c r="AL266" s="2">
        <f t="shared" si="591"/>
        <v>0</v>
      </c>
      <c r="AM266" s="2">
        <f t="shared" si="591"/>
        <v>0</v>
      </c>
      <c r="AN266" s="2">
        <f t="shared" si="591"/>
        <v>0</v>
      </c>
      <c r="AO266" s="2">
        <f t="shared" si="591"/>
        <v>0</v>
      </c>
      <c r="AP266" s="2">
        <f t="shared" si="591"/>
        <v>0</v>
      </c>
      <c r="AQ266" s="2">
        <f t="shared" si="591"/>
        <v>0</v>
      </c>
      <c r="AR266" s="2">
        <f t="shared" si="591"/>
        <v>0</v>
      </c>
      <c r="AS266" s="2">
        <f t="shared" si="591"/>
        <v>0</v>
      </c>
      <c r="AT266" s="2">
        <f t="shared" si="591"/>
        <v>0</v>
      </c>
      <c r="AU266" s="2">
        <f t="shared" si="591"/>
        <v>0</v>
      </c>
      <c r="AV266" s="2">
        <f t="shared" si="591"/>
        <v>0</v>
      </c>
      <c r="AW266" s="2">
        <f t="shared" si="591"/>
        <v>0</v>
      </c>
      <c r="AX266" s="2">
        <f t="shared" si="591"/>
        <v>0</v>
      </c>
      <c r="AY266" s="2">
        <f t="shared" si="591"/>
        <v>0</v>
      </c>
      <c r="AZ266" s="2">
        <f t="shared" si="591"/>
        <v>0</v>
      </c>
      <c r="BA266" s="2">
        <f t="shared" si="591"/>
        <v>0</v>
      </c>
      <c r="BB266" s="2">
        <f t="shared" si="591"/>
        <v>0</v>
      </c>
      <c r="BC266" s="2">
        <f t="shared" si="591"/>
        <v>0</v>
      </c>
      <c r="BD266" s="2">
        <f t="shared" si="591"/>
        <v>0</v>
      </c>
      <c r="BE266" s="2">
        <f t="shared" si="591"/>
        <v>0</v>
      </c>
      <c r="BF266" s="2">
        <f t="shared" si="591"/>
        <v>0</v>
      </c>
      <c r="BG266" s="2">
        <f t="shared" si="591"/>
        <v>0</v>
      </c>
      <c r="BH266" s="2">
        <f t="shared" si="591"/>
        <v>0</v>
      </c>
      <c r="BI266" s="2">
        <f t="shared" si="591"/>
        <v>0</v>
      </c>
      <c r="BJ266" s="2">
        <f t="shared" si="591"/>
        <v>0</v>
      </c>
      <c r="BN266" s="2">
        <f>IF(BN265=1, IF(BN199&gt;0.5, 57, 58), 0)</f>
        <v>0</v>
      </c>
    </row>
    <row r="267" spans="1:66">
      <c r="A267" s="1" t="s">
        <v>151</v>
      </c>
      <c r="B267" s="54">
        <f t="shared" ref="B267:T267" si="592">IF(B264=1, IF(B202&gt;0.5, 1, 0), 0)</f>
        <v>0</v>
      </c>
      <c r="C267" s="2">
        <f t="shared" si="592"/>
        <v>0</v>
      </c>
      <c r="D267" s="2">
        <f t="shared" si="592"/>
        <v>0</v>
      </c>
      <c r="E267" s="2">
        <f t="shared" si="592"/>
        <v>0</v>
      </c>
      <c r="F267" s="2">
        <f t="shared" si="592"/>
        <v>0</v>
      </c>
      <c r="G267" s="2">
        <f t="shared" si="592"/>
        <v>0</v>
      </c>
      <c r="H267" s="2">
        <f t="shared" si="592"/>
        <v>0</v>
      </c>
      <c r="I267" s="2">
        <f t="shared" si="592"/>
        <v>0</v>
      </c>
      <c r="J267" s="2">
        <f t="shared" si="592"/>
        <v>0</v>
      </c>
      <c r="K267" s="54">
        <f t="shared" si="592"/>
        <v>0</v>
      </c>
      <c r="L267" s="2">
        <f t="shared" si="592"/>
        <v>0</v>
      </c>
      <c r="M267" s="2">
        <f t="shared" si="592"/>
        <v>0</v>
      </c>
      <c r="N267" s="2">
        <f t="shared" si="592"/>
        <v>0</v>
      </c>
      <c r="O267" s="2">
        <f t="shared" si="592"/>
        <v>0</v>
      </c>
      <c r="P267" s="2">
        <f t="shared" si="592"/>
        <v>0</v>
      </c>
      <c r="Q267" s="2">
        <f t="shared" si="592"/>
        <v>0</v>
      </c>
      <c r="R267" s="2">
        <f t="shared" si="592"/>
        <v>0</v>
      </c>
      <c r="S267" s="2">
        <f t="shared" si="592"/>
        <v>0</v>
      </c>
      <c r="T267" s="2">
        <f t="shared" si="592"/>
        <v>0</v>
      </c>
      <c r="U267" s="2">
        <f t="shared" ref="U267:AI267" si="593">IF(U264=1, IF(U202&gt;0.5, 1, 0), 0)</f>
        <v>0</v>
      </c>
      <c r="V267" s="2">
        <f t="shared" si="593"/>
        <v>0</v>
      </c>
      <c r="W267" s="2">
        <f t="shared" si="593"/>
        <v>0</v>
      </c>
      <c r="X267" s="2">
        <f t="shared" si="593"/>
        <v>0</v>
      </c>
      <c r="Y267" s="2">
        <f t="shared" si="593"/>
        <v>0</v>
      </c>
      <c r="Z267" s="2">
        <f t="shared" si="593"/>
        <v>0</v>
      </c>
      <c r="AA267" s="2">
        <f t="shared" si="593"/>
        <v>0</v>
      </c>
      <c r="AB267" s="2">
        <f t="shared" si="593"/>
        <v>0</v>
      </c>
      <c r="AC267" s="2">
        <f t="shared" si="593"/>
        <v>0</v>
      </c>
      <c r="AD267" s="2">
        <f t="shared" si="593"/>
        <v>0</v>
      </c>
      <c r="AE267" s="2">
        <f t="shared" si="593"/>
        <v>0</v>
      </c>
      <c r="AF267" s="2">
        <f t="shared" si="593"/>
        <v>0</v>
      </c>
      <c r="AG267" s="2">
        <f t="shared" si="593"/>
        <v>0</v>
      </c>
      <c r="AH267" s="2">
        <f t="shared" si="593"/>
        <v>0</v>
      </c>
      <c r="AI267" s="2">
        <f t="shared" si="593"/>
        <v>0</v>
      </c>
      <c r="AJ267" s="2">
        <f t="shared" ref="AJ267:BJ267" si="594">IF(AJ264=1, IF(AJ202&gt;0.5, 1, 0), 0)</f>
        <v>0</v>
      </c>
      <c r="AK267" s="2">
        <f t="shared" si="594"/>
        <v>0</v>
      </c>
      <c r="AL267" s="2">
        <f t="shared" si="594"/>
        <v>0</v>
      </c>
      <c r="AM267" s="2">
        <f t="shared" si="594"/>
        <v>0</v>
      </c>
      <c r="AN267" s="2">
        <f t="shared" si="594"/>
        <v>0</v>
      </c>
      <c r="AO267" s="2">
        <f t="shared" si="594"/>
        <v>0</v>
      </c>
      <c r="AP267" s="2">
        <f t="shared" si="594"/>
        <v>0</v>
      </c>
      <c r="AQ267" s="2">
        <f t="shared" si="594"/>
        <v>0</v>
      </c>
      <c r="AR267" s="2">
        <f t="shared" si="594"/>
        <v>0</v>
      </c>
      <c r="AS267" s="2">
        <f t="shared" si="594"/>
        <v>0</v>
      </c>
      <c r="AT267" s="2">
        <f t="shared" si="594"/>
        <v>0</v>
      </c>
      <c r="AU267" s="2">
        <f t="shared" si="594"/>
        <v>0</v>
      </c>
      <c r="AV267" s="2">
        <f t="shared" si="594"/>
        <v>0</v>
      </c>
      <c r="AW267" s="2">
        <f t="shared" si="594"/>
        <v>0</v>
      </c>
      <c r="AX267" s="2">
        <f t="shared" si="594"/>
        <v>0</v>
      </c>
      <c r="AY267" s="2">
        <f t="shared" si="594"/>
        <v>0</v>
      </c>
      <c r="AZ267" s="2">
        <f t="shared" si="594"/>
        <v>0</v>
      </c>
      <c r="BA267" s="2">
        <f t="shared" si="594"/>
        <v>0</v>
      </c>
      <c r="BB267" s="2">
        <f t="shared" si="594"/>
        <v>0</v>
      </c>
      <c r="BC267" s="2">
        <f t="shared" si="594"/>
        <v>0</v>
      </c>
      <c r="BD267" s="2">
        <f t="shared" si="594"/>
        <v>0</v>
      </c>
      <c r="BE267" s="2">
        <f t="shared" si="594"/>
        <v>0</v>
      </c>
      <c r="BF267" s="2">
        <f t="shared" si="594"/>
        <v>0</v>
      </c>
      <c r="BG267" s="2">
        <f t="shared" si="594"/>
        <v>0</v>
      </c>
      <c r="BH267" s="2">
        <f t="shared" si="594"/>
        <v>0</v>
      </c>
      <c r="BI267" s="2">
        <f t="shared" si="594"/>
        <v>0</v>
      </c>
      <c r="BJ267" s="2">
        <f t="shared" si="594"/>
        <v>0</v>
      </c>
      <c r="BN267" s="2">
        <f>IF(BN264=1, IF(BN202&gt;0.5, 1, 0), 0)</f>
        <v>0</v>
      </c>
    </row>
    <row r="268" spans="1:66">
      <c r="A268" s="37" t="s">
        <v>136</v>
      </c>
      <c r="B268" s="54">
        <f t="shared" ref="B268:T268" si="595">IF(B267=1, IF(B199&gt;0.5, 59, 60), 0)</f>
        <v>0</v>
      </c>
      <c r="C268" s="2">
        <f t="shared" si="595"/>
        <v>0</v>
      </c>
      <c r="D268" s="2">
        <f t="shared" si="595"/>
        <v>0</v>
      </c>
      <c r="E268" s="2">
        <f t="shared" si="595"/>
        <v>0</v>
      </c>
      <c r="F268" s="2">
        <f t="shared" si="595"/>
        <v>0</v>
      </c>
      <c r="G268" s="2">
        <f t="shared" si="595"/>
        <v>0</v>
      </c>
      <c r="H268" s="2">
        <f t="shared" si="595"/>
        <v>0</v>
      </c>
      <c r="I268" s="2">
        <f t="shared" si="595"/>
        <v>0</v>
      </c>
      <c r="J268" s="2">
        <f t="shared" si="595"/>
        <v>0</v>
      </c>
      <c r="K268" s="54">
        <f t="shared" si="595"/>
        <v>0</v>
      </c>
      <c r="L268" s="2">
        <f t="shared" si="595"/>
        <v>0</v>
      </c>
      <c r="M268" s="2">
        <f t="shared" si="595"/>
        <v>0</v>
      </c>
      <c r="N268" s="2">
        <f t="shared" si="595"/>
        <v>0</v>
      </c>
      <c r="O268" s="2">
        <f t="shared" si="595"/>
        <v>0</v>
      </c>
      <c r="P268" s="2">
        <f t="shared" si="595"/>
        <v>0</v>
      </c>
      <c r="Q268" s="2">
        <f t="shared" si="595"/>
        <v>0</v>
      </c>
      <c r="R268" s="2">
        <f t="shared" si="595"/>
        <v>0</v>
      </c>
      <c r="S268" s="2">
        <f t="shared" si="595"/>
        <v>0</v>
      </c>
      <c r="T268" s="2">
        <f t="shared" si="595"/>
        <v>0</v>
      </c>
      <c r="U268" s="2">
        <f t="shared" ref="U268:AI268" si="596">IF(U267=1, IF(U199&gt;0.5, 59, 60), 0)</f>
        <v>0</v>
      </c>
      <c r="V268" s="2">
        <f t="shared" si="596"/>
        <v>0</v>
      </c>
      <c r="W268" s="2">
        <f t="shared" si="596"/>
        <v>0</v>
      </c>
      <c r="X268" s="2">
        <f t="shared" si="596"/>
        <v>0</v>
      </c>
      <c r="Y268" s="2">
        <f t="shared" si="596"/>
        <v>0</v>
      </c>
      <c r="Z268" s="2">
        <f t="shared" si="596"/>
        <v>0</v>
      </c>
      <c r="AA268" s="2">
        <f t="shared" si="596"/>
        <v>0</v>
      </c>
      <c r="AB268" s="2">
        <f t="shared" si="596"/>
        <v>0</v>
      </c>
      <c r="AC268" s="2">
        <f t="shared" si="596"/>
        <v>0</v>
      </c>
      <c r="AD268" s="2">
        <f t="shared" si="596"/>
        <v>0</v>
      </c>
      <c r="AE268" s="2">
        <f t="shared" si="596"/>
        <v>0</v>
      </c>
      <c r="AF268" s="2">
        <f t="shared" si="596"/>
        <v>0</v>
      </c>
      <c r="AG268" s="2">
        <f t="shared" si="596"/>
        <v>0</v>
      </c>
      <c r="AH268" s="2">
        <f t="shared" si="596"/>
        <v>0</v>
      </c>
      <c r="AI268" s="2">
        <f t="shared" si="596"/>
        <v>0</v>
      </c>
      <c r="AJ268" s="2">
        <f t="shared" ref="AJ268:BJ268" si="597">IF(AJ267=1, IF(AJ199&gt;0.5, 59, 60), 0)</f>
        <v>0</v>
      </c>
      <c r="AK268" s="2">
        <f t="shared" si="597"/>
        <v>0</v>
      </c>
      <c r="AL268" s="2">
        <f t="shared" si="597"/>
        <v>0</v>
      </c>
      <c r="AM268" s="2">
        <f t="shared" si="597"/>
        <v>0</v>
      </c>
      <c r="AN268" s="2">
        <f t="shared" si="597"/>
        <v>0</v>
      </c>
      <c r="AO268" s="2">
        <f t="shared" si="597"/>
        <v>0</v>
      </c>
      <c r="AP268" s="2">
        <f t="shared" si="597"/>
        <v>0</v>
      </c>
      <c r="AQ268" s="2">
        <f t="shared" si="597"/>
        <v>0</v>
      </c>
      <c r="AR268" s="2">
        <f t="shared" si="597"/>
        <v>0</v>
      </c>
      <c r="AS268" s="2">
        <f t="shared" si="597"/>
        <v>0</v>
      </c>
      <c r="AT268" s="2">
        <f t="shared" si="597"/>
        <v>0</v>
      </c>
      <c r="AU268" s="2">
        <f t="shared" si="597"/>
        <v>0</v>
      </c>
      <c r="AV268" s="2">
        <f t="shared" si="597"/>
        <v>0</v>
      </c>
      <c r="AW268" s="2">
        <f t="shared" si="597"/>
        <v>0</v>
      </c>
      <c r="AX268" s="2">
        <f t="shared" si="597"/>
        <v>0</v>
      </c>
      <c r="AY268" s="2">
        <f t="shared" si="597"/>
        <v>0</v>
      </c>
      <c r="AZ268" s="2">
        <f t="shared" si="597"/>
        <v>0</v>
      </c>
      <c r="BA268" s="2">
        <f t="shared" si="597"/>
        <v>0</v>
      </c>
      <c r="BB268" s="2">
        <f t="shared" si="597"/>
        <v>0</v>
      </c>
      <c r="BC268" s="2">
        <f t="shared" si="597"/>
        <v>0</v>
      </c>
      <c r="BD268" s="2">
        <f t="shared" si="597"/>
        <v>0</v>
      </c>
      <c r="BE268" s="2">
        <f t="shared" si="597"/>
        <v>0</v>
      </c>
      <c r="BF268" s="2">
        <f t="shared" si="597"/>
        <v>0</v>
      </c>
      <c r="BG268" s="2">
        <f t="shared" si="597"/>
        <v>0</v>
      </c>
      <c r="BH268" s="2">
        <f t="shared" si="597"/>
        <v>0</v>
      </c>
      <c r="BI268" s="2">
        <f t="shared" si="597"/>
        <v>0</v>
      </c>
      <c r="BJ268" s="2">
        <f t="shared" si="597"/>
        <v>0</v>
      </c>
      <c r="BN268" s="2">
        <f>IF(BN267=1, IF(BN199&gt;0.5, 59, 60), 0)</f>
        <v>0</v>
      </c>
    </row>
    <row r="269" spans="1:66">
      <c r="A269" s="38" t="s">
        <v>137</v>
      </c>
      <c r="B269" s="54">
        <f t="shared" ref="B269:T269" si="598">IF(B263=1, IF(B198&gt;=0.5, 1, 0), 0)</f>
        <v>0</v>
      </c>
      <c r="C269" s="2">
        <f t="shared" si="598"/>
        <v>0</v>
      </c>
      <c r="D269" s="2">
        <f t="shared" si="598"/>
        <v>0</v>
      </c>
      <c r="E269" s="2">
        <f t="shared" si="598"/>
        <v>0</v>
      </c>
      <c r="F269" s="2">
        <f t="shared" si="598"/>
        <v>0</v>
      </c>
      <c r="G269" s="2">
        <f t="shared" si="598"/>
        <v>0</v>
      </c>
      <c r="H269" s="2">
        <f t="shared" si="598"/>
        <v>0</v>
      </c>
      <c r="I269" s="2">
        <f t="shared" si="598"/>
        <v>0</v>
      </c>
      <c r="J269" s="2">
        <f t="shared" si="598"/>
        <v>0</v>
      </c>
      <c r="K269" s="54">
        <f t="shared" si="598"/>
        <v>0</v>
      </c>
      <c r="L269" s="2">
        <f t="shared" si="598"/>
        <v>0</v>
      </c>
      <c r="M269" s="2">
        <f t="shared" si="598"/>
        <v>0</v>
      </c>
      <c r="N269" s="2">
        <f t="shared" si="598"/>
        <v>0</v>
      </c>
      <c r="O269" s="2">
        <f t="shared" si="598"/>
        <v>0</v>
      </c>
      <c r="P269" s="2">
        <f t="shared" si="598"/>
        <v>0</v>
      </c>
      <c r="Q269" s="2">
        <f t="shared" si="598"/>
        <v>0</v>
      </c>
      <c r="R269" s="2">
        <f t="shared" si="598"/>
        <v>0</v>
      </c>
      <c r="S269" s="2">
        <f t="shared" si="598"/>
        <v>0</v>
      </c>
      <c r="T269" s="2">
        <f t="shared" si="598"/>
        <v>0</v>
      </c>
      <c r="U269" s="2">
        <f t="shared" ref="U269:AI269" si="599">IF(U263=1, IF(U198&gt;=0.5, 1, 0), 0)</f>
        <v>0</v>
      </c>
      <c r="V269" s="2">
        <f t="shared" si="599"/>
        <v>0</v>
      </c>
      <c r="W269" s="2">
        <f t="shared" si="599"/>
        <v>0</v>
      </c>
      <c r="X269" s="2">
        <f t="shared" si="599"/>
        <v>0</v>
      </c>
      <c r="Y269" s="2">
        <f t="shared" si="599"/>
        <v>0</v>
      </c>
      <c r="Z269" s="2">
        <f t="shared" si="599"/>
        <v>0</v>
      </c>
      <c r="AA269" s="2">
        <f t="shared" si="599"/>
        <v>0</v>
      </c>
      <c r="AB269" s="2">
        <f t="shared" si="599"/>
        <v>0</v>
      </c>
      <c r="AC269" s="2">
        <f t="shared" si="599"/>
        <v>0</v>
      </c>
      <c r="AD269" s="2">
        <f t="shared" si="599"/>
        <v>0</v>
      </c>
      <c r="AE269" s="2">
        <f t="shared" si="599"/>
        <v>0</v>
      </c>
      <c r="AF269" s="2">
        <f t="shared" si="599"/>
        <v>0</v>
      </c>
      <c r="AG269" s="2">
        <f t="shared" si="599"/>
        <v>0</v>
      </c>
      <c r="AH269" s="2">
        <f t="shared" si="599"/>
        <v>0</v>
      </c>
      <c r="AI269" s="2">
        <f t="shared" si="599"/>
        <v>0</v>
      </c>
      <c r="AJ269" s="2">
        <f t="shared" ref="AJ269:BJ269" si="600">IF(AJ263=1, IF(AJ198&gt;=0.5, 1, 0), 0)</f>
        <v>0</v>
      </c>
      <c r="AK269" s="2">
        <f t="shared" si="600"/>
        <v>0</v>
      </c>
      <c r="AL269" s="2">
        <f t="shared" si="600"/>
        <v>0</v>
      </c>
      <c r="AM269" s="2">
        <f t="shared" si="600"/>
        <v>0</v>
      </c>
      <c r="AN269" s="2">
        <f t="shared" si="600"/>
        <v>0</v>
      </c>
      <c r="AO269" s="2">
        <f t="shared" si="600"/>
        <v>0</v>
      </c>
      <c r="AP269" s="2">
        <f t="shared" si="600"/>
        <v>0</v>
      </c>
      <c r="AQ269" s="2">
        <f t="shared" si="600"/>
        <v>0</v>
      </c>
      <c r="AR269" s="2">
        <f t="shared" si="600"/>
        <v>0</v>
      </c>
      <c r="AS269" s="2">
        <f t="shared" si="600"/>
        <v>0</v>
      </c>
      <c r="AT269" s="2">
        <f t="shared" si="600"/>
        <v>0</v>
      </c>
      <c r="AU269" s="2">
        <f t="shared" si="600"/>
        <v>0</v>
      </c>
      <c r="AV269" s="2">
        <f t="shared" si="600"/>
        <v>0</v>
      </c>
      <c r="AW269" s="2">
        <f t="shared" si="600"/>
        <v>0</v>
      </c>
      <c r="AX269" s="2">
        <f t="shared" si="600"/>
        <v>0</v>
      </c>
      <c r="AY269" s="2">
        <f t="shared" si="600"/>
        <v>0</v>
      </c>
      <c r="AZ269" s="2">
        <f t="shared" si="600"/>
        <v>0</v>
      </c>
      <c r="BA269" s="2">
        <f t="shared" si="600"/>
        <v>0</v>
      </c>
      <c r="BB269" s="2">
        <f t="shared" si="600"/>
        <v>0</v>
      </c>
      <c r="BC269" s="2">
        <f t="shared" si="600"/>
        <v>0</v>
      </c>
      <c r="BD269" s="2">
        <f t="shared" si="600"/>
        <v>0</v>
      </c>
      <c r="BE269" s="2">
        <f t="shared" si="600"/>
        <v>0</v>
      </c>
      <c r="BF269" s="2">
        <f t="shared" si="600"/>
        <v>0</v>
      </c>
      <c r="BG269" s="2">
        <f t="shared" si="600"/>
        <v>0</v>
      </c>
      <c r="BH269" s="2">
        <f t="shared" si="600"/>
        <v>0</v>
      </c>
      <c r="BI269" s="2">
        <f t="shared" si="600"/>
        <v>0</v>
      </c>
      <c r="BJ269" s="2">
        <f t="shared" si="600"/>
        <v>0</v>
      </c>
      <c r="BN269" s="2">
        <f>IF(BN263=1, IF(BN198&gt;=0.5, 1, 0), 0)</f>
        <v>0</v>
      </c>
    </row>
    <row r="270" spans="1:66">
      <c r="A270" s="1" t="s">
        <v>138</v>
      </c>
      <c r="B270" s="54">
        <f t="shared" ref="B270:T270" si="601">IF(B269=1, IF(B202&lt;0.3, 1, 0), 0)</f>
        <v>0</v>
      </c>
      <c r="C270" s="2">
        <f t="shared" si="601"/>
        <v>0</v>
      </c>
      <c r="D270" s="2">
        <f t="shared" si="601"/>
        <v>0</v>
      </c>
      <c r="E270" s="2">
        <f t="shared" si="601"/>
        <v>0</v>
      </c>
      <c r="F270" s="2">
        <f t="shared" si="601"/>
        <v>0</v>
      </c>
      <c r="G270" s="2">
        <f t="shared" si="601"/>
        <v>0</v>
      </c>
      <c r="H270" s="2">
        <f t="shared" si="601"/>
        <v>0</v>
      </c>
      <c r="I270" s="2">
        <f t="shared" si="601"/>
        <v>0</v>
      </c>
      <c r="J270" s="2">
        <f t="shared" si="601"/>
        <v>0</v>
      </c>
      <c r="K270" s="54">
        <f t="shared" si="601"/>
        <v>0</v>
      </c>
      <c r="L270" s="2">
        <f t="shared" si="601"/>
        <v>0</v>
      </c>
      <c r="M270" s="2">
        <f t="shared" si="601"/>
        <v>0</v>
      </c>
      <c r="N270" s="2">
        <f t="shared" si="601"/>
        <v>0</v>
      </c>
      <c r="O270" s="2">
        <f t="shared" si="601"/>
        <v>0</v>
      </c>
      <c r="P270" s="2">
        <f t="shared" si="601"/>
        <v>0</v>
      </c>
      <c r="Q270" s="2">
        <f t="shared" si="601"/>
        <v>0</v>
      </c>
      <c r="R270" s="2">
        <f t="shared" si="601"/>
        <v>0</v>
      </c>
      <c r="S270" s="2">
        <f t="shared" si="601"/>
        <v>0</v>
      </c>
      <c r="T270" s="2">
        <f t="shared" si="601"/>
        <v>0</v>
      </c>
      <c r="U270" s="2">
        <f t="shared" ref="U270:AI270" si="602">IF(U269=1, IF(U202&lt;0.3, 1, 0), 0)</f>
        <v>0</v>
      </c>
      <c r="V270" s="2">
        <f t="shared" si="602"/>
        <v>0</v>
      </c>
      <c r="W270" s="2">
        <f t="shared" si="602"/>
        <v>0</v>
      </c>
      <c r="X270" s="2">
        <f t="shared" si="602"/>
        <v>0</v>
      </c>
      <c r="Y270" s="2">
        <f t="shared" si="602"/>
        <v>0</v>
      </c>
      <c r="Z270" s="2">
        <f t="shared" si="602"/>
        <v>0</v>
      </c>
      <c r="AA270" s="2">
        <f t="shared" si="602"/>
        <v>0</v>
      </c>
      <c r="AB270" s="2">
        <f t="shared" si="602"/>
        <v>0</v>
      </c>
      <c r="AC270" s="2">
        <f t="shared" si="602"/>
        <v>0</v>
      </c>
      <c r="AD270" s="2">
        <f t="shared" si="602"/>
        <v>0</v>
      </c>
      <c r="AE270" s="2">
        <f t="shared" si="602"/>
        <v>0</v>
      </c>
      <c r="AF270" s="2">
        <f t="shared" si="602"/>
        <v>0</v>
      </c>
      <c r="AG270" s="2">
        <f t="shared" si="602"/>
        <v>0</v>
      </c>
      <c r="AH270" s="2">
        <f t="shared" si="602"/>
        <v>0</v>
      </c>
      <c r="AI270" s="2">
        <f t="shared" si="602"/>
        <v>0</v>
      </c>
      <c r="AJ270" s="2">
        <f t="shared" ref="AJ270:BJ270" si="603">IF(AJ269=1, IF(AJ202&lt;0.3, 1, 0), 0)</f>
        <v>0</v>
      </c>
      <c r="AK270" s="2">
        <f t="shared" si="603"/>
        <v>0</v>
      </c>
      <c r="AL270" s="2">
        <f t="shared" si="603"/>
        <v>0</v>
      </c>
      <c r="AM270" s="2">
        <f t="shared" si="603"/>
        <v>0</v>
      </c>
      <c r="AN270" s="2">
        <f t="shared" si="603"/>
        <v>0</v>
      </c>
      <c r="AO270" s="2">
        <f t="shared" si="603"/>
        <v>0</v>
      </c>
      <c r="AP270" s="2">
        <f t="shared" si="603"/>
        <v>0</v>
      </c>
      <c r="AQ270" s="2">
        <f t="shared" si="603"/>
        <v>0</v>
      </c>
      <c r="AR270" s="2">
        <f t="shared" si="603"/>
        <v>0</v>
      </c>
      <c r="AS270" s="2">
        <f t="shared" si="603"/>
        <v>0</v>
      </c>
      <c r="AT270" s="2">
        <f t="shared" si="603"/>
        <v>0</v>
      </c>
      <c r="AU270" s="2">
        <f t="shared" si="603"/>
        <v>0</v>
      </c>
      <c r="AV270" s="2">
        <f t="shared" si="603"/>
        <v>0</v>
      </c>
      <c r="AW270" s="2">
        <f t="shared" si="603"/>
        <v>0</v>
      </c>
      <c r="AX270" s="2">
        <f t="shared" si="603"/>
        <v>0</v>
      </c>
      <c r="AY270" s="2">
        <f t="shared" si="603"/>
        <v>0</v>
      </c>
      <c r="AZ270" s="2">
        <f t="shared" si="603"/>
        <v>0</v>
      </c>
      <c r="BA270" s="2">
        <f t="shared" si="603"/>
        <v>0</v>
      </c>
      <c r="BB270" s="2">
        <f t="shared" si="603"/>
        <v>0</v>
      </c>
      <c r="BC270" s="2">
        <f t="shared" si="603"/>
        <v>0</v>
      </c>
      <c r="BD270" s="2">
        <f t="shared" si="603"/>
        <v>0</v>
      </c>
      <c r="BE270" s="2">
        <f t="shared" si="603"/>
        <v>0</v>
      </c>
      <c r="BF270" s="2">
        <f t="shared" si="603"/>
        <v>0</v>
      </c>
      <c r="BG270" s="2">
        <f t="shared" si="603"/>
        <v>0</v>
      </c>
      <c r="BH270" s="2">
        <f t="shared" si="603"/>
        <v>0</v>
      </c>
      <c r="BI270" s="2">
        <f t="shared" si="603"/>
        <v>0</v>
      </c>
      <c r="BJ270" s="2">
        <f t="shared" si="603"/>
        <v>0</v>
      </c>
      <c r="BN270" s="2">
        <f>IF(BN269=1, IF(BN202&lt;0.3, 1, 0), 0)</f>
        <v>0</v>
      </c>
    </row>
    <row r="271" spans="1:66">
      <c r="A271" s="37" t="s">
        <v>139</v>
      </c>
      <c r="B271" s="54">
        <f t="shared" ref="B271:T271" si="604">IF(B270=1, IF(B199&gt;0.5, 61, 62), 0)</f>
        <v>0</v>
      </c>
      <c r="C271" s="2">
        <f t="shared" si="604"/>
        <v>0</v>
      </c>
      <c r="D271" s="2">
        <f t="shared" si="604"/>
        <v>0</v>
      </c>
      <c r="E271" s="2">
        <f t="shared" si="604"/>
        <v>0</v>
      </c>
      <c r="F271" s="2">
        <f t="shared" si="604"/>
        <v>0</v>
      </c>
      <c r="G271" s="2">
        <f t="shared" si="604"/>
        <v>0</v>
      </c>
      <c r="H271" s="2">
        <f t="shared" si="604"/>
        <v>0</v>
      </c>
      <c r="I271" s="2">
        <f t="shared" si="604"/>
        <v>0</v>
      </c>
      <c r="J271" s="2">
        <f t="shared" si="604"/>
        <v>0</v>
      </c>
      <c r="K271" s="54">
        <f t="shared" si="604"/>
        <v>0</v>
      </c>
      <c r="L271" s="2">
        <f t="shared" si="604"/>
        <v>0</v>
      </c>
      <c r="M271" s="2">
        <f t="shared" si="604"/>
        <v>0</v>
      </c>
      <c r="N271" s="2">
        <f t="shared" si="604"/>
        <v>0</v>
      </c>
      <c r="O271" s="2">
        <f t="shared" si="604"/>
        <v>0</v>
      </c>
      <c r="P271" s="2">
        <f t="shared" si="604"/>
        <v>0</v>
      </c>
      <c r="Q271" s="2">
        <f t="shared" si="604"/>
        <v>0</v>
      </c>
      <c r="R271" s="2">
        <f t="shared" si="604"/>
        <v>0</v>
      </c>
      <c r="S271" s="2">
        <f t="shared" si="604"/>
        <v>0</v>
      </c>
      <c r="T271" s="2">
        <f t="shared" si="604"/>
        <v>0</v>
      </c>
      <c r="U271" s="2">
        <f t="shared" ref="U271:AI271" si="605">IF(U270=1, IF(U199&gt;0.5, 61, 62), 0)</f>
        <v>0</v>
      </c>
      <c r="V271" s="2">
        <f t="shared" si="605"/>
        <v>0</v>
      </c>
      <c r="W271" s="2">
        <f t="shared" si="605"/>
        <v>0</v>
      </c>
      <c r="X271" s="2">
        <f t="shared" si="605"/>
        <v>0</v>
      </c>
      <c r="Y271" s="2">
        <f t="shared" si="605"/>
        <v>0</v>
      </c>
      <c r="Z271" s="2">
        <f t="shared" si="605"/>
        <v>0</v>
      </c>
      <c r="AA271" s="2">
        <f t="shared" si="605"/>
        <v>0</v>
      </c>
      <c r="AB271" s="2">
        <f t="shared" si="605"/>
        <v>0</v>
      </c>
      <c r="AC271" s="2">
        <f t="shared" si="605"/>
        <v>0</v>
      </c>
      <c r="AD271" s="2">
        <f t="shared" si="605"/>
        <v>0</v>
      </c>
      <c r="AE271" s="2">
        <f t="shared" si="605"/>
        <v>0</v>
      </c>
      <c r="AF271" s="2">
        <f t="shared" si="605"/>
        <v>0</v>
      </c>
      <c r="AG271" s="2">
        <f t="shared" si="605"/>
        <v>0</v>
      </c>
      <c r="AH271" s="2">
        <f t="shared" si="605"/>
        <v>0</v>
      </c>
      <c r="AI271" s="2">
        <f t="shared" si="605"/>
        <v>0</v>
      </c>
      <c r="AJ271" s="2">
        <f t="shared" ref="AJ271:BJ271" si="606">IF(AJ270=1, IF(AJ199&gt;0.5, 61, 62), 0)</f>
        <v>0</v>
      </c>
      <c r="AK271" s="2">
        <f t="shared" si="606"/>
        <v>0</v>
      </c>
      <c r="AL271" s="2">
        <f t="shared" si="606"/>
        <v>0</v>
      </c>
      <c r="AM271" s="2">
        <f t="shared" si="606"/>
        <v>0</v>
      </c>
      <c r="AN271" s="2">
        <f t="shared" si="606"/>
        <v>0</v>
      </c>
      <c r="AO271" s="2">
        <f t="shared" si="606"/>
        <v>0</v>
      </c>
      <c r="AP271" s="2">
        <f t="shared" si="606"/>
        <v>0</v>
      </c>
      <c r="AQ271" s="2">
        <f t="shared" si="606"/>
        <v>0</v>
      </c>
      <c r="AR271" s="2">
        <f t="shared" si="606"/>
        <v>0</v>
      </c>
      <c r="AS271" s="2">
        <f t="shared" si="606"/>
        <v>0</v>
      </c>
      <c r="AT271" s="2">
        <f t="shared" si="606"/>
        <v>0</v>
      </c>
      <c r="AU271" s="2">
        <f t="shared" si="606"/>
        <v>0</v>
      </c>
      <c r="AV271" s="2">
        <f t="shared" si="606"/>
        <v>0</v>
      </c>
      <c r="AW271" s="2">
        <f t="shared" si="606"/>
        <v>0</v>
      </c>
      <c r="AX271" s="2">
        <f t="shared" si="606"/>
        <v>0</v>
      </c>
      <c r="AY271" s="2">
        <f t="shared" si="606"/>
        <v>0</v>
      </c>
      <c r="AZ271" s="2">
        <f t="shared" si="606"/>
        <v>0</v>
      </c>
      <c r="BA271" s="2">
        <f t="shared" si="606"/>
        <v>0</v>
      </c>
      <c r="BB271" s="2">
        <f t="shared" si="606"/>
        <v>0</v>
      </c>
      <c r="BC271" s="2">
        <f t="shared" si="606"/>
        <v>0</v>
      </c>
      <c r="BD271" s="2">
        <f t="shared" si="606"/>
        <v>0</v>
      </c>
      <c r="BE271" s="2">
        <f t="shared" si="606"/>
        <v>0</v>
      </c>
      <c r="BF271" s="2">
        <f t="shared" si="606"/>
        <v>0</v>
      </c>
      <c r="BG271" s="2">
        <f t="shared" si="606"/>
        <v>0</v>
      </c>
      <c r="BH271" s="2">
        <f t="shared" si="606"/>
        <v>0</v>
      </c>
      <c r="BI271" s="2">
        <f t="shared" si="606"/>
        <v>0</v>
      </c>
      <c r="BJ271" s="2">
        <f t="shared" si="606"/>
        <v>0</v>
      </c>
      <c r="BN271" s="2">
        <f>IF(BN270=1, IF(BN199&gt;0.5, 61, 62), 0)</f>
        <v>0</v>
      </c>
    </row>
    <row r="272" spans="1:66">
      <c r="A272" s="1" t="s">
        <v>140</v>
      </c>
      <c r="B272" s="54">
        <f t="shared" ref="B272:T272" si="607">IF(B269=1,IF(B202&gt;0.3,IF(B202&lt;=0.7,1,0),0),0)</f>
        <v>0</v>
      </c>
      <c r="C272" s="2">
        <f t="shared" si="607"/>
        <v>0</v>
      </c>
      <c r="D272" s="2">
        <f t="shared" si="607"/>
        <v>0</v>
      </c>
      <c r="E272" s="2">
        <f t="shared" si="607"/>
        <v>0</v>
      </c>
      <c r="F272" s="2">
        <f t="shared" si="607"/>
        <v>0</v>
      </c>
      <c r="G272" s="2">
        <f t="shared" si="607"/>
        <v>0</v>
      </c>
      <c r="H272" s="2">
        <f t="shared" si="607"/>
        <v>0</v>
      </c>
      <c r="I272" s="2">
        <f t="shared" si="607"/>
        <v>0</v>
      </c>
      <c r="J272" s="2">
        <f t="shared" si="607"/>
        <v>0</v>
      </c>
      <c r="K272" s="54">
        <f t="shared" si="607"/>
        <v>0</v>
      </c>
      <c r="L272" s="2">
        <f t="shared" si="607"/>
        <v>0</v>
      </c>
      <c r="M272" s="2">
        <f t="shared" si="607"/>
        <v>0</v>
      </c>
      <c r="N272" s="2">
        <f t="shared" si="607"/>
        <v>0</v>
      </c>
      <c r="O272" s="2">
        <f t="shared" si="607"/>
        <v>0</v>
      </c>
      <c r="P272" s="2">
        <f t="shared" si="607"/>
        <v>0</v>
      </c>
      <c r="Q272" s="2">
        <f t="shared" si="607"/>
        <v>0</v>
      </c>
      <c r="R272" s="2">
        <f t="shared" si="607"/>
        <v>0</v>
      </c>
      <c r="S272" s="2">
        <f t="shared" si="607"/>
        <v>0</v>
      </c>
      <c r="T272" s="2">
        <f t="shared" si="607"/>
        <v>0</v>
      </c>
      <c r="U272" s="2">
        <f t="shared" ref="U272:AI272" si="608">IF(U269=1,IF(U202&gt;0.3,IF(U202&lt;=0.7,1,0),0),0)</f>
        <v>0</v>
      </c>
      <c r="V272" s="2">
        <f t="shared" si="608"/>
        <v>0</v>
      </c>
      <c r="W272" s="2">
        <f t="shared" si="608"/>
        <v>0</v>
      </c>
      <c r="X272" s="2">
        <f t="shared" si="608"/>
        <v>0</v>
      </c>
      <c r="Y272" s="2">
        <f t="shared" si="608"/>
        <v>0</v>
      </c>
      <c r="Z272" s="2">
        <f t="shared" si="608"/>
        <v>0</v>
      </c>
      <c r="AA272" s="2">
        <f t="shared" si="608"/>
        <v>0</v>
      </c>
      <c r="AB272" s="2">
        <f t="shared" si="608"/>
        <v>0</v>
      </c>
      <c r="AC272" s="2">
        <f t="shared" si="608"/>
        <v>0</v>
      </c>
      <c r="AD272" s="2">
        <f t="shared" si="608"/>
        <v>0</v>
      </c>
      <c r="AE272" s="2">
        <f t="shared" si="608"/>
        <v>0</v>
      </c>
      <c r="AF272" s="2">
        <f t="shared" si="608"/>
        <v>0</v>
      </c>
      <c r="AG272" s="2">
        <f t="shared" si="608"/>
        <v>0</v>
      </c>
      <c r="AH272" s="2">
        <f t="shared" si="608"/>
        <v>0</v>
      </c>
      <c r="AI272" s="2">
        <f t="shared" si="608"/>
        <v>0</v>
      </c>
      <c r="AJ272" s="2">
        <f t="shared" ref="AJ272:BJ272" si="609">IF(AJ269=1,IF(AJ202&gt;0.3,IF(AJ202&lt;=0.7,1,0),0),0)</f>
        <v>0</v>
      </c>
      <c r="AK272" s="2">
        <f t="shared" si="609"/>
        <v>0</v>
      </c>
      <c r="AL272" s="2">
        <f t="shared" si="609"/>
        <v>0</v>
      </c>
      <c r="AM272" s="2">
        <f t="shared" si="609"/>
        <v>0</v>
      </c>
      <c r="AN272" s="2">
        <f t="shared" si="609"/>
        <v>0</v>
      </c>
      <c r="AO272" s="2">
        <f t="shared" si="609"/>
        <v>0</v>
      </c>
      <c r="AP272" s="2">
        <f t="shared" si="609"/>
        <v>0</v>
      </c>
      <c r="AQ272" s="2">
        <f t="shared" si="609"/>
        <v>0</v>
      </c>
      <c r="AR272" s="2">
        <f t="shared" si="609"/>
        <v>0</v>
      </c>
      <c r="AS272" s="2">
        <f t="shared" si="609"/>
        <v>0</v>
      </c>
      <c r="AT272" s="2">
        <f t="shared" si="609"/>
        <v>0</v>
      </c>
      <c r="AU272" s="2">
        <f t="shared" si="609"/>
        <v>0</v>
      </c>
      <c r="AV272" s="2">
        <f t="shared" si="609"/>
        <v>0</v>
      </c>
      <c r="AW272" s="2">
        <f t="shared" si="609"/>
        <v>0</v>
      </c>
      <c r="AX272" s="2">
        <f t="shared" si="609"/>
        <v>0</v>
      </c>
      <c r="AY272" s="2">
        <f t="shared" si="609"/>
        <v>0</v>
      </c>
      <c r="AZ272" s="2">
        <f t="shared" si="609"/>
        <v>0</v>
      </c>
      <c r="BA272" s="2">
        <f t="shared" si="609"/>
        <v>0</v>
      </c>
      <c r="BB272" s="2">
        <f t="shared" si="609"/>
        <v>0</v>
      </c>
      <c r="BC272" s="2">
        <f t="shared" si="609"/>
        <v>0</v>
      </c>
      <c r="BD272" s="2">
        <f t="shared" si="609"/>
        <v>0</v>
      </c>
      <c r="BE272" s="2">
        <f t="shared" si="609"/>
        <v>0</v>
      </c>
      <c r="BF272" s="2">
        <f t="shared" si="609"/>
        <v>0</v>
      </c>
      <c r="BG272" s="2">
        <f t="shared" si="609"/>
        <v>0</v>
      </c>
      <c r="BH272" s="2">
        <f t="shared" si="609"/>
        <v>0</v>
      </c>
      <c r="BI272" s="2">
        <f t="shared" si="609"/>
        <v>0</v>
      </c>
      <c r="BJ272" s="2">
        <f t="shared" si="609"/>
        <v>0</v>
      </c>
      <c r="BN272" s="2">
        <f>IF(BN269=1,IF(BN202&gt;0.3,IF(BN202&lt;=0.7,1,0),0),0)</f>
        <v>0</v>
      </c>
    </row>
    <row r="273" spans="1:66">
      <c r="A273" s="37" t="s">
        <v>141</v>
      </c>
      <c r="B273" s="54">
        <f t="shared" ref="B273:T273" si="610">IF(B272=1, 63, 0)</f>
        <v>0</v>
      </c>
      <c r="C273" s="2">
        <f t="shared" si="610"/>
        <v>0</v>
      </c>
      <c r="D273" s="2">
        <f t="shared" si="610"/>
        <v>0</v>
      </c>
      <c r="E273" s="2">
        <f t="shared" si="610"/>
        <v>0</v>
      </c>
      <c r="F273" s="2">
        <f t="shared" si="610"/>
        <v>0</v>
      </c>
      <c r="G273" s="2">
        <f t="shared" si="610"/>
        <v>0</v>
      </c>
      <c r="H273" s="2">
        <f t="shared" si="610"/>
        <v>0</v>
      </c>
      <c r="I273" s="2">
        <f t="shared" si="610"/>
        <v>0</v>
      </c>
      <c r="J273" s="2">
        <f t="shared" si="610"/>
        <v>0</v>
      </c>
      <c r="K273" s="54">
        <f t="shared" si="610"/>
        <v>0</v>
      </c>
      <c r="L273" s="2">
        <f t="shared" si="610"/>
        <v>0</v>
      </c>
      <c r="M273" s="2">
        <f t="shared" si="610"/>
        <v>0</v>
      </c>
      <c r="N273" s="2">
        <f t="shared" si="610"/>
        <v>0</v>
      </c>
      <c r="O273" s="2">
        <f t="shared" si="610"/>
        <v>0</v>
      </c>
      <c r="P273" s="2">
        <f t="shared" si="610"/>
        <v>0</v>
      </c>
      <c r="Q273" s="2">
        <f t="shared" si="610"/>
        <v>0</v>
      </c>
      <c r="R273" s="2">
        <f t="shared" si="610"/>
        <v>0</v>
      </c>
      <c r="S273" s="2">
        <f t="shared" si="610"/>
        <v>0</v>
      </c>
      <c r="T273" s="2">
        <f t="shared" si="610"/>
        <v>0</v>
      </c>
      <c r="U273" s="2">
        <f t="shared" ref="U273:AI273" si="611">IF(U272=1, 63, 0)</f>
        <v>0</v>
      </c>
      <c r="V273" s="2">
        <f t="shared" si="611"/>
        <v>0</v>
      </c>
      <c r="W273" s="2">
        <f t="shared" si="611"/>
        <v>0</v>
      </c>
      <c r="X273" s="2">
        <f t="shared" si="611"/>
        <v>0</v>
      </c>
      <c r="Y273" s="2">
        <f t="shared" si="611"/>
        <v>0</v>
      </c>
      <c r="Z273" s="2">
        <f t="shared" si="611"/>
        <v>0</v>
      </c>
      <c r="AA273" s="2">
        <f t="shared" si="611"/>
        <v>0</v>
      </c>
      <c r="AB273" s="2">
        <f t="shared" si="611"/>
        <v>0</v>
      </c>
      <c r="AC273" s="2">
        <f t="shared" si="611"/>
        <v>0</v>
      </c>
      <c r="AD273" s="2">
        <f t="shared" si="611"/>
        <v>0</v>
      </c>
      <c r="AE273" s="2">
        <f t="shared" si="611"/>
        <v>0</v>
      </c>
      <c r="AF273" s="2">
        <f t="shared" si="611"/>
        <v>0</v>
      </c>
      <c r="AG273" s="2">
        <f t="shared" si="611"/>
        <v>0</v>
      </c>
      <c r="AH273" s="2">
        <f t="shared" si="611"/>
        <v>0</v>
      </c>
      <c r="AI273" s="2">
        <f t="shared" si="611"/>
        <v>0</v>
      </c>
      <c r="AJ273" s="2">
        <f t="shared" ref="AJ273:BJ273" si="612">IF(AJ272=1, 63, 0)</f>
        <v>0</v>
      </c>
      <c r="AK273" s="2">
        <f t="shared" si="612"/>
        <v>0</v>
      </c>
      <c r="AL273" s="2">
        <f t="shared" si="612"/>
        <v>0</v>
      </c>
      <c r="AM273" s="2">
        <f t="shared" si="612"/>
        <v>0</v>
      </c>
      <c r="AN273" s="2">
        <f t="shared" si="612"/>
        <v>0</v>
      </c>
      <c r="AO273" s="2">
        <f t="shared" si="612"/>
        <v>0</v>
      </c>
      <c r="AP273" s="2">
        <f t="shared" si="612"/>
        <v>0</v>
      </c>
      <c r="AQ273" s="2">
        <f t="shared" si="612"/>
        <v>0</v>
      </c>
      <c r="AR273" s="2">
        <f t="shared" si="612"/>
        <v>0</v>
      </c>
      <c r="AS273" s="2">
        <f t="shared" si="612"/>
        <v>0</v>
      </c>
      <c r="AT273" s="2">
        <f t="shared" si="612"/>
        <v>0</v>
      </c>
      <c r="AU273" s="2">
        <f t="shared" si="612"/>
        <v>0</v>
      </c>
      <c r="AV273" s="2">
        <f t="shared" si="612"/>
        <v>0</v>
      </c>
      <c r="AW273" s="2">
        <f t="shared" si="612"/>
        <v>0</v>
      </c>
      <c r="AX273" s="2">
        <f t="shared" si="612"/>
        <v>0</v>
      </c>
      <c r="AY273" s="2">
        <f t="shared" si="612"/>
        <v>0</v>
      </c>
      <c r="AZ273" s="2">
        <f t="shared" si="612"/>
        <v>0</v>
      </c>
      <c r="BA273" s="2">
        <f t="shared" si="612"/>
        <v>0</v>
      </c>
      <c r="BB273" s="2">
        <f t="shared" si="612"/>
        <v>0</v>
      </c>
      <c r="BC273" s="2">
        <f t="shared" si="612"/>
        <v>0</v>
      </c>
      <c r="BD273" s="2">
        <f t="shared" si="612"/>
        <v>0</v>
      </c>
      <c r="BE273" s="2">
        <f t="shared" si="612"/>
        <v>0</v>
      </c>
      <c r="BF273" s="2">
        <f t="shared" si="612"/>
        <v>0</v>
      </c>
      <c r="BG273" s="2">
        <f t="shared" si="612"/>
        <v>0</v>
      </c>
      <c r="BH273" s="2">
        <f t="shared" si="612"/>
        <v>0</v>
      </c>
      <c r="BI273" s="2">
        <f t="shared" si="612"/>
        <v>0</v>
      </c>
      <c r="BJ273" s="2">
        <f t="shared" si="612"/>
        <v>0</v>
      </c>
      <c r="BN273" s="2">
        <f>IF(BN272=1, 63, 0)</f>
        <v>0</v>
      </c>
    </row>
    <row r="274" spans="1:66">
      <c r="A274" s="1" t="s">
        <v>142</v>
      </c>
      <c r="B274" s="54">
        <f t="shared" ref="B274:T274" si="613">IF(B269=1, IF(B202&gt;=0.7, 1, 0), 0)</f>
        <v>0</v>
      </c>
      <c r="C274" s="2">
        <f t="shared" si="613"/>
        <v>0</v>
      </c>
      <c r="D274" s="2">
        <f t="shared" si="613"/>
        <v>0</v>
      </c>
      <c r="E274" s="2">
        <f t="shared" si="613"/>
        <v>0</v>
      </c>
      <c r="F274" s="2">
        <f t="shared" si="613"/>
        <v>0</v>
      </c>
      <c r="G274" s="2">
        <f t="shared" si="613"/>
        <v>0</v>
      </c>
      <c r="H274" s="2">
        <f t="shared" si="613"/>
        <v>0</v>
      </c>
      <c r="I274" s="2">
        <f t="shared" si="613"/>
        <v>0</v>
      </c>
      <c r="J274" s="2">
        <f t="shared" si="613"/>
        <v>0</v>
      </c>
      <c r="K274" s="54">
        <f t="shared" si="613"/>
        <v>0</v>
      </c>
      <c r="L274" s="2">
        <f t="shared" si="613"/>
        <v>0</v>
      </c>
      <c r="M274" s="2">
        <f t="shared" si="613"/>
        <v>0</v>
      </c>
      <c r="N274" s="2">
        <f t="shared" si="613"/>
        <v>0</v>
      </c>
      <c r="O274" s="2">
        <f t="shared" si="613"/>
        <v>0</v>
      </c>
      <c r="P274" s="2">
        <f t="shared" si="613"/>
        <v>0</v>
      </c>
      <c r="Q274" s="2">
        <f t="shared" si="613"/>
        <v>0</v>
      </c>
      <c r="R274" s="2">
        <f t="shared" si="613"/>
        <v>0</v>
      </c>
      <c r="S274" s="2">
        <f t="shared" si="613"/>
        <v>0</v>
      </c>
      <c r="T274" s="2">
        <f t="shared" si="613"/>
        <v>0</v>
      </c>
      <c r="U274" s="2">
        <f t="shared" ref="U274:AI274" si="614">IF(U269=1, IF(U202&gt;=0.7, 1, 0), 0)</f>
        <v>0</v>
      </c>
      <c r="V274" s="2">
        <f t="shared" si="614"/>
        <v>0</v>
      </c>
      <c r="W274" s="2">
        <f t="shared" si="614"/>
        <v>0</v>
      </c>
      <c r="X274" s="2">
        <f t="shared" si="614"/>
        <v>0</v>
      </c>
      <c r="Y274" s="2">
        <f t="shared" si="614"/>
        <v>0</v>
      </c>
      <c r="Z274" s="2">
        <f t="shared" si="614"/>
        <v>0</v>
      </c>
      <c r="AA274" s="2">
        <f t="shared" si="614"/>
        <v>0</v>
      </c>
      <c r="AB274" s="2">
        <f t="shared" si="614"/>
        <v>0</v>
      </c>
      <c r="AC274" s="2">
        <f t="shared" si="614"/>
        <v>0</v>
      </c>
      <c r="AD274" s="2">
        <f t="shared" si="614"/>
        <v>0</v>
      </c>
      <c r="AE274" s="2">
        <f t="shared" si="614"/>
        <v>0</v>
      </c>
      <c r="AF274" s="2">
        <f t="shared" si="614"/>
        <v>0</v>
      </c>
      <c r="AG274" s="2">
        <f t="shared" si="614"/>
        <v>0</v>
      </c>
      <c r="AH274" s="2">
        <f t="shared" si="614"/>
        <v>0</v>
      </c>
      <c r="AI274" s="2">
        <f t="shared" si="614"/>
        <v>0</v>
      </c>
      <c r="AJ274" s="2">
        <f t="shared" ref="AJ274:BJ274" si="615">IF(AJ269=1, IF(AJ202&gt;=0.7, 1, 0), 0)</f>
        <v>0</v>
      </c>
      <c r="AK274" s="2">
        <f t="shared" si="615"/>
        <v>0</v>
      </c>
      <c r="AL274" s="2">
        <f t="shared" si="615"/>
        <v>0</v>
      </c>
      <c r="AM274" s="2">
        <f t="shared" si="615"/>
        <v>0</v>
      </c>
      <c r="AN274" s="2">
        <f t="shared" si="615"/>
        <v>0</v>
      </c>
      <c r="AO274" s="2">
        <f t="shared" si="615"/>
        <v>0</v>
      </c>
      <c r="AP274" s="2">
        <f t="shared" si="615"/>
        <v>0</v>
      </c>
      <c r="AQ274" s="2">
        <f t="shared" si="615"/>
        <v>0</v>
      </c>
      <c r="AR274" s="2">
        <f t="shared" si="615"/>
        <v>0</v>
      </c>
      <c r="AS274" s="2">
        <f t="shared" si="615"/>
        <v>0</v>
      </c>
      <c r="AT274" s="2">
        <f t="shared" si="615"/>
        <v>0</v>
      </c>
      <c r="AU274" s="2">
        <f t="shared" si="615"/>
        <v>0</v>
      </c>
      <c r="AV274" s="2">
        <f t="shared" si="615"/>
        <v>0</v>
      </c>
      <c r="AW274" s="2">
        <f t="shared" si="615"/>
        <v>0</v>
      </c>
      <c r="AX274" s="2">
        <f t="shared" si="615"/>
        <v>0</v>
      </c>
      <c r="AY274" s="2">
        <f t="shared" si="615"/>
        <v>0</v>
      </c>
      <c r="AZ274" s="2">
        <f t="shared" si="615"/>
        <v>0</v>
      </c>
      <c r="BA274" s="2">
        <f t="shared" si="615"/>
        <v>0</v>
      </c>
      <c r="BB274" s="2">
        <f t="shared" si="615"/>
        <v>0</v>
      </c>
      <c r="BC274" s="2">
        <f t="shared" si="615"/>
        <v>0</v>
      </c>
      <c r="BD274" s="2">
        <f t="shared" si="615"/>
        <v>0</v>
      </c>
      <c r="BE274" s="2">
        <f t="shared" si="615"/>
        <v>0</v>
      </c>
      <c r="BF274" s="2">
        <f t="shared" si="615"/>
        <v>0</v>
      </c>
      <c r="BG274" s="2">
        <f t="shared" si="615"/>
        <v>0</v>
      </c>
      <c r="BH274" s="2">
        <f t="shared" si="615"/>
        <v>0</v>
      </c>
      <c r="BI274" s="2">
        <f t="shared" si="615"/>
        <v>0</v>
      </c>
      <c r="BJ274" s="2">
        <f t="shared" si="615"/>
        <v>0</v>
      </c>
      <c r="BN274" s="2">
        <f>IF(BN269=1, IF(BN202&gt;=0.7, 1, 0), 0)</f>
        <v>0</v>
      </c>
    </row>
    <row r="275" spans="1:66">
      <c r="A275" s="37" t="s">
        <v>143</v>
      </c>
      <c r="B275" s="54">
        <f t="shared" ref="B275:T275" si="616">IF(B274=1, IF(B199&gt;0.5, 64, 65), 0)</f>
        <v>0</v>
      </c>
      <c r="C275" s="2">
        <f t="shared" si="616"/>
        <v>0</v>
      </c>
      <c r="D275" s="2">
        <f t="shared" si="616"/>
        <v>0</v>
      </c>
      <c r="E275" s="2">
        <f t="shared" si="616"/>
        <v>0</v>
      </c>
      <c r="F275" s="2">
        <f t="shared" si="616"/>
        <v>0</v>
      </c>
      <c r="G275" s="2">
        <f t="shared" si="616"/>
        <v>0</v>
      </c>
      <c r="H275" s="2">
        <f t="shared" si="616"/>
        <v>0</v>
      </c>
      <c r="I275" s="2">
        <f t="shared" si="616"/>
        <v>0</v>
      </c>
      <c r="J275" s="2">
        <f t="shared" si="616"/>
        <v>0</v>
      </c>
      <c r="K275" s="54">
        <f t="shared" si="616"/>
        <v>0</v>
      </c>
      <c r="L275" s="2">
        <f t="shared" si="616"/>
        <v>0</v>
      </c>
      <c r="M275" s="2">
        <f t="shared" si="616"/>
        <v>0</v>
      </c>
      <c r="N275" s="2">
        <f t="shared" si="616"/>
        <v>0</v>
      </c>
      <c r="O275" s="2">
        <f t="shared" si="616"/>
        <v>0</v>
      </c>
      <c r="P275" s="2">
        <f t="shared" si="616"/>
        <v>0</v>
      </c>
      <c r="Q275" s="2">
        <f t="shared" si="616"/>
        <v>0</v>
      </c>
      <c r="R275" s="2">
        <f t="shared" si="616"/>
        <v>0</v>
      </c>
      <c r="S275" s="2">
        <f t="shared" si="616"/>
        <v>0</v>
      </c>
      <c r="T275" s="2">
        <f t="shared" si="616"/>
        <v>0</v>
      </c>
      <c r="U275" s="2">
        <f t="shared" ref="U275:AI275" si="617">IF(U274=1, IF(U199&gt;0.5, 64, 65), 0)</f>
        <v>0</v>
      </c>
      <c r="V275" s="2">
        <f t="shared" si="617"/>
        <v>0</v>
      </c>
      <c r="W275" s="2">
        <f t="shared" si="617"/>
        <v>0</v>
      </c>
      <c r="X275" s="2">
        <f t="shared" si="617"/>
        <v>0</v>
      </c>
      <c r="Y275" s="2">
        <f t="shared" si="617"/>
        <v>0</v>
      </c>
      <c r="Z275" s="2">
        <f t="shared" si="617"/>
        <v>0</v>
      </c>
      <c r="AA275" s="2">
        <f t="shared" si="617"/>
        <v>0</v>
      </c>
      <c r="AB275" s="2">
        <f t="shared" si="617"/>
        <v>0</v>
      </c>
      <c r="AC275" s="2">
        <f t="shared" si="617"/>
        <v>0</v>
      </c>
      <c r="AD275" s="2">
        <f t="shared" si="617"/>
        <v>0</v>
      </c>
      <c r="AE275" s="2">
        <f t="shared" si="617"/>
        <v>0</v>
      </c>
      <c r="AF275" s="2">
        <f t="shared" si="617"/>
        <v>0</v>
      </c>
      <c r="AG275" s="2">
        <f t="shared" si="617"/>
        <v>0</v>
      </c>
      <c r="AH275" s="2">
        <f t="shared" si="617"/>
        <v>0</v>
      </c>
      <c r="AI275" s="2">
        <f t="shared" si="617"/>
        <v>0</v>
      </c>
      <c r="AJ275" s="2">
        <f t="shared" ref="AJ275:BJ275" si="618">IF(AJ274=1, IF(AJ199&gt;0.5, 64, 65), 0)</f>
        <v>0</v>
      </c>
      <c r="AK275" s="2">
        <f t="shared" si="618"/>
        <v>0</v>
      </c>
      <c r="AL275" s="2">
        <f t="shared" si="618"/>
        <v>0</v>
      </c>
      <c r="AM275" s="2">
        <f t="shared" si="618"/>
        <v>0</v>
      </c>
      <c r="AN275" s="2">
        <f t="shared" si="618"/>
        <v>0</v>
      </c>
      <c r="AO275" s="2">
        <f t="shared" si="618"/>
        <v>0</v>
      </c>
      <c r="AP275" s="2">
        <f t="shared" si="618"/>
        <v>0</v>
      </c>
      <c r="AQ275" s="2">
        <f t="shared" si="618"/>
        <v>0</v>
      </c>
      <c r="AR275" s="2">
        <f t="shared" si="618"/>
        <v>0</v>
      </c>
      <c r="AS275" s="2">
        <f t="shared" si="618"/>
        <v>0</v>
      </c>
      <c r="AT275" s="2">
        <f t="shared" si="618"/>
        <v>0</v>
      </c>
      <c r="AU275" s="2">
        <f t="shared" si="618"/>
        <v>0</v>
      </c>
      <c r="AV275" s="2">
        <f t="shared" si="618"/>
        <v>0</v>
      </c>
      <c r="AW275" s="2">
        <f t="shared" si="618"/>
        <v>0</v>
      </c>
      <c r="AX275" s="2">
        <f t="shared" si="618"/>
        <v>0</v>
      </c>
      <c r="AY275" s="2">
        <f t="shared" si="618"/>
        <v>0</v>
      </c>
      <c r="AZ275" s="2">
        <f t="shared" si="618"/>
        <v>0</v>
      </c>
      <c r="BA275" s="2">
        <f t="shared" si="618"/>
        <v>0</v>
      </c>
      <c r="BB275" s="2">
        <f t="shared" si="618"/>
        <v>0</v>
      </c>
      <c r="BC275" s="2">
        <f t="shared" si="618"/>
        <v>0</v>
      </c>
      <c r="BD275" s="2">
        <f t="shared" si="618"/>
        <v>0</v>
      </c>
      <c r="BE275" s="2">
        <f t="shared" si="618"/>
        <v>0</v>
      </c>
      <c r="BF275" s="2">
        <f t="shared" si="618"/>
        <v>0</v>
      </c>
      <c r="BG275" s="2">
        <f t="shared" si="618"/>
        <v>0</v>
      </c>
      <c r="BH275" s="2">
        <f t="shared" si="618"/>
        <v>0</v>
      </c>
      <c r="BI275" s="2">
        <f t="shared" si="618"/>
        <v>0</v>
      </c>
      <c r="BJ275" s="2">
        <f t="shared" si="618"/>
        <v>0</v>
      </c>
      <c r="BN275" s="2">
        <f>IF(BN274=1, IF(BN199&gt;0.5, 64, 65), 0)</f>
        <v>0</v>
      </c>
    </row>
    <row r="277" spans="1:66">
      <c r="A277" s="1" t="s">
        <v>144</v>
      </c>
      <c r="B277" s="60">
        <f t="shared" ref="B277:T277" si="619">SUM(B206+B208+B212+B215+B217+B219+B221+B223+B227+B229+B231+B233+B235+B239+B241+B243+B245+B252+B254+B257+B259+B261+B266+B268+B271+B273+B275)</f>
        <v>17</v>
      </c>
      <c r="C277" s="3">
        <f t="shared" si="619"/>
        <v>17</v>
      </c>
      <c r="D277" s="3">
        <f t="shared" si="619"/>
        <v>17</v>
      </c>
      <c r="E277" s="3">
        <f t="shared" si="619"/>
        <v>17</v>
      </c>
      <c r="F277" s="3">
        <f t="shared" si="619"/>
        <v>17</v>
      </c>
      <c r="G277" s="3">
        <f t="shared" si="619"/>
        <v>17</v>
      </c>
      <c r="H277" s="3">
        <f t="shared" si="619"/>
        <v>17</v>
      </c>
      <c r="I277" s="3">
        <f t="shared" si="619"/>
        <v>17</v>
      </c>
      <c r="J277" s="3">
        <f t="shared" si="619"/>
        <v>17</v>
      </c>
      <c r="K277" s="60">
        <f t="shared" si="619"/>
        <v>17</v>
      </c>
      <c r="L277" s="3">
        <f t="shared" si="619"/>
        <v>17</v>
      </c>
      <c r="M277" s="3">
        <f t="shared" si="619"/>
        <v>17</v>
      </c>
      <c r="N277" s="3">
        <f t="shared" si="619"/>
        <v>25</v>
      </c>
      <c r="O277" s="3">
        <f t="shared" si="619"/>
        <v>17</v>
      </c>
      <c r="P277" s="3">
        <f t="shared" si="619"/>
        <v>27</v>
      </c>
      <c r="Q277" s="3">
        <f t="shared" si="619"/>
        <v>15</v>
      </c>
      <c r="R277" s="3">
        <f t="shared" si="619"/>
        <v>30</v>
      </c>
      <c r="S277" s="3">
        <f t="shared" si="619"/>
        <v>30</v>
      </c>
      <c r="T277" s="3">
        <f t="shared" si="619"/>
        <v>30</v>
      </c>
      <c r="U277" s="3">
        <f t="shared" ref="U277:AI277" si="620">SUM(U206+U208+U212+U215+U217+U219+U221+U223+U227+U229+U231+U233+U235+U239+U241+U243+U245+U252+U254+U257+U259+U261+U266+U268+U271+U273+U275)</f>
        <v>30</v>
      </c>
      <c r="V277" s="3">
        <f t="shared" si="620"/>
        <v>30</v>
      </c>
      <c r="W277" s="3">
        <f t="shared" si="620"/>
        <v>17</v>
      </c>
      <c r="X277" s="3">
        <f t="shared" si="620"/>
        <v>27</v>
      </c>
      <c r="Y277" s="3">
        <f t="shared" si="620"/>
        <v>21</v>
      </c>
      <c r="Z277" s="3">
        <f t="shared" si="620"/>
        <v>17</v>
      </c>
      <c r="AA277" s="3">
        <f t="shared" si="620"/>
        <v>17</v>
      </c>
      <c r="AB277" s="3">
        <f t="shared" si="620"/>
        <v>27</v>
      </c>
      <c r="AC277" s="3">
        <f t="shared" si="620"/>
        <v>30</v>
      </c>
      <c r="AD277" s="3">
        <f t="shared" si="620"/>
        <v>30</v>
      </c>
      <c r="AE277" s="3">
        <f t="shared" si="620"/>
        <v>30</v>
      </c>
      <c r="AF277" s="3">
        <f t="shared" si="620"/>
        <v>30</v>
      </c>
      <c r="AG277" s="3">
        <f t="shared" si="620"/>
        <v>30</v>
      </c>
      <c r="AH277" s="3">
        <f t="shared" si="620"/>
        <v>30</v>
      </c>
      <c r="AI277" s="3">
        <f t="shared" si="620"/>
        <v>30</v>
      </c>
      <c r="AJ277" s="3">
        <f t="shared" ref="AJ277:BJ277" si="621">SUM(AJ206+AJ208+AJ212+AJ215+AJ217+AJ219+AJ221+AJ223+AJ227+AJ229+AJ231+AJ233+AJ235+AJ239+AJ241+AJ243+AJ245+AJ252+AJ254+AJ257+AJ259+AJ261+AJ266+AJ268+AJ271+AJ273+AJ275)</f>
        <v>30</v>
      </c>
      <c r="AK277" s="3">
        <f t="shared" si="621"/>
        <v>27</v>
      </c>
      <c r="AL277" s="3">
        <f t="shared" si="621"/>
        <v>27</v>
      </c>
      <c r="AM277" s="3">
        <f t="shared" si="621"/>
        <v>27</v>
      </c>
      <c r="AN277" s="3">
        <f t="shared" si="621"/>
        <v>27</v>
      </c>
      <c r="AO277" s="3">
        <f t="shared" si="621"/>
        <v>27</v>
      </c>
      <c r="AP277" s="3">
        <f t="shared" si="621"/>
        <v>17</v>
      </c>
      <c r="AQ277" s="3">
        <f t="shared" si="621"/>
        <v>17</v>
      </c>
      <c r="AR277" s="3">
        <f t="shared" si="621"/>
        <v>17</v>
      </c>
      <c r="AS277" s="3">
        <f t="shared" si="621"/>
        <v>17</v>
      </c>
      <c r="AT277" s="3">
        <f t="shared" si="621"/>
        <v>17</v>
      </c>
      <c r="AU277" s="3">
        <f t="shared" si="621"/>
        <v>17</v>
      </c>
      <c r="AV277" s="3">
        <f t="shared" si="621"/>
        <v>18</v>
      </c>
      <c r="AW277" s="3">
        <f t="shared" si="621"/>
        <v>17</v>
      </c>
      <c r="AX277" s="3">
        <f t="shared" si="621"/>
        <v>18</v>
      </c>
      <c r="AY277" s="3">
        <f t="shared" si="621"/>
        <v>18</v>
      </c>
      <c r="AZ277" s="3">
        <f t="shared" si="621"/>
        <v>17</v>
      </c>
      <c r="BA277" s="3">
        <f t="shared" si="621"/>
        <v>30</v>
      </c>
      <c r="BB277" s="3">
        <f t="shared" si="621"/>
        <v>30</v>
      </c>
      <c r="BC277" s="3">
        <f t="shared" si="621"/>
        <v>30</v>
      </c>
      <c r="BD277" s="3">
        <f t="shared" si="621"/>
        <v>30</v>
      </c>
      <c r="BE277" s="3">
        <f t="shared" si="621"/>
        <v>30</v>
      </c>
      <c r="BF277" s="3">
        <f t="shared" si="621"/>
        <v>30</v>
      </c>
      <c r="BG277" s="3">
        <f t="shared" si="621"/>
        <v>30</v>
      </c>
      <c r="BH277" s="3">
        <f t="shared" si="621"/>
        <v>30</v>
      </c>
      <c r="BI277" s="3">
        <f t="shared" si="621"/>
        <v>30</v>
      </c>
      <c r="BJ277" s="3">
        <f t="shared" si="621"/>
        <v>30</v>
      </c>
      <c r="BK277" s="3"/>
      <c r="BL277" s="3"/>
      <c r="BM277" s="3"/>
      <c r="BN277" s="3">
        <f>SUM(BN206+BN208+BN212+BN215+BN217+BN219+BN221+BN223+BN227+BN229+BN231+BN233+BN235+BN239+BN241+BN243+BN245+BN252+BN254+BN257+BN259+BN261+BN266+BN268+BN271+BN273+BN275)</f>
        <v>17</v>
      </c>
    </row>
    <row r="278" spans="1:66">
      <c r="A278" s="1" t="s">
        <v>146</v>
      </c>
      <c r="B278" s="60">
        <f>VALUE(2)</f>
        <v>2</v>
      </c>
      <c r="C278" s="3">
        <f t="shared" ref="C278:BN278" si="622">VALUE(2)</f>
        <v>2</v>
      </c>
      <c r="D278" s="3">
        <f t="shared" si="622"/>
        <v>2</v>
      </c>
      <c r="E278" s="3">
        <f t="shared" si="622"/>
        <v>2</v>
      </c>
      <c r="F278" s="3">
        <f t="shared" si="622"/>
        <v>2</v>
      </c>
      <c r="G278" s="3">
        <f t="shared" si="622"/>
        <v>2</v>
      </c>
      <c r="H278" s="3">
        <f t="shared" si="622"/>
        <v>2</v>
      </c>
      <c r="I278" s="3">
        <f t="shared" si="622"/>
        <v>2</v>
      </c>
      <c r="J278" s="3">
        <f t="shared" si="622"/>
        <v>2</v>
      </c>
      <c r="K278" s="60">
        <f t="shared" si="622"/>
        <v>2</v>
      </c>
      <c r="L278" s="3">
        <f t="shared" si="622"/>
        <v>2</v>
      </c>
      <c r="M278" s="3">
        <f t="shared" si="622"/>
        <v>2</v>
      </c>
      <c r="N278" s="3">
        <f t="shared" si="622"/>
        <v>2</v>
      </c>
      <c r="O278" s="3">
        <f t="shared" si="622"/>
        <v>2</v>
      </c>
      <c r="P278" s="3">
        <f t="shared" si="622"/>
        <v>2</v>
      </c>
      <c r="Q278" s="3">
        <f t="shared" si="622"/>
        <v>2</v>
      </c>
      <c r="R278" s="3">
        <f t="shared" si="622"/>
        <v>2</v>
      </c>
      <c r="S278" s="3">
        <f t="shared" si="622"/>
        <v>2</v>
      </c>
      <c r="T278" s="3">
        <f t="shared" si="622"/>
        <v>2</v>
      </c>
      <c r="U278" s="3">
        <f t="shared" si="622"/>
        <v>2</v>
      </c>
      <c r="V278" s="3">
        <f t="shared" si="622"/>
        <v>2</v>
      </c>
      <c r="W278" s="3">
        <f t="shared" si="622"/>
        <v>2</v>
      </c>
      <c r="X278" s="3">
        <f t="shared" si="622"/>
        <v>2</v>
      </c>
      <c r="Y278" s="3">
        <f t="shared" si="622"/>
        <v>2</v>
      </c>
      <c r="Z278" s="3">
        <f t="shared" si="622"/>
        <v>2</v>
      </c>
      <c r="AA278" s="3">
        <f t="shared" si="622"/>
        <v>2</v>
      </c>
      <c r="AB278" s="3">
        <f t="shared" si="622"/>
        <v>2</v>
      </c>
      <c r="AC278" s="3">
        <f t="shared" si="622"/>
        <v>2</v>
      </c>
      <c r="AD278" s="3">
        <f t="shared" si="622"/>
        <v>2</v>
      </c>
      <c r="AE278" s="3">
        <f t="shared" si="622"/>
        <v>2</v>
      </c>
      <c r="AF278" s="3">
        <f t="shared" si="622"/>
        <v>2</v>
      </c>
      <c r="AG278" s="3">
        <f t="shared" si="622"/>
        <v>2</v>
      </c>
      <c r="AH278" s="3">
        <f t="shared" si="622"/>
        <v>2</v>
      </c>
      <c r="AI278" s="3">
        <f t="shared" si="622"/>
        <v>2</v>
      </c>
      <c r="AJ278" s="3">
        <f t="shared" si="622"/>
        <v>2</v>
      </c>
      <c r="AK278" s="3">
        <f t="shared" si="622"/>
        <v>2</v>
      </c>
      <c r="AL278" s="3">
        <f t="shared" si="622"/>
        <v>2</v>
      </c>
      <c r="AM278" s="3">
        <f t="shared" si="622"/>
        <v>2</v>
      </c>
      <c r="AN278" s="3">
        <f t="shared" si="622"/>
        <v>2</v>
      </c>
      <c r="AO278" s="3">
        <f t="shared" si="622"/>
        <v>2</v>
      </c>
      <c r="AP278" s="3">
        <f t="shared" si="622"/>
        <v>2</v>
      </c>
      <c r="AQ278" s="3">
        <f t="shared" si="622"/>
        <v>2</v>
      </c>
      <c r="AR278" s="3">
        <f t="shared" si="622"/>
        <v>2</v>
      </c>
      <c r="AS278" s="3">
        <f t="shared" si="622"/>
        <v>2</v>
      </c>
      <c r="AT278" s="3">
        <f t="shared" si="622"/>
        <v>2</v>
      </c>
      <c r="AU278" s="3">
        <f t="shared" si="622"/>
        <v>2</v>
      </c>
      <c r="AV278" s="3">
        <f t="shared" si="622"/>
        <v>2</v>
      </c>
      <c r="AW278" s="3">
        <f t="shared" si="622"/>
        <v>2</v>
      </c>
      <c r="AX278" s="3">
        <f t="shared" si="622"/>
        <v>2</v>
      </c>
      <c r="AY278" s="3">
        <f t="shared" si="622"/>
        <v>2</v>
      </c>
      <c r="AZ278" s="3">
        <f t="shared" si="622"/>
        <v>2</v>
      </c>
      <c r="BA278" s="3">
        <f t="shared" si="622"/>
        <v>2</v>
      </c>
      <c r="BB278" s="3">
        <f t="shared" si="622"/>
        <v>2</v>
      </c>
      <c r="BC278" s="3">
        <f t="shared" si="622"/>
        <v>2</v>
      </c>
      <c r="BD278" s="3">
        <f t="shared" si="622"/>
        <v>2</v>
      </c>
      <c r="BE278" s="3">
        <f t="shared" si="622"/>
        <v>2</v>
      </c>
      <c r="BF278" s="3">
        <f t="shared" si="622"/>
        <v>2</v>
      </c>
      <c r="BG278" s="3">
        <f t="shared" si="622"/>
        <v>2</v>
      </c>
      <c r="BH278" s="3">
        <f t="shared" si="622"/>
        <v>2</v>
      </c>
      <c r="BI278" s="3">
        <f t="shared" si="622"/>
        <v>2</v>
      </c>
      <c r="BJ278" s="3">
        <f t="shared" si="622"/>
        <v>2</v>
      </c>
      <c r="BK278" s="3"/>
      <c r="BL278" s="3"/>
      <c r="BM278" s="3"/>
      <c r="BN278" s="3">
        <f t="shared" si="622"/>
        <v>2</v>
      </c>
    </row>
    <row r="279" spans="1:66">
      <c r="A279" s="1" t="s">
        <v>145</v>
      </c>
      <c r="B279" s="54" t="str">
        <f t="shared" ref="B279:T279" si="623">ADDRESS(B277,B278,,,"AN")</f>
        <v>AN!$B$17</v>
      </c>
      <c r="C279" s="2" t="str">
        <f t="shared" si="623"/>
        <v>AN!$B$17</v>
      </c>
      <c r="D279" s="2" t="str">
        <f t="shared" si="623"/>
        <v>AN!$B$17</v>
      </c>
      <c r="E279" s="2" t="str">
        <f t="shared" si="623"/>
        <v>AN!$B$17</v>
      </c>
      <c r="F279" s="2" t="str">
        <f t="shared" si="623"/>
        <v>AN!$B$17</v>
      </c>
      <c r="G279" s="2" t="str">
        <f t="shared" si="623"/>
        <v>AN!$B$17</v>
      </c>
      <c r="H279" s="2" t="str">
        <f t="shared" si="623"/>
        <v>AN!$B$17</v>
      </c>
      <c r="I279" s="2" t="str">
        <f t="shared" si="623"/>
        <v>AN!$B$17</v>
      </c>
      <c r="J279" s="2" t="str">
        <f t="shared" si="623"/>
        <v>AN!$B$17</v>
      </c>
      <c r="K279" s="54" t="str">
        <f t="shared" si="623"/>
        <v>AN!$B$17</v>
      </c>
      <c r="L279" s="2" t="str">
        <f t="shared" si="623"/>
        <v>AN!$B$17</v>
      </c>
      <c r="M279" s="2" t="str">
        <f t="shared" si="623"/>
        <v>AN!$B$17</v>
      </c>
      <c r="N279" s="2" t="str">
        <f t="shared" si="623"/>
        <v>AN!$B$25</v>
      </c>
      <c r="O279" s="2" t="str">
        <f t="shared" si="623"/>
        <v>AN!$B$17</v>
      </c>
      <c r="P279" s="2" t="str">
        <f t="shared" si="623"/>
        <v>AN!$B$27</v>
      </c>
      <c r="Q279" s="2" t="str">
        <f t="shared" si="623"/>
        <v>AN!$B$15</v>
      </c>
      <c r="R279" s="2" t="str">
        <f t="shared" si="623"/>
        <v>AN!$B$30</v>
      </c>
      <c r="S279" s="2" t="str">
        <f t="shared" si="623"/>
        <v>AN!$B$30</v>
      </c>
      <c r="T279" s="2" t="str">
        <f t="shared" si="623"/>
        <v>AN!$B$30</v>
      </c>
      <c r="U279" s="2" t="str">
        <f t="shared" ref="U279:AI279" si="624">ADDRESS(U277,U278,,,"AN")</f>
        <v>AN!$B$30</v>
      </c>
      <c r="V279" s="2" t="str">
        <f t="shared" si="624"/>
        <v>AN!$B$30</v>
      </c>
      <c r="W279" s="2" t="str">
        <f t="shared" si="624"/>
        <v>AN!$B$17</v>
      </c>
      <c r="X279" s="2" t="str">
        <f t="shared" si="624"/>
        <v>AN!$B$27</v>
      </c>
      <c r="Y279" s="2" t="str">
        <f t="shared" si="624"/>
        <v>AN!$B$21</v>
      </c>
      <c r="Z279" s="2" t="str">
        <f t="shared" si="624"/>
        <v>AN!$B$17</v>
      </c>
      <c r="AA279" s="2" t="str">
        <f t="shared" si="624"/>
        <v>AN!$B$17</v>
      </c>
      <c r="AB279" s="2" t="str">
        <f t="shared" si="624"/>
        <v>AN!$B$27</v>
      </c>
      <c r="AC279" s="2" t="str">
        <f t="shared" si="624"/>
        <v>AN!$B$30</v>
      </c>
      <c r="AD279" s="2" t="str">
        <f t="shared" si="624"/>
        <v>AN!$B$30</v>
      </c>
      <c r="AE279" s="2" t="str">
        <f t="shared" si="624"/>
        <v>AN!$B$30</v>
      </c>
      <c r="AF279" s="2" t="str">
        <f t="shared" si="624"/>
        <v>AN!$B$30</v>
      </c>
      <c r="AG279" s="2" t="str">
        <f t="shared" si="624"/>
        <v>AN!$B$30</v>
      </c>
      <c r="AH279" s="2" t="str">
        <f t="shared" si="624"/>
        <v>AN!$B$30</v>
      </c>
      <c r="AI279" s="2" t="str">
        <f t="shared" si="624"/>
        <v>AN!$B$30</v>
      </c>
      <c r="AJ279" s="2" t="str">
        <f t="shared" ref="AJ279:BJ279" si="625">ADDRESS(AJ277,AJ278,,,"AN")</f>
        <v>AN!$B$30</v>
      </c>
      <c r="AK279" s="2" t="str">
        <f t="shared" si="625"/>
        <v>AN!$B$27</v>
      </c>
      <c r="AL279" s="2" t="str">
        <f t="shared" si="625"/>
        <v>AN!$B$27</v>
      </c>
      <c r="AM279" s="2" t="str">
        <f t="shared" si="625"/>
        <v>AN!$B$27</v>
      </c>
      <c r="AN279" s="2" t="str">
        <f t="shared" si="625"/>
        <v>AN!$B$27</v>
      </c>
      <c r="AO279" s="2" t="str">
        <f t="shared" si="625"/>
        <v>AN!$B$27</v>
      </c>
      <c r="AP279" s="2" t="str">
        <f t="shared" si="625"/>
        <v>AN!$B$17</v>
      </c>
      <c r="AQ279" s="2" t="str">
        <f t="shared" si="625"/>
        <v>AN!$B$17</v>
      </c>
      <c r="AR279" s="2" t="str">
        <f t="shared" si="625"/>
        <v>AN!$B$17</v>
      </c>
      <c r="AS279" s="2" t="str">
        <f t="shared" si="625"/>
        <v>AN!$B$17</v>
      </c>
      <c r="AT279" s="2" t="str">
        <f t="shared" si="625"/>
        <v>AN!$B$17</v>
      </c>
      <c r="AU279" s="2" t="str">
        <f t="shared" si="625"/>
        <v>AN!$B$17</v>
      </c>
      <c r="AV279" s="2" t="str">
        <f t="shared" si="625"/>
        <v>AN!$B$18</v>
      </c>
      <c r="AW279" s="2" t="str">
        <f t="shared" si="625"/>
        <v>AN!$B$17</v>
      </c>
      <c r="AX279" s="2" t="str">
        <f t="shared" si="625"/>
        <v>AN!$B$18</v>
      </c>
      <c r="AY279" s="2" t="str">
        <f t="shared" si="625"/>
        <v>AN!$B$18</v>
      </c>
      <c r="AZ279" s="2" t="str">
        <f t="shared" si="625"/>
        <v>AN!$B$17</v>
      </c>
      <c r="BA279" s="2" t="str">
        <f t="shared" si="625"/>
        <v>AN!$B$30</v>
      </c>
      <c r="BB279" s="2" t="str">
        <f t="shared" si="625"/>
        <v>AN!$B$30</v>
      </c>
      <c r="BC279" s="2" t="str">
        <f t="shared" si="625"/>
        <v>AN!$B$30</v>
      </c>
      <c r="BD279" s="2" t="str">
        <f t="shared" si="625"/>
        <v>AN!$B$30</v>
      </c>
      <c r="BE279" s="2" t="str">
        <f t="shared" si="625"/>
        <v>AN!$B$30</v>
      </c>
      <c r="BF279" s="2" t="str">
        <f t="shared" si="625"/>
        <v>AN!$B$30</v>
      </c>
      <c r="BG279" s="2" t="str">
        <f t="shared" si="625"/>
        <v>AN!$B$30</v>
      </c>
      <c r="BH279" s="2" t="str">
        <f t="shared" si="625"/>
        <v>AN!$B$30</v>
      </c>
      <c r="BI279" s="2" t="str">
        <f t="shared" si="625"/>
        <v>AN!$B$30</v>
      </c>
      <c r="BJ279" s="2" t="str">
        <f t="shared" si="625"/>
        <v>AN!$B$30</v>
      </c>
      <c r="BN279" s="2" t="str">
        <f>ADDRESS(BN277,BN278,,,"AN")</f>
        <v>AN!$B$17</v>
      </c>
    </row>
    <row r="280" spans="1:66">
      <c r="B280" s="61" t="str">
        <f t="shared" ref="B280:T280" ca="1" si="626">INDIRECT(B279)</f>
        <v xml:space="preserve">Magnesio-Hbl </v>
      </c>
      <c r="C280" s="40" t="str">
        <f t="shared" ca="1" si="626"/>
        <v xml:space="preserve">Magnesio-Hbl </v>
      </c>
      <c r="D280" s="40" t="str">
        <f t="shared" ca="1" si="626"/>
        <v xml:space="preserve">Magnesio-Hbl </v>
      </c>
      <c r="E280" s="40" t="str">
        <f t="shared" ca="1" si="626"/>
        <v xml:space="preserve">Magnesio-Hbl </v>
      </c>
      <c r="F280" s="40" t="str">
        <f t="shared" ca="1" si="626"/>
        <v xml:space="preserve">Magnesio-Hbl </v>
      </c>
      <c r="G280" s="40" t="str">
        <f t="shared" ca="1" si="626"/>
        <v xml:space="preserve">Magnesio-Hbl </v>
      </c>
      <c r="H280" s="40" t="str">
        <f t="shared" ca="1" si="626"/>
        <v xml:space="preserve">Magnesio-Hbl </v>
      </c>
      <c r="I280" s="40" t="str">
        <f t="shared" ca="1" si="626"/>
        <v xml:space="preserve">Magnesio-Hbl </v>
      </c>
      <c r="J280" s="40" t="str">
        <f t="shared" ca="1" si="626"/>
        <v xml:space="preserve">Magnesio-Hbl </v>
      </c>
      <c r="K280" s="61" t="str">
        <f t="shared" ca="1" si="626"/>
        <v xml:space="preserve">Magnesio-Hbl </v>
      </c>
      <c r="L280" s="40" t="str">
        <f t="shared" ca="1" si="626"/>
        <v xml:space="preserve">Magnesio-Hbl </v>
      </c>
      <c r="M280" s="40" t="str">
        <f t="shared" ca="1" si="626"/>
        <v xml:space="preserve">Magnesio-Hbl </v>
      </c>
      <c r="N280" s="40" t="str">
        <f t="shared" ca="1" si="626"/>
        <v>Edenite</v>
      </c>
      <c r="O280" s="40" t="str">
        <f t="shared" ca="1" si="626"/>
        <v xml:space="preserve">Magnesio-Hbl </v>
      </c>
      <c r="P280" s="40" t="str">
        <f t="shared" ca="1" si="626"/>
        <v>Edenitic Hbl</v>
      </c>
      <c r="Q280" s="40" t="str">
        <f t="shared" ca="1" si="626"/>
        <v>Actinolitic Hbl</v>
      </c>
      <c r="R280" s="40" t="str">
        <f t="shared" ca="1" si="626"/>
        <v>Ferroan Paragasitic Hbl</v>
      </c>
      <c r="S280" s="40" t="str">
        <f t="shared" ca="1" si="626"/>
        <v>Ferroan Paragasitic Hbl</v>
      </c>
      <c r="T280" s="40" t="str">
        <f t="shared" ca="1" si="626"/>
        <v>Ferroan Paragasitic Hbl</v>
      </c>
      <c r="U280" s="40" t="str">
        <f t="shared" ref="U280:AI280" ca="1" si="627">INDIRECT(U279)</f>
        <v>Ferroan Paragasitic Hbl</v>
      </c>
      <c r="V280" s="40" t="str">
        <f t="shared" ca="1" si="627"/>
        <v>Ferroan Paragasitic Hbl</v>
      </c>
      <c r="W280" s="40" t="str">
        <f t="shared" ca="1" si="627"/>
        <v xml:space="preserve">Magnesio-Hbl </v>
      </c>
      <c r="X280" s="40" t="str">
        <f t="shared" ca="1" si="627"/>
        <v>Edenitic Hbl</v>
      </c>
      <c r="Y280" s="40" t="str">
        <f t="shared" ca="1" si="627"/>
        <v>Tschermakite</v>
      </c>
      <c r="Z280" s="40" t="str">
        <f t="shared" ca="1" si="627"/>
        <v xml:space="preserve">Magnesio-Hbl </v>
      </c>
      <c r="AA280" s="40" t="str">
        <f t="shared" ca="1" si="627"/>
        <v xml:space="preserve">Magnesio-Hbl </v>
      </c>
      <c r="AB280" s="40" t="str">
        <f t="shared" ca="1" si="627"/>
        <v>Edenitic Hbl</v>
      </c>
      <c r="AC280" s="40" t="str">
        <f t="shared" ca="1" si="627"/>
        <v>Ferroan Paragasitic Hbl</v>
      </c>
      <c r="AD280" s="40" t="str">
        <f t="shared" ca="1" si="627"/>
        <v>Ferroan Paragasitic Hbl</v>
      </c>
      <c r="AE280" s="40" t="str">
        <f t="shared" ca="1" si="627"/>
        <v>Ferroan Paragasitic Hbl</v>
      </c>
      <c r="AF280" s="40" t="str">
        <f t="shared" ca="1" si="627"/>
        <v>Ferroan Paragasitic Hbl</v>
      </c>
      <c r="AG280" s="40" t="str">
        <f t="shared" ca="1" si="627"/>
        <v>Ferroan Paragasitic Hbl</v>
      </c>
      <c r="AH280" s="40" t="str">
        <f t="shared" ca="1" si="627"/>
        <v>Ferroan Paragasitic Hbl</v>
      </c>
      <c r="AI280" s="40" t="str">
        <f t="shared" ca="1" si="627"/>
        <v>Ferroan Paragasitic Hbl</v>
      </c>
      <c r="AJ280" s="40" t="str">
        <f t="shared" ref="AJ280:BJ280" ca="1" si="628">INDIRECT(AJ279)</f>
        <v>Ferroan Paragasitic Hbl</v>
      </c>
      <c r="AK280" s="40" t="str">
        <f t="shared" ca="1" si="628"/>
        <v>Edenitic Hbl</v>
      </c>
      <c r="AL280" s="40" t="str">
        <f t="shared" ca="1" si="628"/>
        <v>Edenitic Hbl</v>
      </c>
      <c r="AM280" s="40" t="str">
        <f t="shared" ca="1" si="628"/>
        <v>Edenitic Hbl</v>
      </c>
      <c r="AN280" s="40" t="str">
        <f t="shared" ca="1" si="628"/>
        <v>Edenitic Hbl</v>
      </c>
      <c r="AO280" s="40" t="str">
        <f t="shared" ca="1" si="628"/>
        <v>Edenitic Hbl</v>
      </c>
      <c r="AP280" s="40" t="str">
        <f t="shared" ca="1" si="628"/>
        <v xml:space="preserve">Magnesio-Hbl </v>
      </c>
      <c r="AQ280" s="40" t="str">
        <f t="shared" ca="1" si="628"/>
        <v xml:space="preserve">Magnesio-Hbl </v>
      </c>
      <c r="AR280" s="40" t="str">
        <f t="shared" ca="1" si="628"/>
        <v xml:space="preserve">Magnesio-Hbl </v>
      </c>
      <c r="AS280" s="40" t="str">
        <f t="shared" ca="1" si="628"/>
        <v xml:space="preserve">Magnesio-Hbl </v>
      </c>
      <c r="AT280" s="40" t="str">
        <f t="shared" ca="1" si="628"/>
        <v xml:space="preserve">Magnesio-Hbl </v>
      </c>
      <c r="AU280" s="40" t="str">
        <f t="shared" ca="1" si="628"/>
        <v xml:space="preserve">Magnesio-Hbl </v>
      </c>
      <c r="AV280" s="40" t="str">
        <f t="shared" ca="1" si="628"/>
        <v>Ferro-Hbl</v>
      </c>
      <c r="AW280" s="40" t="str">
        <f t="shared" ca="1" si="628"/>
        <v xml:space="preserve">Magnesio-Hbl </v>
      </c>
      <c r="AX280" s="40" t="str">
        <f t="shared" ca="1" si="628"/>
        <v>Ferro-Hbl</v>
      </c>
      <c r="AY280" s="40" t="str">
        <f t="shared" ca="1" si="628"/>
        <v>Ferro-Hbl</v>
      </c>
      <c r="AZ280" s="40" t="str">
        <f t="shared" ca="1" si="628"/>
        <v xml:space="preserve">Magnesio-Hbl </v>
      </c>
      <c r="BA280" s="40" t="str">
        <f t="shared" ca="1" si="628"/>
        <v>Ferroan Paragasitic Hbl</v>
      </c>
      <c r="BB280" s="40" t="str">
        <f t="shared" ca="1" si="628"/>
        <v>Ferroan Paragasitic Hbl</v>
      </c>
      <c r="BC280" s="40" t="str">
        <f t="shared" ca="1" si="628"/>
        <v>Ferroan Paragasitic Hbl</v>
      </c>
      <c r="BD280" s="40" t="str">
        <f t="shared" ca="1" si="628"/>
        <v>Ferroan Paragasitic Hbl</v>
      </c>
      <c r="BE280" s="40" t="str">
        <f t="shared" ca="1" si="628"/>
        <v>Ferroan Paragasitic Hbl</v>
      </c>
      <c r="BF280" s="40" t="str">
        <f t="shared" ca="1" si="628"/>
        <v>Ferroan Paragasitic Hbl</v>
      </c>
      <c r="BG280" s="40" t="str">
        <f t="shared" ca="1" si="628"/>
        <v>Ferroan Paragasitic Hbl</v>
      </c>
      <c r="BH280" s="40" t="str">
        <f t="shared" ca="1" si="628"/>
        <v>Ferroan Paragasitic Hbl</v>
      </c>
      <c r="BI280" s="40" t="str">
        <f t="shared" ca="1" si="628"/>
        <v>Ferroan Paragasitic Hbl</v>
      </c>
      <c r="BJ280" s="40" t="str">
        <f t="shared" ca="1" si="628"/>
        <v>Ferroan Paragasitic Hbl</v>
      </c>
      <c r="BK280" s="40"/>
      <c r="BL280" s="40"/>
      <c r="BM280" s="40"/>
      <c r="BN280" s="40" t="str">
        <f ca="1">INDIRECT(BN279)</f>
        <v xml:space="preserve">Magnesio-Hbl </v>
      </c>
    </row>
    <row r="281" spans="1:66">
      <c r="A281" s="1" t="s">
        <v>436</v>
      </c>
      <c r="B281" s="54" t="str">
        <f>B22</f>
        <v>YG182_test amph</v>
      </c>
      <c r="C281" s="54" t="str">
        <f t="shared" ref="C281:BJ281" si="629">C22</f>
        <v>YG182_1_AmphC</v>
      </c>
      <c r="D281" s="54" t="str">
        <f t="shared" si="629"/>
        <v>YG182_1_AmphB</v>
      </c>
      <c r="E281" s="54" t="str">
        <f t="shared" si="629"/>
        <v>YG182_1_AmphB</v>
      </c>
      <c r="F281" s="54" t="str">
        <f t="shared" si="629"/>
        <v>YG182_2_AmphC</v>
      </c>
      <c r="G281" s="54" t="str">
        <f t="shared" si="629"/>
        <v>YG182_2_AmphB</v>
      </c>
      <c r="H281" s="54" t="str">
        <f t="shared" si="629"/>
        <v>YG182_2_AmphC</v>
      </c>
      <c r="I281" s="54" t="str">
        <f t="shared" si="629"/>
        <v>YG182_2_AmphB</v>
      </c>
      <c r="J281" s="54" t="str">
        <f t="shared" si="629"/>
        <v>YG182_3_AmphC</v>
      </c>
      <c r="K281" s="54" t="str">
        <f t="shared" si="629"/>
        <v>YG182_3_AmphB</v>
      </c>
      <c r="L281" s="54" t="str">
        <f t="shared" si="629"/>
        <v>YG182_3_AmphB</v>
      </c>
      <c r="M281" s="54" t="str">
        <f t="shared" si="629"/>
        <v>YG182_4_AmpC</v>
      </c>
      <c r="N281" s="54" t="str">
        <f t="shared" si="629"/>
        <v>YG182_4_AmpC</v>
      </c>
      <c r="O281" s="54" t="str">
        <f t="shared" si="629"/>
        <v>YG182_4_AmpB</v>
      </c>
      <c r="P281" s="54" t="str">
        <f t="shared" si="629"/>
        <v>19NC11C_1_AmphC</v>
      </c>
      <c r="Q281" s="54" t="str">
        <f t="shared" si="629"/>
        <v>19NC11C_1_AmphB</v>
      </c>
      <c r="R281" s="54" t="str">
        <f t="shared" si="629"/>
        <v>19NC11C_2_AmphC</v>
      </c>
      <c r="S281" s="54" t="str">
        <f t="shared" si="629"/>
        <v>19NC11C_2_AmphB</v>
      </c>
      <c r="T281" s="54" t="str">
        <f t="shared" si="629"/>
        <v>19NC11C_2_AmphB</v>
      </c>
      <c r="U281" s="54" t="str">
        <f t="shared" si="629"/>
        <v>19NC11C_2_AmpB</v>
      </c>
      <c r="V281" s="54" t="str">
        <f t="shared" si="629"/>
        <v>19NC11C_2_AmpC</v>
      </c>
      <c r="W281" s="54" t="str">
        <f t="shared" si="629"/>
        <v>19NC11C_3_AmphC</v>
      </c>
      <c r="X281" s="54" t="str">
        <f t="shared" si="629"/>
        <v>19NC11C_3_AmphB</v>
      </c>
      <c r="Y281" s="54" t="str">
        <f t="shared" si="629"/>
        <v>19NC11C_4_AmphC</v>
      </c>
      <c r="Z281" s="54" t="str">
        <f t="shared" si="629"/>
        <v>19NC11C_4_AmphB</v>
      </c>
      <c r="AA281" s="54" t="str">
        <f t="shared" si="629"/>
        <v>SL59_1_AmphC</v>
      </c>
      <c r="AB281" s="54" t="str">
        <f t="shared" si="629"/>
        <v>SL59_1_AmphB</v>
      </c>
      <c r="AC281" s="54" t="str">
        <f t="shared" si="629"/>
        <v>SL59_2_AmphC</v>
      </c>
      <c r="AD281" s="54" t="str">
        <f t="shared" si="629"/>
        <v>SL59_2_AmphB</v>
      </c>
      <c r="AE281" s="54" t="str">
        <f t="shared" si="629"/>
        <v>SL59_3_AmphC</v>
      </c>
      <c r="AF281" s="54" t="str">
        <f t="shared" si="629"/>
        <v>SL59_3_AmphB</v>
      </c>
      <c r="AG281" s="54" t="str">
        <f t="shared" si="629"/>
        <v>SL59_4_AmphC</v>
      </c>
      <c r="AH281" s="54" t="str">
        <f t="shared" si="629"/>
        <v>SL59_4_AmphB</v>
      </c>
      <c r="AI281" s="54" t="str">
        <f t="shared" si="629"/>
        <v>SL59_4_AmphC</v>
      </c>
      <c r="AJ281" s="54" t="str">
        <f t="shared" si="629"/>
        <v>SL59_4_AmphB</v>
      </c>
      <c r="AK281" s="54" t="str">
        <f t="shared" si="629"/>
        <v>19NC6D_4_AmphC</v>
      </c>
      <c r="AL281" s="54" t="str">
        <f t="shared" si="629"/>
        <v>19NC6D_4_AmphC</v>
      </c>
      <c r="AM281" s="54" t="str">
        <f t="shared" si="629"/>
        <v>19NC6D_3_AmphC</v>
      </c>
      <c r="AN281" s="54" t="str">
        <f t="shared" si="629"/>
        <v>19NC6D_3_AmphB</v>
      </c>
      <c r="AO281" s="54" t="str">
        <f t="shared" si="629"/>
        <v>19NC6D_3_AmphC</v>
      </c>
      <c r="AP281" s="54" t="str">
        <f t="shared" si="629"/>
        <v>YG41_1_AmphC</v>
      </c>
      <c r="AQ281" s="54" t="str">
        <f t="shared" si="629"/>
        <v>YG41_1_AmphB</v>
      </c>
      <c r="AR281" s="54" t="str">
        <f t="shared" si="629"/>
        <v>YG41_1_AmphC</v>
      </c>
      <c r="AS281" s="54" t="str">
        <f t="shared" si="629"/>
        <v>YG41_1_AmphB</v>
      </c>
      <c r="AT281" s="54" t="str">
        <f t="shared" si="629"/>
        <v>YG41_1_AmphC</v>
      </c>
      <c r="AU281" s="54" t="str">
        <f t="shared" si="629"/>
        <v>YG41_1_AmphB</v>
      </c>
      <c r="AV281" s="54" t="str">
        <f t="shared" si="629"/>
        <v>YG41_2_AmphC</v>
      </c>
      <c r="AW281" s="54" t="str">
        <f t="shared" si="629"/>
        <v>YG41_3_AmphB</v>
      </c>
      <c r="AX281" s="54" t="str">
        <f t="shared" si="629"/>
        <v>YG41_4_AmphC</v>
      </c>
      <c r="AY281" s="54" t="str">
        <f t="shared" si="629"/>
        <v>YG41_4_AmphC</v>
      </c>
      <c r="AZ281" s="54" t="str">
        <f t="shared" si="629"/>
        <v>YG41_4_AmphB</v>
      </c>
      <c r="BA281" s="54" t="str">
        <f t="shared" si="629"/>
        <v>19NC04_X_AmphC</v>
      </c>
      <c r="BB281" s="54" t="str">
        <f t="shared" si="629"/>
        <v>19NC04_X_AmphB</v>
      </c>
      <c r="BC281" s="54" t="str">
        <f t="shared" si="629"/>
        <v>19NC04_X_Amph</v>
      </c>
      <c r="BD281" s="54" t="str">
        <f t="shared" si="629"/>
        <v>19NC04_X_Amph</v>
      </c>
      <c r="BE281" s="54" t="str">
        <f t="shared" si="629"/>
        <v>19NC04_X_Amph</v>
      </c>
      <c r="BF281" s="54" t="str">
        <f t="shared" si="629"/>
        <v>19NC08B_1_Amph</v>
      </c>
      <c r="BG281" s="54" t="str">
        <f t="shared" si="629"/>
        <v>19NC08B_X_AmphC</v>
      </c>
      <c r="BH281" s="54" t="str">
        <f t="shared" si="629"/>
        <v>19NC08B_X_AmphB</v>
      </c>
      <c r="BI281" s="54" t="str">
        <f t="shared" si="629"/>
        <v>19NC08B_X_Amph</v>
      </c>
      <c r="BJ281" s="54" t="str">
        <f t="shared" si="629"/>
        <v>19NC08B_X_AmphB</v>
      </c>
    </row>
    <row r="282" spans="1:66">
      <c r="A282" s="62" t="s">
        <v>430</v>
      </c>
    </row>
    <row r="283" spans="1:66">
      <c r="A283" s="1" t="s">
        <v>432</v>
      </c>
      <c r="B283" s="54">
        <f>B96</f>
        <v>6.9652353565930447</v>
      </c>
      <c r="C283" s="54">
        <f t="shared" ref="C283:K283" si="630">C96</f>
        <v>6.6837152242999096</v>
      </c>
      <c r="D283" s="54">
        <f t="shared" si="630"/>
        <v>6.6423676371622884</v>
      </c>
      <c r="E283" s="54">
        <f t="shared" si="630"/>
        <v>6.6085253947325615</v>
      </c>
      <c r="F283" s="54">
        <f t="shared" si="630"/>
        <v>6.6623462580023158</v>
      </c>
      <c r="G283" s="54">
        <f t="shared" si="630"/>
        <v>6.5578597978313091</v>
      </c>
      <c r="H283" s="54">
        <f t="shared" si="630"/>
        <v>6.6574804490621045</v>
      </c>
      <c r="I283" s="54">
        <f t="shared" si="630"/>
        <v>6.6711583234159066</v>
      </c>
      <c r="J283" s="54">
        <f t="shared" si="630"/>
        <v>6.7838870247190917</v>
      </c>
      <c r="K283" s="54">
        <f t="shared" si="630"/>
        <v>6.9016988492412024</v>
      </c>
      <c r="L283" s="54">
        <f t="shared" ref="L283:BJ283" si="631">L96</f>
        <v>6.7022459177058282</v>
      </c>
      <c r="M283" s="54">
        <f t="shared" si="631"/>
        <v>6.6381296765326407</v>
      </c>
      <c r="N283" s="54">
        <f t="shared" si="631"/>
        <v>6.8014215378502163</v>
      </c>
      <c r="O283" s="54">
        <f t="shared" si="631"/>
        <v>6.5372792466230063</v>
      </c>
      <c r="P283" s="54">
        <f t="shared" si="631"/>
        <v>6.7170276773346744</v>
      </c>
      <c r="Q283" s="54">
        <f t="shared" si="631"/>
        <v>7.4090738449357598</v>
      </c>
      <c r="R283" s="54">
        <f t="shared" si="631"/>
        <v>6.444872955650121</v>
      </c>
      <c r="S283" s="54">
        <f t="shared" si="631"/>
        <v>6.4330050852645044</v>
      </c>
      <c r="T283" s="54">
        <f t="shared" si="631"/>
        <v>6.3867486209684978</v>
      </c>
      <c r="U283" s="54">
        <f t="shared" si="631"/>
        <v>6.3669675314954324</v>
      </c>
      <c r="V283" s="54">
        <f t="shared" si="631"/>
        <v>6.3636164280662388</v>
      </c>
      <c r="W283" s="54">
        <f t="shared" si="631"/>
        <v>6.8734171942116742</v>
      </c>
      <c r="X283" s="54">
        <f t="shared" si="631"/>
        <v>6.6386085997179798</v>
      </c>
      <c r="Y283" s="54">
        <f t="shared" si="631"/>
        <v>6.1865842275656613</v>
      </c>
      <c r="Z283" s="54">
        <f t="shared" si="631"/>
        <v>6.6235959111232603</v>
      </c>
      <c r="AA283" s="54">
        <f t="shared" si="631"/>
        <v>6.9175458595945507</v>
      </c>
      <c r="AB283" s="54">
        <f t="shared" si="631"/>
        <v>6.5135954925372559</v>
      </c>
      <c r="AC283" s="54">
        <f t="shared" si="631"/>
        <v>6.4454951444857951</v>
      </c>
      <c r="AD283" s="54">
        <f t="shared" si="631"/>
        <v>6.3674096536116132</v>
      </c>
      <c r="AE283" s="54">
        <f t="shared" si="631"/>
        <v>6.330908861987953</v>
      </c>
      <c r="AF283" s="54">
        <f t="shared" si="631"/>
        <v>6.417591369061558</v>
      </c>
      <c r="AG283" s="54">
        <f t="shared" si="631"/>
        <v>6.3080405921295721</v>
      </c>
      <c r="AH283" s="54">
        <f t="shared" si="631"/>
        <v>6.3810543485178064</v>
      </c>
      <c r="AI283" s="54">
        <f t="shared" si="631"/>
        <v>6.3413466376698606</v>
      </c>
      <c r="AJ283" s="54">
        <f t="shared" si="631"/>
        <v>6.4412970261427143</v>
      </c>
      <c r="AK283" s="54">
        <f t="shared" si="631"/>
        <v>6.5755733896942576</v>
      </c>
      <c r="AL283" s="54">
        <f t="shared" si="631"/>
        <v>6.5461011384334009</v>
      </c>
      <c r="AM283" s="54">
        <f t="shared" si="631"/>
        <v>6.5916847719781924</v>
      </c>
      <c r="AN283" s="54">
        <f t="shared" si="631"/>
        <v>6.6312719796454731</v>
      </c>
      <c r="AO283" s="54">
        <f t="shared" si="631"/>
        <v>6.6304090671704472</v>
      </c>
      <c r="AP283" s="54">
        <f t="shared" si="631"/>
        <v>6.6637433709797529</v>
      </c>
      <c r="AQ283" s="54">
        <f t="shared" si="631"/>
        <v>6.6960140529549514</v>
      </c>
      <c r="AR283" s="54">
        <f t="shared" si="631"/>
        <v>6.6501998799732354</v>
      </c>
      <c r="AS283" s="54">
        <f t="shared" si="631"/>
        <v>6.6185697165653643</v>
      </c>
      <c r="AT283" s="54">
        <f t="shared" si="631"/>
        <v>6.6679159480250352</v>
      </c>
      <c r="AU283" s="54">
        <f t="shared" si="631"/>
        <v>6.8741088547155211</v>
      </c>
      <c r="AV283" s="54">
        <f t="shared" si="631"/>
        <v>6.6403153165243092</v>
      </c>
      <c r="AW283" s="54">
        <f t="shared" si="631"/>
        <v>6.5307000497222534</v>
      </c>
      <c r="AX283" s="54">
        <f t="shared" si="631"/>
        <v>6.6150800865170014</v>
      </c>
      <c r="AY283" s="54">
        <f t="shared" si="631"/>
        <v>6.6514781857241196</v>
      </c>
      <c r="AZ283" s="54">
        <f t="shared" si="631"/>
        <v>6.6633714359893776</v>
      </c>
      <c r="BA283" s="54">
        <f t="shared" si="631"/>
        <v>6.4670845458298336</v>
      </c>
      <c r="BB283" s="54">
        <f t="shared" si="631"/>
        <v>6.4626179580726424</v>
      </c>
      <c r="BC283" s="54">
        <f t="shared" si="631"/>
        <v>6.4172113472028762</v>
      </c>
      <c r="BD283" s="54">
        <f t="shared" si="631"/>
        <v>6.4296303215457016</v>
      </c>
      <c r="BE283" s="54">
        <f t="shared" si="631"/>
        <v>6.3777038931904899</v>
      </c>
      <c r="BF283" s="54">
        <f t="shared" si="631"/>
        <v>6.3645422403178822</v>
      </c>
      <c r="BG283" s="54">
        <f t="shared" si="631"/>
        <v>6.3170317431475143</v>
      </c>
      <c r="BH283" s="54">
        <f t="shared" si="631"/>
        <v>6.4683496398672791</v>
      </c>
      <c r="BI283" s="54">
        <f t="shared" si="631"/>
        <v>6.3570341575278535</v>
      </c>
      <c r="BJ283" s="54">
        <f t="shared" si="631"/>
        <v>6.377713807026149</v>
      </c>
    </row>
    <row r="284" spans="1:66">
      <c r="A284" s="1" t="s">
        <v>431</v>
      </c>
      <c r="B284" s="54">
        <f>B142</f>
        <v>0.39252894522275983</v>
      </c>
      <c r="C284" s="54">
        <f t="shared" ref="C284:K284" si="632">C142</f>
        <v>0.40115272722834699</v>
      </c>
      <c r="D284" s="54">
        <f t="shared" si="632"/>
        <v>0.43228955191115565</v>
      </c>
      <c r="E284" s="54">
        <f t="shared" si="632"/>
        <v>0.40445016038159048</v>
      </c>
      <c r="F284" s="54">
        <f t="shared" si="632"/>
        <v>0.3993986921397884</v>
      </c>
      <c r="G284" s="54">
        <f t="shared" si="632"/>
        <v>0.42252932597911136</v>
      </c>
      <c r="H284" s="54">
        <f t="shared" si="632"/>
        <v>0.3932769546816271</v>
      </c>
      <c r="I284" s="54">
        <f t="shared" si="632"/>
        <v>0.40228049443378033</v>
      </c>
      <c r="J284" s="54">
        <f t="shared" si="632"/>
        <v>0.40355853584198875</v>
      </c>
      <c r="K284" s="54">
        <f t="shared" si="632"/>
        <v>0.39058543823748787</v>
      </c>
      <c r="L284" s="54">
        <f t="shared" ref="L284:BJ284" si="633">L142</f>
        <v>0.43566799284592356</v>
      </c>
      <c r="M284" s="54">
        <f t="shared" si="633"/>
        <v>0.41716625453069955</v>
      </c>
      <c r="N284" s="54">
        <f t="shared" si="633"/>
        <v>0.47008393440268598</v>
      </c>
      <c r="O284" s="54">
        <f t="shared" si="633"/>
        <v>0.43188345591574112</v>
      </c>
      <c r="P284" s="54">
        <f t="shared" si="633"/>
        <v>0.40201571946512926</v>
      </c>
      <c r="Q284" s="54">
        <f t="shared" si="633"/>
        <v>0.20804346305477056</v>
      </c>
      <c r="R284" s="54">
        <f t="shared" si="633"/>
        <v>0.48625787891631828</v>
      </c>
      <c r="S284" s="54">
        <f t="shared" si="633"/>
        <v>0.45651161825855296</v>
      </c>
      <c r="T284" s="54">
        <f t="shared" si="633"/>
        <v>0.46492468480353327</v>
      </c>
      <c r="U284" s="54">
        <f t="shared" si="633"/>
        <v>0.48116973748590064</v>
      </c>
      <c r="V284" s="54">
        <f t="shared" si="633"/>
        <v>0.4907796296860234</v>
      </c>
      <c r="W284" s="54">
        <f t="shared" si="633"/>
        <v>0.36274408779703743</v>
      </c>
      <c r="X284" s="54">
        <f t="shared" si="633"/>
        <v>0.44188113832417486</v>
      </c>
      <c r="Y284" s="54">
        <f t="shared" si="633"/>
        <v>0.3069255523578116</v>
      </c>
      <c r="Z284" s="54">
        <f t="shared" si="633"/>
        <v>0.3642337240613534</v>
      </c>
      <c r="AA284" s="54">
        <f t="shared" si="633"/>
        <v>0.33390797950120227</v>
      </c>
      <c r="AB284" s="54">
        <f t="shared" si="633"/>
        <v>0.59329259990322358</v>
      </c>
      <c r="AC284" s="54">
        <f t="shared" si="633"/>
        <v>0.7088578417230007</v>
      </c>
      <c r="AD284" s="54">
        <f t="shared" si="633"/>
        <v>0.7237450711929182</v>
      </c>
      <c r="AE284" s="54">
        <f t="shared" si="633"/>
        <v>0.74505986855755046</v>
      </c>
      <c r="AF284" s="54">
        <f t="shared" si="633"/>
        <v>0.75988543012866994</v>
      </c>
      <c r="AG284" s="54">
        <f t="shared" si="633"/>
        <v>0.76196368975324569</v>
      </c>
      <c r="AH284" s="54">
        <f t="shared" si="633"/>
        <v>0.73857906591382527</v>
      </c>
      <c r="AI284" s="54">
        <f t="shared" si="633"/>
        <v>0.74179946436487643</v>
      </c>
      <c r="AJ284" s="54">
        <f t="shared" si="633"/>
        <v>0.73878952686575827</v>
      </c>
      <c r="AK284" s="54">
        <f t="shared" si="633"/>
        <v>0.70819924288562452</v>
      </c>
      <c r="AL284" s="54">
        <f t="shared" si="633"/>
        <v>0.75541869015896479</v>
      </c>
      <c r="AM284" s="54">
        <f t="shared" si="633"/>
        <v>0.71298139225881418</v>
      </c>
      <c r="AN284" s="54">
        <f t="shared" si="633"/>
        <v>0.72438011544948477</v>
      </c>
      <c r="AO284" s="54">
        <f t="shared" si="633"/>
        <v>0.74910870057566081</v>
      </c>
      <c r="AP284" s="54">
        <f t="shared" si="633"/>
        <v>0.41126905177303613</v>
      </c>
      <c r="AQ284" s="54">
        <f t="shared" si="633"/>
        <v>0.37871182036575035</v>
      </c>
      <c r="AR284" s="54">
        <f t="shared" si="633"/>
        <v>0.42020944839785368</v>
      </c>
      <c r="AS284" s="54">
        <f t="shared" si="633"/>
        <v>0.43440356596345453</v>
      </c>
      <c r="AT284" s="54">
        <f t="shared" si="633"/>
        <v>0.46513401514832403</v>
      </c>
      <c r="AU284" s="54">
        <f t="shared" si="633"/>
        <v>0.33781794251308533</v>
      </c>
      <c r="AV284" s="54">
        <f t="shared" si="633"/>
        <v>0.45107097010243746</v>
      </c>
      <c r="AW284" s="54">
        <f t="shared" si="633"/>
        <v>0.45132125682114788</v>
      </c>
      <c r="AX284" s="54">
        <f t="shared" si="633"/>
        <v>0.29637566754449052</v>
      </c>
      <c r="AY284" s="54">
        <f t="shared" si="633"/>
        <v>0.46798978774673311</v>
      </c>
      <c r="AZ284" s="54">
        <f t="shared" si="633"/>
        <v>0.41971172052957451</v>
      </c>
      <c r="BA284" s="54">
        <f t="shared" si="633"/>
        <v>0.57119370623394328</v>
      </c>
      <c r="BB284" s="54">
        <f t="shared" si="633"/>
        <v>0.57806468092712504</v>
      </c>
      <c r="BC284" s="54">
        <f t="shared" si="633"/>
        <v>0.56173783564198221</v>
      </c>
      <c r="BD284" s="54">
        <f t="shared" si="633"/>
        <v>0.56710409336021317</v>
      </c>
      <c r="BE284" s="54">
        <f t="shared" si="633"/>
        <v>0.56593700758888554</v>
      </c>
      <c r="BF284" s="54">
        <f t="shared" si="633"/>
        <v>0.70336699316796059</v>
      </c>
      <c r="BG284" s="54">
        <f t="shared" si="633"/>
        <v>0.71827960564731408</v>
      </c>
      <c r="BH284" s="54">
        <f t="shared" si="633"/>
        <v>0.66199833005608588</v>
      </c>
      <c r="BI284" s="54">
        <f t="shared" si="633"/>
        <v>0.65925549240225367</v>
      </c>
      <c r="BJ284" s="54">
        <f t="shared" si="633"/>
        <v>0.64451321418253316</v>
      </c>
    </row>
    <row r="285" spans="1:66">
      <c r="A285" s="62" t="s">
        <v>435</v>
      </c>
    </row>
    <row r="286" spans="1:66">
      <c r="A286" s="1" t="s">
        <v>433</v>
      </c>
      <c r="B286" s="54">
        <f>B116</f>
        <v>0.44000000000000011</v>
      </c>
      <c r="C286" s="54">
        <f t="shared" ref="C286:BJ286" si="634">C116</f>
        <v>0.55000000000000004</v>
      </c>
      <c r="D286" s="54">
        <f t="shared" si="634"/>
        <v>0.56999999999999995</v>
      </c>
      <c r="E286" s="54">
        <f t="shared" si="634"/>
        <v>0.38999999999999996</v>
      </c>
      <c r="F286" s="54">
        <f t="shared" si="634"/>
        <v>0.62</v>
      </c>
      <c r="G286" s="54">
        <f t="shared" si="634"/>
        <v>0.57999999999999996</v>
      </c>
      <c r="H286" s="54">
        <f t="shared" si="634"/>
        <v>0.6</v>
      </c>
      <c r="I286" s="54">
        <f t="shared" si="634"/>
        <v>0.61</v>
      </c>
      <c r="J286" s="54">
        <f t="shared" si="634"/>
        <v>0.48999999999999994</v>
      </c>
      <c r="K286" s="54">
        <f t="shared" si="634"/>
        <v>0.44</v>
      </c>
      <c r="L286" s="54">
        <f t="shared" si="634"/>
        <v>0.59999999999999987</v>
      </c>
      <c r="M286" s="54">
        <f t="shared" si="634"/>
        <v>0.63</v>
      </c>
      <c r="N286" s="54">
        <f t="shared" si="634"/>
        <v>0.62999999999999989</v>
      </c>
      <c r="O286" s="54">
        <f t="shared" si="634"/>
        <v>0.79</v>
      </c>
      <c r="P286" s="54">
        <f t="shared" si="634"/>
        <v>1.37</v>
      </c>
      <c r="Q286" s="54">
        <f t="shared" si="634"/>
        <v>0.08</v>
      </c>
      <c r="R286" s="54">
        <f t="shared" si="634"/>
        <v>1.63</v>
      </c>
      <c r="S286" s="54">
        <f t="shared" si="634"/>
        <v>1.59</v>
      </c>
      <c r="T286" s="54">
        <f t="shared" si="634"/>
        <v>1.59</v>
      </c>
      <c r="U286" s="54">
        <f t="shared" si="634"/>
        <v>1.55</v>
      </c>
      <c r="V286" s="54">
        <f t="shared" si="634"/>
        <v>1.4899999999999998</v>
      </c>
      <c r="W286" s="54">
        <f t="shared" si="634"/>
        <v>0.85</v>
      </c>
      <c r="X286" s="54">
        <f t="shared" si="634"/>
        <v>0.85999999999999988</v>
      </c>
      <c r="Y286" s="54">
        <f t="shared" si="634"/>
        <v>1.2400000000000002</v>
      </c>
      <c r="Z286" s="54">
        <f t="shared" si="634"/>
        <v>0.63</v>
      </c>
      <c r="AA286" s="54">
        <f t="shared" si="634"/>
        <v>0.91999999999999993</v>
      </c>
      <c r="AB286" s="54">
        <f t="shared" si="634"/>
        <v>2.2400000000000002</v>
      </c>
      <c r="AC286" s="54">
        <f t="shared" si="634"/>
        <v>2.48</v>
      </c>
      <c r="AD286" s="54">
        <f t="shared" si="634"/>
        <v>2.52</v>
      </c>
      <c r="AE286" s="54">
        <f t="shared" si="634"/>
        <v>2.5300000000000002</v>
      </c>
      <c r="AF286" s="54">
        <f t="shared" si="634"/>
        <v>2.5</v>
      </c>
      <c r="AG286" s="54">
        <f t="shared" si="634"/>
        <v>2.6300000000000003</v>
      </c>
      <c r="AH286" s="54">
        <f t="shared" si="634"/>
        <v>2.34</v>
      </c>
      <c r="AI286" s="54">
        <f t="shared" si="634"/>
        <v>2.6299999999999994</v>
      </c>
      <c r="AJ286" s="54">
        <f t="shared" si="634"/>
        <v>2.36</v>
      </c>
      <c r="AK286" s="54">
        <f t="shared" si="634"/>
        <v>0.77</v>
      </c>
      <c r="AL286" s="54">
        <f t="shared" si="634"/>
        <v>0.89999999999999991</v>
      </c>
      <c r="AM286" s="54">
        <f t="shared" si="634"/>
        <v>0.77999999999999992</v>
      </c>
      <c r="AN286" s="54">
        <f t="shared" si="634"/>
        <v>0.72000000000000008</v>
      </c>
      <c r="AO286" s="54">
        <f t="shared" si="634"/>
        <v>0.77999999999999992</v>
      </c>
      <c r="AP286" s="54">
        <f t="shared" si="634"/>
        <v>0.87</v>
      </c>
      <c r="AQ286" s="54">
        <f t="shared" si="634"/>
        <v>0.95000000000000007</v>
      </c>
      <c r="AR286" s="54">
        <f t="shared" si="634"/>
        <v>0.88</v>
      </c>
      <c r="AS286" s="54">
        <f t="shared" si="634"/>
        <v>0.97</v>
      </c>
      <c r="AT286" s="54">
        <f t="shared" si="634"/>
        <v>0.92999999999999983</v>
      </c>
      <c r="AU286" s="54">
        <f t="shared" si="634"/>
        <v>0.6</v>
      </c>
      <c r="AV286" s="54">
        <f t="shared" si="634"/>
        <v>1.05</v>
      </c>
      <c r="AW286" s="54">
        <f t="shared" si="634"/>
        <v>0.80000000000000016</v>
      </c>
      <c r="AX286" s="54">
        <f t="shared" si="634"/>
        <v>0.76000000000000012</v>
      </c>
      <c r="AY286" s="54">
        <f t="shared" si="634"/>
        <v>1.0399999999999998</v>
      </c>
      <c r="AZ286" s="54">
        <f t="shared" si="634"/>
        <v>0.92</v>
      </c>
      <c r="BA286" s="54">
        <f t="shared" si="634"/>
        <v>1.49</v>
      </c>
      <c r="BB286" s="54">
        <f t="shared" si="634"/>
        <v>1.5100000000000002</v>
      </c>
      <c r="BC286" s="54">
        <f t="shared" si="634"/>
        <v>1.44</v>
      </c>
      <c r="BD286" s="54">
        <f t="shared" si="634"/>
        <v>1.38</v>
      </c>
      <c r="BE286" s="54">
        <f t="shared" si="634"/>
        <v>1.56</v>
      </c>
      <c r="BF286" s="54">
        <f t="shared" si="634"/>
        <v>1.82</v>
      </c>
      <c r="BG286" s="54">
        <f t="shared" si="634"/>
        <v>1.87</v>
      </c>
      <c r="BH286" s="54">
        <f t="shared" si="634"/>
        <v>1.57</v>
      </c>
      <c r="BI286" s="54">
        <f t="shared" si="634"/>
        <v>1.9800000000000002</v>
      </c>
      <c r="BJ286" s="54">
        <f t="shared" si="634"/>
        <v>1.9399999999999997</v>
      </c>
    </row>
    <row r="287" spans="1:66">
      <c r="A287" s="1" t="s">
        <v>434</v>
      </c>
      <c r="B287" s="54">
        <f>B118</f>
        <v>9.5599999999999987</v>
      </c>
      <c r="C287" s="54">
        <f t="shared" ref="C287:BJ287" si="635">C118</f>
        <v>11.210000000000003</v>
      </c>
      <c r="D287" s="54">
        <f t="shared" si="635"/>
        <v>11.779999999999998</v>
      </c>
      <c r="E287" s="54">
        <f t="shared" si="635"/>
        <v>11.73</v>
      </c>
      <c r="F287" s="54">
        <f t="shared" si="635"/>
        <v>11.48</v>
      </c>
      <c r="G287" s="54">
        <f t="shared" si="635"/>
        <v>11.909999999999998</v>
      </c>
      <c r="H287" s="54">
        <f t="shared" si="635"/>
        <v>11.54</v>
      </c>
      <c r="I287" s="54">
        <f t="shared" si="635"/>
        <v>11.439999999999998</v>
      </c>
      <c r="J287" s="54">
        <f t="shared" si="635"/>
        <v>10.87</v>
      </c>
      <c r="K287" s="54">
        <f t="shared" si="635"/>
        <v>9.2700000000000014</v>
      </c>
      <c r="L287" s="54">
        <f t="shared" si="635"/>
        <v>11.37</v>
      </c>
      <c r="M287" s="54">
        <f t="shared" si="635"/>
        <v>11.74</v>
      </c>
      <c r="N287" s="54">
        <f t="shared" si="635"/>
        <v>11.6</v>
      </c>
      <c r="O287" s="54">
        <f t="shared" si="635"/>
        <v>12.23</v>
      </c>
      <c r="P287" s="54">
        <f t="shared" si="635"/>
        <v>9.49</v>
      </c>
      <c r="Q287" s="54">
        <f t="shared" si="635"/>
        <v>4.8100000000000005</v>
      </c>
      <c r="R287" s="54">
        <f t="shared" si="635"/>
        <v>11.31</v>
      </c>
      <c r="S287" s="54">
        <f t="shared" si="635"/>
        <v>11.45</v>
      </c>
      <c r="T287" s="54">
        <f t="shared" si="635"/>
        <v>11.289999999999997</v>
      </c>
      <c r="U287" s="54">
        <f t="shared" si="635"/>
        <v>11.81</v>
      </c>
      <c r="V287" s="54">
        <f t="shared" si="635"/>
        <v>11.960000000000003</v>
      </c>
      <c r="W287" s="54">
        <f t="shared" si="635"/>
        <v>8.3499999999999979</v>
      </c>
      <c r="X287" s="54">
        <f t="shared" si="635"/>
        <v>10.17</v>
      </c>
      <c r="Y287" s="54">
        <f t="shared" si="635"/>
        <v>15.09</v>
      </c>
      <c r="Z287" s="54">
        <f t="shared" si="635"/>
        <v>11.219999999999999</v>
      </c>
      <c r="AA287" s="54">
        <f t="shared" si="635"/>
        <v>9.44</v>
      </c>
      <c r="AB287" s="54">
        <f t="shared" si="635"/>
        <v>11.109999999999998</v>
      </c>
      <c r="AC287" s="54">
        <f t="shared" si="635"/>
        <v>12.360000000000001</v>
      </c>
      <c r="AD287" s="54">
        <f t="shared" si="635"/>
        <v>12.320000000000002</v>
      </c>
      <c r="AE287" s="54">
        <f t="shared" si="635"/>
        <v>12.530000000000001</v>
      </c>
      <c r="AF287" s="54">
        <f t="shared" si="635"/>
        <v>11.910000000000002</v>
      </c>
      <c r="AG287" s="54">
        <f t="shared" si="635"/>
        <v>12.98</v>
      </c>
      <c r="AH287" s="54">
        <f t="shared" si="635"/>
        <v>12.959999999999999</v>
      </c>
      <c r="AI287" s="54">
        <f t="shared" si="635"/>
        <v>12.61</v>
      </c>
      <c r="AJ287" s="54">
        <f t="shared" si="635"/>
        <v>12.26</v>
      </c>
      <c r="AK287" s="54">
        <f t="shared" si="635"/>
        <v>12.929999999999998</v>
      </c>
      <c r="AL287" s="54">
        <f t="shared" si="635"/>
        <v>13.26</v>
      </c>
      <c r="AM287" s="54">
        <f t="shared" si="635"/>
        <v>12.939999999999998</v>
      </c>
      <c r="AN287" s="54">
        <f t="shared" si="635"/>
        <v>12.749999999999998</v>
      </c>
      <c r="AO287" s="54">
        <f t="shared" si="635"/>
        <v>12.69</v>
      </c>
      <c r="AP287" s="54">
        <f t="shared" si="635"/>
        <v>10.06</v>
      </c>
      <c r="AQ287" s="54">
        <f t="shared" si="635"/>
        <v>10.339999999999998</v>
      </c>
      <c r="AR287" s="54">
        <f t="shared" si="635"/>
        <v>10.36</v>
      </c>
      <c r="AS287" s="54">
        <f t="shared" si="635"/>
        <v>10.38</v>
      </c>
      <c r="AT287" s="54">
        <f t="shared" si="635"/>
        <v>10.18</v>
      </c>
      <c r="AU287" s="54">
        <f t="shared" si="635"/>
        <v>8.58</v>
      </c>
      <c r="AV287" s="54">
        <f t="shared" si="635"/>
        <v>10.35</v>
      </c>
      <c r="AW287" s="54">
        <f t="shared" si="635"/>
        <v>10.96</v>
      </c>
      <c r="AX287" s="54">
        <f t="shared" si="635"/>
        <v>11.959999999999999</v>
      </c>
      <c r="AY287" s="54">
        <f t="shared" si="635"/>
        <v>10.31</v>
      </c>
      <c r="AZ287" s="54">
        <f t="shared" si="635"/>
        <v>10.250000000000002</v>
      </c>
      <c r="BA287" s="54">
        <f t="shared" si="635"/>
        <v>11.51</v>
      </c>
      <c r="BB287" s="54">
        <f t="shared" si="635"/>
        <v>11.739999999999998</v>
      </c>
      <c r="BC287" s="54">
        <f t="shared" si="635"/>
        <v>11.150000000000002</v>
      </c>
      <c r="BD287" s="54">
        <f t="shared" si="635"/>
        <v>11.969999999999997</v>
      </c>
      <c r="BE287" s="54">
        <f t="shared" si="635"/>
        <v>11.789999999999997</v>
      </c>
      <c r="BF287" s="54">
        <f t="shared" si="635"/>
        <v>12.130000000000003</v>
      </c>
      <c r="BG287" s="54">
        <f t="shared" si="635"/>
        <v>12.220000000000002</v>
      </c>
      <c r="BH287" s="54">
        <f t="shared" si="635"/>
        <v>11.66</v>
      </c>
      <c r="BI287" s="54">
        <f t="shared" si="635"/>
        <v>12.08</v>
      </c>
      <c r="BJ287" s="54">
        <f t="shared" si="635"/>
        <v>11.730000000000004</v>
      </c>
    </row>
    <row r="288" spans="1:66">
      <c r="A288" s="62" t="s">
        <v>437</v>
      </c>
    </row>
    <row r="289" spans="1:62">
      <c r="A289" s="1" t="s">
        <v>438</v>
      </c>
      <c r="B289" s="54">
        <f>B283</f>
        <v>6.9652353565930447</v>
      </c>
      <c r="C289" s="54">
        <f t="shared" ref="C289:BJ289" si="636">C283</f>
        <v>6.6837152242999096</v>
      </c>
      <c r="D289" s="54">
        <f t="shared" si="636"/>
        <v>6.6423676371622884</v>
      </c>
      <c r="E289" s="54">
        <f t="shared" si="636"/>
        <v>6.6085253947325615</v>
      </c>
      <c r="F289" s="54">
        <f t="shared" si="636"/>
        <v>6.6623462580023158</v>
      </c>
      <c r="G289" s="54">
        <f t="shared" si="636"/>
        <v>6.5578597978313091</v>
      </c>
      <c r="H289" s="54">
        <f t="shared" si="636"/>
        <v>6.6574804490621045</v>
      </c>
      <c r="I289" s="54">
        <f t="shared" si="636"/>
        <v>6.6711583234159066</v>
      </c>
      <c r="J289" s="54">
        <f t="shared" si="636"/>
        <v>6.7838870247190917</v>
      </c>
      <c r="K289" s="54">
        <f t="shared" si="636"/>
        <v>6.9016988492412024</v>
      </c>
      <c r="L289" s="54">
        <f t="shared" si="636"/>
        <v>6.7022459177058282</v>
      </c>
      <c r="M289" s="54">
        <f t="shared" si="636"/>
        <v>6.6381296765326407</v>
      </c>
      <c r="N289" s="54">
        <f t="shared" si="636"/>
        <v>6.8014215378502163</v>
      </c>
      <c r="O289" s="54">
        <f t="shared" si="636"/>
        <v>6.5372792466230063</v>
      </c>
      <c r="P289" s="54">
        <f t="shared" si="636"/>
        <v>6.7170276773346744</v>
      </c>
      <c r="Q289" s="54">
        <f t="shared" si="636"/>
        <v>7.4090738449357598</v>
      </c>
      <c r="R289" s="54">
        <f t="shared" si="636"/>
        <v>6.444872955650121</v>
      </c>
      <c r="S289" s="54">
        <f t="shared" si="636"/>
        <v>6.4330050852645044</v>
      </c>
      <c r="T289" s="54">
        <f t="shared" si="636"/>
        <v>6.3867486209684978</v>
      </c>
      <c r="U289" s="54">
        <f t="shared" si="636"/>
        <v>6.3669675314954324</v>
      </c>
      <c r="V289" s="54">
        <f t="shared" si="636"/>
        <v>6.3636164280662388</v>
      </c>
      <c r="W289" s="54">
        <f t="shared" si="636"/>
        <v>6.8734171942116742</v>
      </c>
      <c r="X289" s="54">
        <f t="shared" si="636"/>
        <v>6.6386085997179798</v>
      </c>
      <c r="Y289" s="54">
        <f t="shared" si="636"/>
        <v>6.1865842275656613</v>
      </c>
      <c r="Z289" s="54">
        <f t="shared" si="636"/>
        <v>6.6235959111232603</v>
      </c>
      <c r="AA289" s="54">
        <f t="shared" si="636"/>
        <v>6.9175458595945507</v>
      </c>
      <c r="AB289" s="54">
        <f t="shared" si="636"/>
        <v>6.5135954925372559</v>
      </c>
      <c r="AC289" s="54">
        <f t="shared" si="636"/>
        <v>6.4454951444857951</v>
      </c>
      <c r="AD289" s="54">
        <f t="shared" si="636"/>
        <v>6.3674096536116132</v>
      </c>
      <c r="AE289" s="54">
        <f t="shared" si="636"/>
        <v>6.330908861987953</v>
      </c>
      <c r="AF289" s="54">
        <f t="shared" si="636"/>
        <v>6.417591369061558</v>
      </c>
      <c r="AG289" s="54">
        <f t="shared" si="636"/>
        <v>6.3080405921295721</v>
      </c>
      <c r="AH289" s="54">
        <f t="shared" si="636"/>
        <v>6.3810543485178064</v>
      </c>
      <c r="AI289" s="54">
        <f t="shared" si="636"/>
        <v>6.3413466376698606</v>
      </c>
      <c r="AJ289" s="54">
        <f t="shared" si="636"/>
        <v>6.4412970261427143</v>
      </c>
      <c r="AK289" s="54">
        <f t="shared" si="636"/>
        <v>6.5755733896942576</v>
      </c>
      <c r="AL289" s="54">
        <f t="shared" si="636"/>
        <v>6.5461011384334009</v>
      </c>
      <c r="AM289" s="54">
        <f t="shared" si="636"/>
        <v>6.5916847719781924</v>
      </c>
      <c r="AN289" s="54">
        <f t="shared" si="636"/>
        <v>6.6312719796454731</v>
      </c>
      <c r="AO289" s="54">
        <f t="shared" si="636"/>
        <v>6.6304090671704472</v>
      </c>
      <c r="AP289" s="54">
        <f t="shared" si="636"/>
        <v>6.6637433709797529</v>
      </c>
      <c r="AQ289" s="54">
        <f t="shared" si="636"/>
        <v>6.6960140529549514</v>
      </c>
      <c r="AR289" s="54">
        <f t="shared" si="636"/>
        <v>6.6501998799732354</v>
      </c>
      <c r="AS289" s="54">
        <f t="shared" si="636"/>
        <v>6.6185697165653643</v>
      </c>
      <c r="AT289" s="54">
        <f t="shared" si="636"/>
        <v>6.6679159480250352</v>
      </c>
      <c r="AU289" s="54">
        <f t="shared" si="636"/>
        <v>6.8741088547155211</v>
      </c>
      <c r="AV289" s="54">
        <f t="shared" si="636"/>
        <v>6.6403153165243092</v>
      </c>
      <c r="AW289" s="54">
        <f t="shared" si="636"/>
        <v>6.5307000497222534</v>
      </c>
      <c r="AX289" s="54">
        <f t="shared" si="636"/>
        <v>6.6150800865170014</v>
      </c>
      <c r="AY289" s="54">
        <f t="shared" si="636"/>
        <v>6.6514781857241196</v>
      </c>
      <c r="AZ289" s="54">
        <f t="shared" si="636"/>
        <v>6.6633714359893776</v>
      </c>
      <c r="BA289" s="54">
        <f t="shared" si="636"/>
        <v>6.4670845458298336</v>
      </c>
      <c r="BB289" s="54">
        <f t="shared" si="636"/>
        <v>6.4626179580726424</v>
      </c>
      <c r="BC289" s="54">
        <f t="shared" si="636"/>
        <v>6.4172113472028762</v>
      </c>
      <c r="BD289" s="54">
        <f t="shared" si="636"/>
        <v>6.4296303215457016</v>
      </c>
      <c r="BE289" s="54">
        <f t="shared" si="636"/>
        <v>6.3777038931904899</v>
      </c>
      <c r="BF289" s="54">
        <f t="shared" si="636"/>
        <v>6.3645422403178822</v>
      </c>
      <c r="BG289" s="54">
        <f t="shared" si="636"/>
        <v>6.3170317431475143</v>
      </c>
      <c r="BH289" s="54">
        <f t="shared" si="636"/>
        <v>6.4683496398672791</v>
      </c>
      <c r="BI289" s="54">
        <f t="shared" si="636"/>
        <v>6.3570341575278535</v>
      </c>
      <c r="BJ289" s="54">
        <f t="shared" si="636"/>
        <v>6.377713807026149</v>
      </c>
    </row>
    <row r="290" spans="1:62">
      <c r="A290" s="1" t="s">
        <v>439</v>
      </c>
      <c r="B290" s="54">
        <f>B139</f>
        <v>0.61710686562587969</v>
      </c>
      <c r="C290" s="54">
        <f t="shared" ref="C290:BJ290" si="637">C139</f>
        <v>0.63290393032629266</v>
      </c>
      <c r="D290" s="54">
        <f t="shared" si="637"/>
        <v>0.59717947410279493</v>
      </c>
      <c r="E290" s="54">
        <f t="shared" si="637"/>
        <v>0.59375573613183108</v>
      </c>
      <c r="F290" s="54">
        <f t="shared" si="637"/>
        <v>0.6108297742737816</v>
      </c>
      <c r="G290" s="54">
        <f t="shared" si="637"/>
        <v>0.5918837921524871</v>
      </c>
      <c r="H290" s="54">
        <f t="shared" si="637"/>
        <v>0.62096910833514751</v>
      </c>
      <c r="I290" s="54">
        <f t="shared" si="637"/>
        <v>0.61073560427802442</v>
      </c>
      <c r="J290" s="54">
        <f t="shared" si="637"/>
        <v>0.62383962478496535</v>
      </c>
      <c r="K290" s="54">
        <f t="shared" si="637"/>
        <v>0.57556414176976867</v>
      </c>
      <c r="L290" s="54">
        <f t="shared" si="637"/>
        <v>0.62520296729373492</v>
      </c>
      <c r="M290" s="54">
        <f t="shared" si="637"/>
        <v>0.60983224914669554</v>
      </c>
      <c r="N290" s="54">
        <f t="shared" si="637"/>
        <v>0.60226495609013031</v>
      </c>
      <c r="O290" s="54">
        <f t="shared" si="637"/>
        <v>0.5986072386927298</v>
      </c>
      <c r="P290" s="54">
        <f t="shared" si="637"/>
        <v>0.62127311927914164</v>
      </c>
      <c r="Q290" s="54">
        <f t="shared" si="637"/>
        <v>0.74427335633585701</v>
      </c>
      <c r="R290" s="54">
        <f t="shared" si="637"/>
        <v>0.59189142846121334</v>
      </c>
      <c r="S290" s="54">
        <f t="shared" si="637"/>
        <v>0.59249012633348241</v>
      </c>
      <c r="T290" s="54">
        <f t="shared" si="637"/>
        <v>0.58770762124305831</v>
      </c>
      <c r="U290" s="54">
        <f t="shared" si="637"/>
        <v>0.57371926917881866</v>
      </c>
      <c r="V290" s="54">
        <f t="shared" si="637"/>
        <v>0.5787585846996488</v>
      </c>
      <c r="W290" s="54">
        <f t="shared" si="637"/>
        <v>0.6006894899699089</v>
      </c>
      <c r="X290" s="54">
        <f t="shared" si="637"/>
        <v>0.61098176780229663</v>
      </c>
      <c r="Y290" s="54">
        <f t="shared" si="637"/>
        <v>0.47606044492362898</v>
      </c>
      <c r="Z290" s="54">
        <f t="shared" si="637"/>
        <v>0.59158202423980744</v>
      </c>
      <c r="AA290" s="54">
        <f t="shared" si="637"/>
        <v>0.65857682632474102</v>
      </c>
      <c r="AB290" s="54">
        <f t="shared" si="637"/>
        <v>0.63549985155295641</v>
      </c>
      <c r="AC290" s="54">
        <f t="shared" si="637"/>
        <v>0.64837637032257567</v>
      </c>
      <c r="AD290" s="54">
        <f t="shared" si="637"/>
        <v>0.63191050731215748</v>
      </c>
      <c r="AE290" s="54">
        <f t="shared" si="637"/>
        <v>0.61557438674683085</v>
      </c>
      <c r="AF290" s="54">
        <f t="shared" si="637"/>
        <v>0.62637328168030404</v>
      </c>
      <c r="AG290" s="54">
        <f t="shared" si="637"/>
        <v>0.61386089910214059</v>
      </c>
      <c r="AH290" s="54">
        <f t="shared" si="637"/>
        <v>0.62766549655723636</v>
      </c>
      <c r="AI290" s="54">
        <f t="shared" si="637"/>
        <v>0.61979012709002124</v>
      </c>
      <c r="AJ290" s="54">
        <f t="shared" si="637"/>
        <v>0.63364076878444653</v>
      </c>
      <c r="AK290" s="54">
        <f t="shared" si="637"/>
        <v>0.59285527344844846</v>
      </c>
      <c r="AL290" s="54">
        <f t="shared" si="637"/>
        <v>0.59086207995068829</v>
      </c>
      <c r="AM290" s="54">
        <f t="shared" si="637"/>
        <v>0.60319974149792122</v>
      </c>
      <c r="AN290" s="54">
        <f t="shared" si="637"/>
        <v>0.60055607124532695</v>
      </c>
      <c r="AO290" s="54">
        <f t="shared" si="637"/>
        <v>0.60795991901203983</v>
      </c>
      <c r="AP290" s="54">
        <f t="shared" si="637"/>
        <v>0.491494234474179</v>
      </c>
      <c r="AQ290" s="54">
        <f t="shared" si="637"/>
        <v>0.49856176920279111</v>
      </c>
      <c r="AR290" s="54">
        <f t="shared" si="637"/>
        <v>0.4936118510027302</v>
      </c>
      <c r="AS290" s="54">
        <f t="shared" si="637"/>
        <v>0.48207016249185747</v>
      </c>
      <c r="AT290" s="54">
        <f t="shared" si="637"/>
        <v>0.48373679900900707</v>
      </c>
      <c r="AU290" s="54">
        <f t="shared" si="637"/>
        <v>0.52386770740849775</v>
      </c>
      <c r="AV290" s="54">
        <f t="shared" si="637"/>
        <v>0.47863727488354335</v>
      </c>
      <c r="AW290" s="54">
        <f t="shared" si="637"/>
        <v>0.4772679530527536</v>
      </c>
      <c r="AX290" s="54">
        <f t="shared" si="637"/>
        <v>0.4568055589680356</v>
      </c>
      <c r="AY290" s="54">
        <f t="shared" si="637"/>
        <v>0.47859671733972997</v>
      </c>
      <c r="AZ290" s="54">
        <f t="shared" si="637"/>
        <v>0.49567958471382001</v>
      </c>
      <c r="BA290" s="54">
        <f t="shared" si="637"/>
        <v>0.57680353266581075</v>
      </c>
      <c r="BB290" s="54">
        <f t="shared" si="637"/>
        <v>0.57272639265749026</v>
      </c>
      <c r="BC290" s="54">
        <f t="shared" si="637"/>
        <v>0.57483507811940548</v>
      </c>
      <c r="BD290" s="54">
        <f t="shared" si="637"/>
        <v>0.56799991529463401</v>
      </c>
      <c r="BE290" s="54">
        <f t="shared" si="637"/>
        <v>0.57410235561830858</v>
      </c>
      <c r="BF290" s="54">
        <f t="shared" si="637"/>
        <v>0.49954063516499886</v>
      </c>
      <c r="BG290" s="54">
        <f t="shared" si="637"/>
        <v>0.49346724107055639</v>
      </c>
      <c r="BH290" s="54">
        <f t="shared" si="637"/>
        <v>0.51274967385315007</v>
      </c>
      <c r="BI290" s="54">
        <f t="shared" si="637"/>
        <v>0.49157746339442354</v>
      </c>
      <c r="BJ290" s="54">
        <f t="shared" si="637"/>
        <v>0.5141271236685544</v>
      </c>
    </row>
    <row r="291" spans="1:62">
      <c r="A291" s="62" t="s">
        <v>440</v>
      </c>
    </row>
    <row r="292" spans="1:62">
      <c r="A292" s="1" t="s">
        <v>438</v>
      </c>
      <c r="B292" s="54">
        <f>B283</f>
        <v>6.9652353565930447</v>
      </c>
      <c r="C292" s="54">
        <f t="shared" ref="C292:BJ292" si="638">C283</f>
        <v>6.6837152242999096</v>
      </c>
      <c r="D292" s="54">
        <f t="shared" si="638"/>
        <v>6.6423676371622884</v>
      </c>
      <c r="E292" s="54">
        <f t="shared" si="638"/>
        <v>6.6085253947325615</v>
      </c>
      <c r="F292" s="54">
        <f t="shared" si="638"/>
        <v>6.6623462580023158</v>
      </c>
      <c r="G292" s="54">
        <f t="shared" si="638"/>
        <v>6.5578597978313091</v>
      </c>
      <c r="H292" s="54">
        <f t="shared" si="638"/>
        <v>6.6574804490621045</v>
      </c>
      <c r="I292" s="54">
        <f t="shared" si="638"/>
        <v>6.6711583234159066</v>
      </c>
      <c r="J292" s="54">
        <f t="shared" si="638"/>
        <v>6.7838870247190917</v>
      </c>
      <c r="K292" s="54">
        <f t="shared" si="638"/>
        <v>6.9016988492412024</v>
      </c>
      <c r="L292" s="54">
        <f t="shared" si="638"/>
        <v>6.7022459177058282</v>
      </c>
      <c r="M292" s="54">
        <f t="shared" si="638"/>
        <v>6.6381296765326407</v>
      </c>
      <c r="N292" s="54">
        <f t="shared" si="638"/>
        <v>6.8014215378502163</v>
      </c>
      <c r="O292" s="54">
        <f t="shared" si="638"/>
        <v>6.5372792466230063</v>
      </c>
      <c r="P292" s="54">
        <f t="shared" si="638"/>
        <v>6.7170276773346744</v>
      </c>
      <c r="Q292" s="54">
        <f t="shared" si="638"/>
        <v>7.4090738449357598</v>
      </c>
      <c r="R292" s="54">
        <f t="shared" si="638"/>
        <v>6.444872955650121</v>
      </c>
      <c r="S292" s="54">
        <f t="shared" si="638"/>
        <v>6.4330050852645044</v>
      </c>
      <c r="T292" s="54">
        <f t="shared" si="638"/>
        <v>6.3867486209684978</v>
      </c>
      <c r="U292" s="54">
        <f t="shared" si="638"/>
        <v>6.3669675314954324</v>
      </c>
      <c r="V292" s="54">
        <f t="shared" si="638"/>
        <v>6.3636164280662388</v>
      </c>
      <c r="W292" s="54">
        <f t="shared" si="638"/>
        <v>6.8734171942116742</v>
      </c>
      <c r="X292" s="54">
        <f t="shared" si="638"/>
        <v>6.6386085997179798</v>
      </c>
      <c r="Y292" s="54">
        <f t="shared" si="638"/>
        <v>6.1865842275656613</v>
      </c>
      <c r="Z292" s="54">
        <f t="shared" si="638"/>
        <v>6.6235959111232603</v>
      </c>
      <c r="AA292" s="54">
        <f t="shared" si="638"/>
        <v>6.9175458595945507</v>
      </c>
      <c r="AB292" s="54">
        <f t="shared" si="638"/>
        <v>6.5135954925372559</v>
      </c>
      <c r="AC292" s="54">
        <f t="shared" si="638"/>
        <v>6.4454951444857951</v>
      </c>
      <c r="AD292" s="54">
        <f t="shared" si="638"/>
        <v>6.3674096536116132</v>
      </c>
      <c r="AE292" s="54">
        <f t="shared" si="638"/>
        <v>6.330908861987953</v>
      </c>
      <c r="AF292" s="54">
        <f t="shared" si="638"/>
        <v>6.417591369061558</v>
      </c>
      <c r="AG292" s="54">
        <f t="shared" si="638"/>
        <v>6.3080405921295721</v>
      </c>
      <c r="AH292" s="54">
        <f t="shared" si="638"/>
        <v>6.3810543485178064</v>
      </c>
      <c r="AI292" s="54">
        <f t="shared" si="638"/>
        <v>6.3413466376698606</v>
      </c>
      <c r="AJ292" s="54">
        <f t="shared" si="638"/>
        <v>6.4412970261427143</v>
      </c>
      <c r="AK292" s="54">
        <f t="shared" si="638"/>
        <v>6.5755733896942576</v>
      </c>
      <c r="AL292" s="54">
        <f t="shared" si="638"/>
        <v>6.5461011384334009</v>
      </c>
      <c r="AM292" s="54">
        <f t="shared" si="638"/>
        <v>6.5916847719781924</v>
      </c>
      <c r="AN292" s="54">
        <f t="shared" si="638"/>
        <v>6.6312719796454731</v>
      </c>
      <c r="AO292" s="54">
        <f t="shared" si="638"/>
        <v>6.6304090671704472</v>
      </c>
      <c r="AP292" s="54">
        <f t="shared" si="638"/>
        <v>6.6637433709797529</v>
      </c>
      <c r="AQ292" s="54">
        <f t="shared" si="638"/>
        <v>6.6960140529549514</v>
      </c>
      <c r="AR292" s="54">
        <f t="shared" si="638"/>
        <v>6.6501998799732354</v>
      </c>
      <c r="AS292" s="54">
        <f t="shared" si="638"/>
        <v>6.6185697165653643</v>
      </c>
      <c r="AT292" s="54">
        <f t="shared" si="638"/>
        <v>6.6679159480250352</v>
      </c>
      <c r="AU292" s="54">
        <f t="shared" si="638"/>
        <v>6.8741088547155211</v>
      </c>
      <c r="AV292" s="54">
        <f t="shared" si="638"/>
        <v>6.6403153165243092</v>
      </c>
      <c r="AW292" s="54">
        <f t="shared" si="638"/>
        <v>6.5307000497222534</v>
      </c>
      <c r="AX292" s="54">
        <f t="shared" si="638"/>
        <v>6.6150800865170014</v>
      </c>
      <c r="AY292" s="54">
        <f t="shared" si="638"/>
        <v>6.6514781857241196</v>
      </c>
      <c r="AZ292" s="54">
        <f t="shared" si="638"/>
        <v>6.6633714359893776</v>
      </c>
      <c r="BA292" s="54">
        <f t="shared" si="638"/>
        <v>6.4670845458298336</v>
      </c>
      <c r="BB292" s="54">
        <f t="shared" si="638"/>
        <v>6.4626179580726424</v>
      </c>
      <c r="BC292" s="54">
        <f t="shared" si="638"/>
        <v>6.4172113472028762</v>
      </c>
      <c r="BD292" s="54">
        <f t="shared" si="638"/>
        <v>6.4296303215457016</v>
      </c>
      <c r="BE292" s="54">
        <f t="shared" si="638"/>
        <v>6.3777038931904899</v>
      </c>
      <c r="BF292" s="54">
        <f t="shared" si="638"/>
        <v>6.3645422403178822</v>
      </c>
      <c r="BG292" s="54">
        <f t="shared" si="638"/>
        <v>6.3170317431475143</v>
      </c>
      <c r="BH292" s="54">
        <f t="shared" si="638"/>
        <v>6.4683496398672791</v>
      </c>
      <c r="BI292" s="54">
        <f t="shared" si="638"/>
        <v>6.3570341575278535</v>
      </c>
      <c r="BJ292" s="54">
        <f t="shared" si="638"/>
        <v>6.377713807026149</v>
      </c>
    </row>
    <row r="293" spans="1:62">
      <c r="A293" s="1" t="s">
        <v>441</v>
      </c>
      <c r="B293" s="54">
        <f>B143</f>
        <v>0.43844492367578575</v>
      </c>
      <c r="C293" s="54">
        <f t="shared" ref="C293:BJ293" si="639">C143</f>
        <v>0.42754789531652898</v>
      </c>
      <c r="D293" s="54">
        <f t="shared" si="639"/>
        <v>0.48314953821457135</v>
      </c>
      <c r="E293" s="54">
        <f t="shared" si="639"/>
        <v>0.45231371000196757</v>
      </c>
      <c r="F293" s="54">
        <f t="shared" si="639"/>
        <v>0.46368010861408038</v>
      </c>
      <c r="G293" s="54">
        <f t="shared" si="639"/>
        <v>0.4717024219937978</v>
      </c>
      <c r="H293" s="54">
        <f t="shared" si="639"/>
        <v>0.43294236112440365</v>
      </c>
      <c r="I293" s="54">
        <f t="shared" si="639"/>
        <v>0.44545748626780446</v>
      </c>
      <c r="J293" s="54">
        <f t="shared" si="639"/>
        <v>0.43369012870288004</v>
      </c>
      <c r="K293" s="54">
        <f t="shared" si="639"/>
        <v>0.44437583958433124</v>
      </c>
      <c r="L293" s="54">
        <f t="shared" si="639"/>
        <v>0.46189851540646532</v>
      </c>
      <c r="M293" s="54">
        <f t="shared" si="639"/>
        <v>0.45881275671556521</v>
      </c>
      <c r="N293" s="54">
        <f t="shared" si="639"/>
        <v>0.51752369581318725</v>
      </c>
      <c r="O293" s="54">
        <f t="shared" si="639"/>
        <v>0.47893179670919428</v>
      </c>
      <c r="P293" s="54">
        <f t="shared" si="639"/>
        <v>0.54194270934511002</v>
      </c>
      <c r="Q293" s="54">
        <f t="shared" si="639"/>
        <v>0.25613962104288968</v>
      </c>
      <c r="R293" s="54">
        <f t="shared" si="639"/>
        <v>0.67592849623252238</v>
      </c>
      <c r="S293" s="54">
        <f t="shared" si="639"/>
        <v>0.65166093591416885</v>
      </c>
      <c r="T293" s="54">
        <f t="shared" si="639"/>
        <v>0.64464830545562346</v>
      </c>
      <c r="U293" s="54">
        <f t="shared" si="639"/>
        <v>0.6761499385082429</v>
      </c>
      <c r="V293" s="54">
        <f t="shared" si="639"/>
        <v>0.69645188361448762</v>
      </c>
      <c r="W293" s="54">
        <f t="shared" si="639"/>
        <v>0.49748248615061919</v>
      </c>
      <c r="X293" s="54">
        <f t="shared" si="639"/>
        <v>0.58725628012677045</v>
      </c>
      <c r="Y293" s="54">
        <f t="shared" si="639"/>
        <v>0.43579003444033165</v>
      </c>
      <c r="Z293" s="54">
        <f t="shared" si="639"/>
        <v>0.49547588808666143</v>
      </c>
      <c r="AA293" s="54">
        <f t="shared" si="639"/>
        <v>0.34141928818628531</v>
      </c>
      <c r="AB293" s="54">
        <f t="shared" si="639"/>
        <v>0.61206069863301371</v>
      </c>
      <c r="AC293" s="54">
        <f t="shared" si="639"/>
        <v>0.73718272551685504</v>
      </c>
      <c r="AD293" s="54">
        <f t="shared" si="639"/>
        <v>0.75030669467933397</v>
      </c>
      <c r="AE293" s="54">
        <f t="shared" si="639"/>
        <v>0.77166186212315713</v>
      </c>
      <c r="AF293" s="54">
        <f t="shared" si="639"/>
        <v>0.78269873992026384</v>
      </c>
      <c r="AG293" s="54">
        <f t="shared" si="639"/>
        <v>0.78855091824259782</v>
      </c>
      <c r="AH293" s="54">
        <f t="shared" si="639"/>
        <v>0.76109516539663313</v>
      </c>
      <c r="AI293" s="54">
        <f t="shared" si="639"/>
        <v>0.77625297834034568</v>
      </c>
      <c r="AJ293" s="54">
        <f t="shared" si="639"/>
        <v>0.761575978126802</v>
      </c>
      <c r="AK293" s="54">
        <f t="shared" si="639"/>
        <v>0.79413874404570228</v>
      </c>
      <c r="AL293" s="54">
        <f t="shared" si="639"/>
        <v>0.8168306027129596</v>
      </c>
      <c r="AM293" s="54">
        <f t="shared" si="639"/>
        <v>0.78515518395403849</v>
      </c>
      <c r="AN293" s="54">
        <f t="shared" si="639"/>
        <v>0.79520462570640327</v>
      </c>
      <c r="AO293" s="54">
        <f t="shared" si="639"/>
        <v>0.80260181079037207</v>
      </c>
      <c r="AP293" s="54">
        <f t="shared" si="639"/>
        <v>0.43621873019761581</v>
      </c>
      <c r="AQ293" s="54">
        <f t="shared" si="639"/>
        <v>0.4132144897188762</v>
      </c>
      <c r="AR293" s="54">
        <f t="shared" si="639"/>
        <v>0.4490105608697616</v>
      </c>
      <c r="AS293" s="54">
        <f t="shared" si="639"/>
        <v>0.46509673836607851</v>
      </c>
      <c r="AT293" s="54">
        <f t="shared" si="639"/>
        <v>0.47288212354331544</v>
      </c>
      <c r="AU293" s="54">
        <f t="shared" si="639"/>
        <v>0.36847704158746275</v>
      </c>
      <c r="AV293" s="54">
        <f t="shared" si="639"/>
        <v>0.47805251890468536</v>
      </c>
      <c r="AW293" s="54">
        <f t="shared" si="639"/>
        <v>0.48431700362497943</v>
      </c>
      <c r="AX293" s="54">
        <f t="shared" si="639"/>
        <v>0.31002637841287672</v>
      </c>
      <c r="AY293" s="54">
        <f t="shared" si="639"/>
        <v>0.48348308744314672</v>
      </c>
      <c r="AZ293" s="54">
        <f t="shared" si="639"/>
        <v>0.45231431855178561</v>
      </c>
      <c r="BA293" s="54">
        <f t="shared" si="639"/>
        <v>0.57882488911512109</v>
      </c>
      <c r="BB293" s="54">
        <f t="shared" si="639"/>
        <v>0.5837987021563964</v>
      </c>
      <c r="BC293" s="54">
        <f t="shared" si="639"/>
        <v>0.56947844202224951</v>
      </c>
      <c r="BD293" s="54">
        <f t="shared" si="639"/>
        <v>0.58049903709163941</v>
      </c>
      <c r="BE293" s="54">
        <f t="shared" si="639"/>
        <v>0.58303594864132324</v>
      </c>
      <c r="BF293" s="54">
        <f t="shared" si="639"/>
        <v>0.72086796716994228</v>
      </c>
      <c r="BG293" s="54">
        <f t="shared" si="639"/>
        <v>0.74562101443296647</v>
      </c>
      <c r="BH293" s="54">
        <f t="shared" si="639"/>
        <v>0.67748574897320268</v>
      </c>
      <c r="BI293" s="54">
        <f t="shared" si="639"/>
        <v>0.66902528781791049</v>
      </c>
      <c r="BJ293" s="54">
        <f t="shared" si="639"/>
        <v>0.66785699846434332</v>
      </c>
    </row>
    <row r="294" spans="1:62">
      <c r="A294" s="62" t="s">
        <v>442</v>
      </c>
    </row>
    <row r="295" spans="1:62">
      <c r="A295" s="1" t="s">
        <v>438</v>
      </c>
      <c r="B295" s="54">
        <f>B283</f>
        <v>6.9652353565930447</v>
      </c>
      <c r="C295" s="54">
        <f t="shared" ref="C295:BJ295" si="640">C283</f>
        <v>6.6837152242999096</v>
      </c>
      <c r="D295" s="54">
        <f t="shared" si="640"/>
        <v>6.6423676371622884</v>
      </c>
      <c r="E295" s="54">
        <f t="shared" si="640"/>
        <v>6.6085253947325615</v>
      </c>
      <c r="F295" s="54">
        <f t="shared" si="640"/>
        <v>6.6623462580023158</v>
      </c>
      <c r="G295" s="54">
        <f t="shared" si="640"/>
        <v>6.5578597978313091</v>
      </c>
      <c r="H295" s="54">
        <f t="shared" si="640"/>
        <v>6.6574804490621045</v>
      </c>
      <c r="I295" s="54">
        <f t="shared" si="640"/>
        <v>6.6711583234159066</v>
      </c>
      <c r="J295" s="54">
        <f t="shared" si="640"/>
        <v>6.7838870247190917</v>
      </c>
      <c r="K295" s="54">
        <f t="shared" si="640"/>
        <v>6.9016988492412024</v>
      </c>
      <c r="L295" s="54">
        <f t="shared" si="640"/>
        <v>6.7022459177058282</v>
      </c>
      <c r="M295" s="54">
        <f t="shared" si="640"/>
        <v>6.6381296765326407</v>
      </c>
      <c r="N295" s="54">
        <f t="shared" si="640"/>
        <v>6.8014215378502163</v>
      </c>
      <c r="O295" s="54">
        <f t="shared" si="640"/>
        <v>6.5372792466230063</v>
      </c>
      <c r="P295" s="54">
        <f t="shared" si="640"/>
        <v>6.7170276773346744</v>
      </c>
      <c r="Q295" s="54">
        <f t="shared" si="640"/>
        <v>7.4090738449357598</v>
      </c>
      <c r="R295" s="54">
        <f t="shared" si="640"/>
        <v>6.444872955650121</v>
      </c>
      <c r="S295" s="54">
        <f t="shared" si="640"/>
        <v>6.4330050852645044</v>
      </c>
      <c r="T295" s="54">
        <f t="shared" si="640"/>
        <v>6.3867486209684978</v>
      </c>
      <c r="U295" s="54">
        <f t="shared" si="640"/>
        <v>6.3669675314954324</v>
      </c>
      <c r="V295" s="54">
        <f t="shared" si="640"/>
        <v>6.3636164280662388</v>
      </c>
      <c r="W295" s="54">
        <f t="shared" si="640"/>
        <v>6.8734171942116742</v>
      </c>
      <c r="X295" s="54">
        <f t="shared" si="640"/>
        <v>6.6386085997179798</v>
      </c>
      <c r="Y295" s="54">
        <f t="shared" si="640"/>
        <v>6.1865842275656613</v>
      </c>
      <c r="Z295" s="54">
        <f t="shared" si="640"/>
        <v>6.6235959111232603</v>
      </c>
      <c r="AA295" s="54">
        <f t="shared" si="640"/>
        <v>6.9175458595945507</v>
      </c>
      <c r="AB295" s="54">
        <f t="shared" si="640"/>
        <v>6.5135954925372559</v>
      </c>
      <c r="AC295" s="54">
        <f t="shared" si="640"/>
        <v>6.4454951444857951</v>
      </c>
      <c r="AD295" s="54">
        <f t="shared" si="640"/>
        <v>6.3674096536116132</v>
      </c>
      <c r="AE295" s="54">
        <f t="shared" si="640"/>
        <v>6.330908861987953</v>
      </c>
      <c r="AF295" s="54">
        <f t="shared" si="640"/>
        <v>6.417591369061558</v>
      </c>
      <c r="AG295" s="54">
        <f t="shared" si="640"/>
        <v>6.3080405921295721</v>
      </c>
      <c r="AH295" s="54">
        <f t="shared" si="640"/>
        <v>6.3810543485178064</v>
      </c>
      <c r="AI295" s="54">
        <f t="shared" si="640"/>
        <v>6.3413466376698606</v>
      </c>
      <c r="AJ295" s="54">
        <f t="shared" si="640"/>
        <v>6.4412970261427143</v>
      </c>
      <c r="AK295" s="54">
        <f t="shared" si="640"/>
        <v>6.5755733896942576</v>
      </c>
      <c r="AL295" s="54">
        <f t="shared" si="640"/>
        <v>6.5461011384334009</v>
      </c>
      <c r="AM295" s="54">
        <f t="shared" si="640"/>
        <v>6.5916847719781924</v>
      </c>
      <c r="AN295" s="54">
        <f t="shared" si="640"/>
        <v>6.6312719796454731</v>
      </c>
      <c r="AO295" s="54">
        <f t="shared" si="640"/>
        <v>6.6304090671704472</v>
      </c>
      <c r="AP295" s="54">
        <f t="shared" si="640"/>
        <v>6.6637433709797529</v>
      </c>
      <c r="AQ295" s="54">
        <f t="shared" si="640"/>
        <v>6.6960140529549514</v>
      </c>
      <c r="AR295" s="54">
        <f t="shared" si="640"/>
        <v>6.6501998799732354</v>
      </c>
      <c r="AS295" s="54">
        <f t="shared" si="640"/>
        <v>6.6185697165653643</v>
      </c>
      <c r="AT295" s="54">
        <f t="shared" si="640"/>
        <v>6.6679159480250352</v>
      </c>
      <c r="AU295" s="54">
        <f t="shared" si="640"/>
        <v>6.8741088547155211</v>
      </c>
      <c r="AV295" s="54">
        <f t="shared" si="640"/>
        <v>6.6403153165243092</v>
      </c>
      <c r="AW295" s="54">
        <f t="shared" si="640"/>
        <v>6.5307000497222534</v>
      </c>
      <c r="AX295" s="54">
        <f t="shared" si="640"/>
        <v>6.6150800865170014</v>
      </c>
      <c r="AY295" s="54">
        <f t="shared" si="640"/>
        <v>6.6514781857241196</v>
      </c>
      <c r="AZ295" s="54">
        <f t="shared" si="640"/>
        <v>6.6633714359893776</v>
      </c>
      <c r="BA295" s="54">
        <f t="shared" si="640"/>
        <v>6.4670845458298336</v>
      </c>
      <c r="BB295" s="54">
        <f t="shared" si="640"/>
        <v>6.4626179580726424</v>
      </c>
      <c r="BC295" s="54">
        <f t="shared" si="640"/>
        <v>6.4172113472028762</v>
      </c>
      <c r="BD295" s="54">
        <f t="shared" si="640"/>
        <v>6.4296303215457016</v>
      </c>
      <c r="BE295" s="54">
        <f t="shared" si="640"/>
        <v>6.3777038931904899</v>
      </c>
      <c r="BF295" s="54">
        <f t="shared" si="640"/>
        <v>6.3645422403178822</v>
      </c>
      <c r="BG295" s="54">
        <f t="shared" si="640"/>
        <v>6.3170317431475143</v>
      </c>
      <c r="BH295" s="54">
        <f t="shared" si="640"/>
        <v>6.4683496398672791</v>
      </c>
      <c r="BI295" s="54">
        <f t="shared" si="640"/>
        <v>6.3570341575278535</v>
      </c>
      <c r="BJ295" s="54">
        <f t="shared" si="640"/>
        <v>6.377713807026149</v>
      </c>
    </row>
    <row r="296" spans="1:62">
      <c r="A296" s="1" t="s">
        <v>443</v>
      </c>
      <c r="B296" s="54">
        <f>B97</f>
        <v>4.9622587477081183E-2</v>
      </c>
      <c r="C296" s="54">
        <f t="shared" ref="C296:BJ296" si="641">C97</f>
        <v>6.1127018534270848E-2</v>
      </c>
      <c r="D296" s="54">
        <f t="shared" si="641"/>
        <v>6.3293841945385496E-2</v>
      </c>
      <c r="E296" s="54">
        <f t="shared" si="641"/>
        <v>4.4015296269171798E-2</v>
      </c>
      <c r="F296" s="54">
        <f t="shared" si="641"/>
        <v>6.9099091654357445E-2</v>
      </c>
      <c r="G296" s="54">
        <f t="shared" si="641"/>
        <v>6.466307099880643E-2</v>
      </c>
      <c r="H296" s="54">
        <f t="shared" si="641"/>
        <v>6.680638810852052E-2</v>
      </c>
      <c r="I296" s="54">
        <f t="shared" si="641"/>
        <v>6.7503844609204278E-2</v>
      </c>
      <c r="J296" s="54">
        <f t="shared" si="641"/>
        <v>5.4396670184332772E-2</v>
      </c>
      <c r="K296" s="54">
        <f t="shared" si="641"/>
        <v>5.167349360367042E-2</v>
      </c>
      <c r="L296" s="54">
        <f t="shared" si="641"/>
        <v>6.6268064326918522E-2</v>
      </c>
      <c r="M296" s="54">
        <f t="shared" si="641"/>
        <v>7.0302460992804558E-2</v>
      </c>
      <c r="N296" s="54">
        <f t="shared" si="641"/>
        <v>7.0472092131854944E-2</v>
      </c>
      <c r="O296" s="54">
        <f t="shared" si="641"/>
        <v>8.764063642471083E-2</v>
      </c>
      <c r="P296" s="54">
        <f t="shared" si="641"/>
        <v>0.15480084482290393</v>
      </c>
      <c r="Q296" s="54">
        <f t="shared" si="641"/>
        <v>8.7237086405715179E-3</v>
      </c>
      <c r="R296" s="54">
        <f t="shared" si="641"/>
        <v>0.18408847300561224</v>
      </c>
      <c r="S296" s="54">
        <f t="shared" si="641"/>
        <v>0.17932387604495106</v>
      </c>
      <c r="T296" s="54">
        <f t="shared" si="641"/>
        <v>0.17920435420624697</v>
      </c>
      <c r="U296" s="54">
        <f t="shared" si="641"/>
        <v>0.17639040850117216</v>
      </c>
      <c r="V296" s="54">
        <f t="shared" si="641"/>
        <v>0.16883105176383667</v>
      </c>
      <c r="W296" s="54">
        <f t="shared" si="641"/>
        <v>9.6446482712062354E-2</v>
      </c>
      <c r="X296" s="54">
        <f t="shared" si="641"/>
        <v>9.6972621926354252E-2</v>
      </c>
      <c r="Y296" s="54">
        <f t="shared" si="641"/>
        <v>0.14058993913189063</v>
      </c>
      <c r="Z296" s="54">
        <f t="shared" si="641"/>
        <v>7.063809350679226E-2</v>
      </c>
      <c r="AA296" s="54">
        <f t="shared" si="641"/>
        <v>0.10183980849249617</v>
      </c>
      <c r="AB296" s="54">
        <f t="shared" si="641"/>
        <v>0.24782346538019762</v>
      </c>
      <c r="AC296" s="54">
        <f t="shared" si="641"/>
        <v>0.27605949321589751</v>
      </c>
      <c r="AD296" s="54">
        <f t="shared" si="641"/>
        <v>0.28183910377701271</v>
      </c>
      <c r="AE296" s="54">
        <f t="shared" si="641"/>
        <v>0.28338757011070825</v>
      </c>
      <c r="AF296" s="54">
        <f t="shared" si="641"/>
        <v>0.28016971505633953</v>
      </c>
      <c r="AG296" s="54">
        <f t="shared" si="641"/>
        <v>0.29442515239241124</v>
      </c>
      <c r="AH296" s="54">
        <f t="shared" si="641"/>
        <v>0.25882242265312688</v>
      </c>
      <c r="AI296" s="54">
        <f t="shared" si="641"/>
        <v>0.29675011380081395</v>
      </c>
      <c r="AJ296" s="54">
        <f t="shared" si="641"/>
        <v>0.26416883358078574</v>
      </c>
      <c r="AK296" s="54">
        <f t="shared" si="641"/>
        <v>8.6685242346614913E-2</v>
      </c>
      <c r="AL296" s="54">
        <f t="shared" si="641"/>
        <v>0.10181676209182727</v>
      </c>
      <c r="AM296" s="54">
        <f t="shared" si="641"/>
        <v>8.7330240409035906E-2</v>
      </c>
      <c r="AN296" s="54">
        <f t="shared" si="641"/>
        <v>8.1243472984224185E-2</v>
      </c>
      <c r="AO296" s="54">
        <f t="shared" si="641"/>
        <v>8.7843281023961314E-2</v>
      </c>
      <c r="AP296" s="54">
        <f t="shared" si="641"/>
        <v>9.8427165957832047E-2</v>
      </c>
      <c r="AQ296" s="54">
        <f t="shared" si="641"/>
        <v>0.10734403700497949</v>
      </c>
      <c r="AR296" s="54">
        <f t="shared" si="641"/>
        <v>9.9603546911609456E-2</v>
      </c>
      <c r="AS296" s="54">
        <f t="shared" si="641"/>
        <v>0.10969015703681796</v>
      </c>
      <c r="AT296" s="54">
        <f t="shared" si="641"/>
        <v>0.10619223780532143</v>
      </c>
      <c r="AU296" s="54">
        <f t="shared" si="641"/>
        <v>6.7774260000149078E-2</v>
      </c>
      <c r="AV296" s="54">
        <f t="shared" si="641"/>
        <v>0.11928951332157788</v>
      </c>
      <c r="AW296" s="54">
        <f t="shared" si="641"/>
        <v>9.1532042963143115E-2</v>
      </c>
      <c r="AX296" s="54">
        <f t="shared" si="641"/>
        <v>8.7366502099902293E-2</v>
      </c>
      <c r="AY296" s="54">
        <f t="shared" si="641"/>
        <v>0.11873025537063911</v>
      </c>
      <c r="AZ296" s="54">
        <f t="shared" si="641"/>
        <v>0.10400764024872654</v>
      </c>
      <c r="BA296" s="54">
        <f t="shared" si="641"/>
        <v>0.16756845538741474</v>
      </c>
      <c r="BB296" s="54">
        <f t="shared" si="641"/>
        <v>0.17013321812557736</v>
      </c>
      <c r="BC296" s="54">
        <f t="shared" si="641"/>
        <v>0.16426748658800047</v>
      </c>
      <c r="BD296" s="54">
        <f t="shared" si="641"/>
        <v>0.15566682507692556</v>
      </c>
      <c r="BE296" s="54">
        <f t="shared" si="641"/>
        <v>0.17471308479612241</v>
      </c>
      <c r="BF296" s="54">
        <f t="shared" si="641"/>
        <v>0.20862446021386102</v>
      </c>
      <c r="BG296" s="54">
        <f t="shared" si="641"/>
        <v>0.21528242996727187</v>
      </c>
      <c r="BH296" s="54">
        <f t="shared" si="641"/>
        <v>0.17916898727534977</v>
      </c>
      <c r="BI296" s="54">
        <f t="shared" si="641"/>
        <v>0.22806297393575142</v>
      </c>
      <c r="BJ296" s="54">
        <f t="shared" si="641"/>
        <v>0.222467140693171</v>
      </c>
    </row>
    <row r="297" spans="1:62">
      <c r="A297" s="62" t="s">
        <v>444</v>
      </c>
    </row>
    <row r="298" spans="1:62">
      <c r="A298" s="1" t="s">
        <v>445</v>
      </c>
      <c r="B298" s="54">
        <f>B124</f>
        <v>10.49</v>
      </c>
      <c r="C298" s="54">
        <f t="shared" ref="C298:BJ298" si="642">C124</f>
        <v>10.529999999999998</v>
      </c>
      <c r="D298" s="54">
        <f t="shared" si="642"/>
        <v>10.549999999999999</v>
      </c>
      <c r="E298" s="54">
        <f t="shared" si="642"/>
        <v>10</v>
      </c>
      <c r="F298" s="54">
        <f t="shared" si="642"/>
        <v>10.870000000000001</v>
      </c>
      <c r="G298" s="54">
        <f t="shared" si="642"/>
        <v>10.940000000000001</v>
      </c>
      <c r="H298" s="54">
        <f t="shared" si="642"/>
        <v>11.02</v>
      </c>
      <c r="I298" s="54">
        <f t="shared" si="642"/>
        <v>10.809999999999999</v>
      </c>
      <c r="J298" s="54">
        <f t="shared" si="642"/>
        <v>10.26</v>
      </c>
      <c r="K298" s="54">
        <f t="shared" si="642"/>
        <v>10.350000000000001</v>
      </c>
      <c r="L298" s="54">
        <f t="shared" si="642"/>
        <v>10.480000000000002</v>
      </c>
      <c r="M298" s="54">
        <f t="shared" si="642"/>
        <v>10.809999999999999</v>
      </c>
      <c r="N298" s="54">
        <f t="shared" si="642"/>
        <v>10.39</v>
      </c>
      <c r="O298" s="54">
        <f t="shared" si="642"/>
        <v>10.849999999999998</v>
      </c>
      <c r="P298" s="54">
        <f t="shared" si="642"/>
        <v>12.129999999999999</v>
      </c>
      <c r="Q298" s="54">
        <f t="shared" si="642"/>
        <v>12.64</v>
      </c>
      <c r="R298" s="54">
        <f t="shared" si="642"/>
        <v>11.949999999999998</v>
      </c>
      <c r="S298" s="54">
        <f t="shared" si="642"/>
        <v>12.03</v>
      </c>
      <c r="T298" s="54">
        <f t="shared" si="642"/>
        <v>12.07</v>
      </c>
      <c r="U298" s="54">
        <f t="shared" si="642"/>
        <v>11.87</v>
      </c>
      <c r="V298" s="54">
        <f t="shared" si="642"/>
        <v>12.09</v>
      </c>
      <c r="W298" s="54">
        <f t="shared" si="642"/>
        <v>12.05</v>
      </c>
      <c r="X298" s="54">
        <f t="shared" si="642"/>
        <v>11.83</v>
      </c>
      <c r="Y298" s="54">
        <f t="shared" si="642"/>
        <v>16.239999999999998</v>
      </c>
      <c r="Z298" s="54">
        <f t="shared" si="642"/>
        <v>13.1</v>
      </c>
      <c r="AA298" s="54">
        <f t="shared" si="642"/>
        <v>13.579999999999998</v>
      </c>
      <c r="AB298" s="54">
        <f t="shared" si="642"/>
        <v>11.34</v>
      </c>
      <c r="AC298" s="54">
        <f t="shared" si="642"/>
        <v>11.289999999999997</v>
      </c>
      <c r="AD298" s="54">
        <f t="shared" si="642"/>
        <v>11.479999999999999</v>
      </c>
      <c r="AE298" s="54">
        <f t="shared" si="642"/>
        <v>11.12</v>
      </c>
      <c r="AF298" s="54">
        <f t="shared" si="642"/>
        <v>11.199999999999998</v>
      </c>
      <c r="AG298" s="54">
        <f t="shared" si="642"/>
        <v>11.21</v>
      </c>
      <c r="AH298" s="54">
        <f t="shared" si="642"/>
        <v>11.169999999999998</v>
      </c>
      <c r="AI298" s="54">
        <f t="shared" si="642"/>
        <v>11.24</v>
      </c>
      <c r="AJ298" s="54">
        <f t="shared" si="642"/>
        <v>11.009999999999998</v>
      </c>
      <c r="AK298" s="54">
        <f t="shared" si="642"/>
        <v>11.050000000000002</v>
      </c>
      <c r="AL298" s="54">
        <f t="shared" si="642"/>
        <v>10.92</v>
      </c>
      <c r="AM298" s="54">
        <f t="shared" si="642"/>
        <v>10.870000000000001</v>
      </c>
      <c r="AN298" s="54">
        <f t="shared" si="642"/>
        <v>10.71</v>
      </c>
      <c r="AO298" s="54">
        <f t="shared" si="642"/>
        <v>10.88</v>
      </c>
      <c r="AP298" s="54">
        <f t="shared" si="642"/>
        <v>11.79</v>
      </c>
      <c r="AQ298" s="54">
        <f t="shared" si="642"/>
        <v>11.69</v>
      </c>
      <c r="AR298" s="54">
        <f t="shared" si="642"/>
        <v>11.850000000000001</v>
      </c>
      <c r="AS298" s="54">
        <f t="shared" si="642"/>
        <v>11.780000000000001</v>
      </c>
      <c r="AT298" s="54">
        <f t="shared" si="642"/>
        <v>11.42</v>
      </c>
      <c r="AU298" s="54">
        <f t="shared" si="642"/>
        <v>11.74</v>
      </c>
      <c r="AV298" s="54">
        <f t="shared" si="642"/>
        <v>11.44</v>
      </c>
      <c r="AW298" s="54">
        <f t="shared" si="642"/>
        <v>11.669999999999998</v>
      </c>
      <c r="AX298" s="54">
        <f t="shared" si="642"/>
        <v>14.35</v>
      </c>
      <c r="AY298" s="54">
        <f t="shared" si="642"/>
        <v>11.479999999999999</v>
      </c>
      <c r="AZ298" s="54">
        <f t="shared" si="642"/>
        <v>11.74</v>
      </c>
      <c r="BA298" s="54">
        <f t="shared" si="642"/>
        <v>12.02</v>
      </c>
      <c r="BB298" s="54">
        <f t="shared" si="642"/>
        <v>11.82</v>
      </c>
      <c r="BC298" s="54">
        <f t="shared" si="642"/>
        <v>11.919999999999998</v>
      </c>
      <c r="BD298" s="54">
        <f t="shared" si="642"/>
        <v>11.949999999999998</v>
      </c>
      <c r="BE298" s="54">
        <f t="shared" si="642"/>
        <v>11.999999999999998</v>
      </c>
      <c r="BF298" s="54">
        <f t="shared" si="642"/>
        <v>11.589999999999998</v>
      </c>
      <c r="BG298" s="54">
        <f t="shared" si="642"/>
        <v>11.34</v>
      </c>
      <c r="BH298" s="54">
        <f t="shared" si="642"/>
        <v>11.69</v>
      </c>
      <c r="BI298" s="54">
        <f t="shared" si="642"/>
        <v>11.4</v>
      </c>
      <c r="BJ298" s="54">
        <f t="shared" si="642"/>
        <v>11.98</v>
      </c>
    </row>
    <row r="299" spans="1:62">
      <c r="A299" s="1" t="s">
        <v>446</v>
      </c>
      <c r="B299" s="54">
        <f>B286</f>
        <v>0.44000000000000011</v>
      </c>
      <c r="C299" s="54">
        <f t="shared" ref="C299:BJ299" si="643">C286</f>
        <v>0.55000000000000004</v>
      </c>
      <c r="D299" s="54">
        <f t="shared" si="643"/>
        <v>0.56999999999999995</v>
      </c>
      <c r="E299" s="54">
        <f t="shared" si="643"/>
        <v>0.38999999999999996</v>
      </c>
      <c r="F299" s="54">
        <f t="shared" si="643"/>
        <v>0.62</v>
      </c>
      <c r="G299" s="54">
        <f t="shared" si="643"/>
        <v>0.57999999999999996</v>
      </c>
      <c r="H299" s="54">
        <f t="shared" si="643"/>
        <v>0.6</v>
      </c>
      <c r="I299" s="54">
        <f t="shared" si="643"/>
        <v>0.61</v>
      </c>
      <c r="J299" s="54">
        <f t="shared" si="643"/>
        <v>0.48999999999999994</v>
      </c>
      <c r="K299" s="54">
        <f t="shared" si="643"/>
        <v>0.44</v>
      </c>
      <c r="L299" s="54">
        <f t="shared" si="643"/>
        <v>0.59999999999999987</v>
      </c>
      <c r="M299" s="54">
        <f t="shared" si="643"/>
        <v>0.63</v>
      </c>
      <c r="N299" s="54">
        <f t="shared" si="643"/>
        <v>0.62999999999999989</v>
      </c>
      <c r="O299" s="54">
        <f t="shared" si="643"/>
        <v>0.79</v>
      </c>
      <c r="P299" s="54">
        <f t="shared" si="643"/>
        <v>1.37</v>
      </c>
      <c r="Q299" s="54">
        <f t="shared" si="643"/>
        <v>0.08</v>
      </c>
      <c r="R299" s="54">
        <f t="shared" si="643"/>
        <v>1.63</v>
      </c>
      <c r="S299" s="54">
        <f t="shared" si="643"/>
        <v>1.59</v>
      </c>
      <c r="T299" s="54">
        <f t="shared" si="643"/>
        <v>1.59</v>
      </c>
      <c r="U299" s="54">
        <f t="shared" si="643"/>
        <v>1.55</v>
      </c>
      <c r="V299" s="54">
        <f t="shared" si="643"/>
        <v>1.4899999999999998</v>
      </c>
      <c r="W299" s="54">
        <f t="shared" si="643"/>
        <v>0.85</v>
      </c>
      <c r="X299" s="54">
        <f t="shared" si="643"/>
        <v>0.85999999999999988</v>
      </c>
      <c r="Y299" s="54">
        <f t="shared" si="643"/>
        <v>1.2400000000000002</v>
      </c>
      <c r="Z299" s="54">
        <f t="shared" si="643"/>
        <v>0.63</v>
      </c>
      <c r="AA299" s="54">
        <f t="shared" si="643"/>
        <v>0.91999999999999993</v>
      </c>
      <c r="AB299" s="54">
        <f t="shared" si="643"/>
        <v>2.2400000000000002</v>
      </c>
      <c r="AC299" s="54">
        <f t="shared" si="643"/>
        <v>2.48</v>
      </c>
      <c r="AD299" s="54">
        <f t="shared" si="643"/>
        <v>2.52</v>
      </c>
      <c r="AE299" s="54">
        <f t="shared" si="643"/>
        <v>2.5300000000000002</v>
      </c>
      <c r="AF299" s="54">
        <f t="shared" si="643"/>
        <v>2.5</v>
      </c>
      <c r="AG299" s="54">
        <f t="shared" si="643"/>
        <v>2.6300000000000003</v>
      </c>
      <c r="AH299" s="54">
        <f t="shared" si="643"/>
        <v>2.34</v>
      </c>
      <c r="AI299" s="54">
        <f t="shared" si="643"/>
        <v>2.6299999999999994</v>
      </c>
      <c r="AJ299" s="54">
        <f t="shared" si="643"/>
        <v>2.36</v>
      </c>
      <c r="AK299" s="54">
        <f t="shared" si="643"/>
        <v>0.77</v>
      </c>
      <c r="AL299" s="54">
        <f t="shared" si="643"/>
        <v>0.89999999999999991</v>
      </c>
      <c r="AM299" s="54">
        <f t="shared" si="643"/>
        <v>0.77999999999999992</v>
      </c>
      <c r="AN299" s="54">
        <f t="shared" si="643"/>
        <v>0.72000000000000008</v>
      </c>
      <c r="AO299" s="54">
        <f t="shared" si="643"/>
        <v>0.77999999999999992</v>
      </c>
      <c r="AP299" s="54">
        <f t="shared" si="643"/>
        <v>0.87</v>
      </c>
      <c r="AQ299" s="54">
        <f t="shared" si="643"/>
        <v>0.95000000000000007</v>
      </c>
      <c r="AR299" s="54">
        <f t="shared" si="643"/>
        <v>0.88</v>
      </c>
      <c r="AS299" s="54">
        <f t="shared" si="643"/>
        <v>0.97</v>
      </c>
      <c r="AT299" s="54">
        <f t="shared" si="643"/>
        <v>0.92999999999999983</v>
      </c>
      <c r="AU299" s="54">
        <f t="shared" si="643"/>
        <v>0.6</v>
      </c>
      <c r="AV299" s="54">
        <f t="shared" si="643"/>
        <v>1.05</v>
      </c>
      <c r="AW299" s="54">
        <f t="shared" si="643"/>
        <v>0.80000000000000016</v>
      </c>
      <c r="AX299" s="54">
        <f t="shared" si="643"/>
        <v>0.76000000000000012</v>
      </c>
      <c r="AY299" s="54">
        <f t="shared" si="643"/>
        <v>1.0399999999999998</v>
      </c>
      <c r="AZ299" s="54">
        <f t="shared" si="643"/>
        <v>0.92</v>
      </c>
      <c r="BA299" s="54">
        <f t="shared" si="643"/>
        <v>1.49</v>
      </c>
      <c r="BB299" s="54">
        <f t="shared" si="643"/>
        <v>1.5100000000000002</v>
      </c>
      <c r="BC299" s="54">
        <f t="shared" si="643"/>
        <v>1.44</v>
      </c>
      <c r="BD299" s="54">
        <f t="shared" si="643"/>
        <v>1.38</v>
      </c>
      <c r="BE299" s="54">
        <f t="shared" si="643"/>
        <v>1.56</v>
      </c>
      <c r="BF299" s="54">
        <f t="shared" si="643"/>
        <v>1.82</v>
      </c>
      <c r="BG299" s="54">
        <f t="shared" si="643"/>
        <v>1.87</v>
      </c>
      <c r="BH299" s="54">
        <f t="shared" si="643"/>
        <v>1.57</v>
      </c>
      <c r="BI299" s="54">
        <f t="shared" si="643"/>
        <v>1.9800000000000002</v>
      </c>
      <c r="BJ299" s="54">
        <f t="shared" si="643"/>
        <v>1.9399999999999997</v>
      </c>
    </row>
    <row r="300" spans="1:62">
      <c r="A300" s="62" t="s">
        <v>447</v>
      </c>
    </row>
    <row r="301" spans="1:62">
      <c r="A301" s="1" t="s">
        <v>448</v>
      </c>
      <c r="B301" s="54">
        <f>B136</f>
        <v>1.0347646434069553</v>
      </c>
      <c r="C301" s="54">
        <f t="shared" ref="C301:BJ301" si="644">C136</f>
        <v>1.3162847757000904</v>
      </c>
      <c r="D301" s="54">
        <f t="shared" si="644"/>
        <v>1.3576323628377116</v>
      </c>
      <c r="E301" s="54">
        <f t="shared" si="644"/>
        <v>1.3914746052674385</v>
      </c>
      <c r="F301" s="54">
        <f t="shared" si="644"/>
        <v>1.3376537419976842</v>
      </c>
      <c r="G301" s="54">
        <f t="shared" si="644"/>
        <v>1.4421402021686909</v>
      </c>
      <c r="H301" s="54">
        <f t="shared" si="644"/>
        <v>1.3425195509378955</v>
      </c>
      <c r="I301" s="54">
        <f t="shared" si="644"/>
        <v>1.3288416765840934</v>
      </c>
      <c r="J301" s="54">
        <f t="shared" si="644"/>
        <v>1.2161129752809083</v>
      </c>
      <c r="K301" s="54">
        <f t="shared" si="644"/>
        <v>1.0983011507587976</v>
      </c>
      <c r="L301" s="54">
        <f t="shared" si="644"/>
        <v>1.2977540822941718</v>
      </c>
      <c r="M301" s="54">
        <f t="shared" si="644"/>
        <v>1.3618703234673593</v>
      </c>
      <c r="N301" s="54">
        <f t="shared" si="644"/>
        <v>1.1985784621497837</v>
      </c>
      <c r="O301" s="54">
        <f t="shared" si="644"/>
        <v>1.4627207533769937</v>
      </c>
      <c r="P301" s="54">
        <f t="shared" si="644"/>
        <v>1.2829723226653256</v>
      </c>
      <c r="Q301" s="54">
        <f t="shared" si="644"/>
        <v>0.59092615506424018</v>
      </c>
      <c r="R301" s="54">
        <f t="shared" si="644"/>
        <v>1.555127044349879</v>
      </c>
      <c r="S301" s="54">
        <f t="shared" si="644"/>
        <v>1.5669949147354956</v>
      </c>
      <c r="T301" s="54">
        <f t="shared" si="644"/>
        <v>1.6132513790315022</v>
      </c>
      <c r="U301" s="54">
        <f t="shared" si="644"/>
        <v>1.6330324685045676</v>
      </c>
      <c r="V301" s="54">
        <f t="shared" si="644"/>
        <v>1.6363835719337612</v>
      </c>
      <c r="W301" s="54">
        <f t="shared" si="644"/>
        <v>1.1265828057883258</v>
      </c>
      <c r="X301" s="54">
        <f t="shared" si="644"/>
        <v>1.3613914002820202</v>
      </c>
      <c r="Y301" s="54">
        <f t="shared" si="644"/>
        <v>1.8134157724343387</v>
      </c>
      <c r="Z301" s="54">
        <f t="shared" si="644"/>
        <v>1.3764040888767397</v>
      </c>
      <c r="AA301" s="54">
        <f t="shared" si="644"/>
        <v>1.0824541404054493</v>
      </c>
      <c r="AB301" s="54">
        <f t="shared" si="644"/>
        <v>1.4864045074627441</v>
      </c>
      <c r="AC301" s="54">
        <f t="shared" si="644"/>
        <v>1.5545048555142049</v>
      </c>
      <c r="AD301" s="54">
        <f t="shared" si="644"/>
        <v>1.6325903463883868</v>
      </c>
      <c r="AE301" s="54">
        <f t="shared" si="644"/>
        <v>1.669091138012047</v>
      </c>
      <c r="AF301" s="54">
        <f t="shared" si="644"/>
        <v>1.582408630938442</v>
      </c>
      <c r="AG301" s="54">
        <f t="shared" si="644"/>
        <v>1.6919594078704279</v>
      </c>
      <c r="AH301" s="54">
        <f t="shared" si="644"/>
        <v>1.6189456514821936</v>
      </c>
      <c r="AI301" s="54">
        <f t="shared" si="644"/>
        <v>1.6586533623301394</v>
      </c>
      <c r="AJ301" s="54">
        <f t="shared" si="644"/>
        <v>1.5587029738572857</v>
      </c>
      <c r="AK301" s="54">
        <f t="shared" si="644"/>
        <v>1.4244266103057424</v>
      </c>
      <c r="AL301" s="54">
        <f t="shared" si="644"/>
        <v>1.4538988615665991</v>
      </c>
      <c r="AM301" s="54">
        <f t="shared" si="644"/>
        <v>1.4083152280218076</v>
      </c>
      <c r="AN301" s="54">
        <f t="shared" si="644"/>
        <v>1.3687280203545269</v>
      </c>
      <c r="AO301" s="54">
        <f t="shared" si="644"/>
        <v>1.3695909328295528</v>
      </c>
      <c r="AP301" s="54">
        <f t="shared" si="644"/>
        <v>1.3362566290202471</v>
      </c>
      <c r="AQ301" s="54">
        <f t="shared" si="644"/>
        <v>1.3039859470450486</v>
      </c>
      <c r="AR301" s="54">
        <f t="shared" si="644"/>
        <v>1.3498001200267646</v>
      </c>
      <c r="AS301" s="54">
        <f t="shared" si="644"/>
        <v>1.3814302834346357</v>
      </c>
      <c r="AT301" s="54">
        <f t="shared" si="644"/>
        <v>1.3320840519749648</v>
      </c>
      <c r="AU301" s="54">
        <f t="shared" si="644"/>
        <v>1.1258911452844789</v>
      </c>
      <c r="AV301" s="54">
        <f t="shared" si="644"/>
        <v>1.3596846834756908</v>
      </c>
      <c r="AW301" s="54">
        <f t="shared" si="644"/>
        <v>1.4692999502777466</v>
      </c>
      <c r="AX301" s="54">
        <f t="shared" si="644"/>
        <v>1.3849199134829986</v>
      </c>
      <c r="AY301" s="54">
        <f t="shared" si="644"/>
        <v>1.3485218142758804</v>
      </c>
      <c r="AZ301" s="54">
        <f t="shared" si="644"/>
        <v>1.3366285640106224</v>
      </c>
      <c r="BA301" s="54">
        <f t="shared" si="644"/>
        <v>1.5329154541701664</v>
      </c>
      <c r="BB301" s="54">
        <f t="shared" si="644"/>
        <v>1.5373820419273576</v>
      </c>
      <c r="BC301" s="54">
        <f t="shared" si="644"/>
        <v>1.5827886527971238</v>
      </c>
      <c r="BD301" s="54">
        <f t="shared" si="644"/>
        <v>1.5703696784542984</v>
      </c>
      <c r="BE301" s="54">
        <f t="shared" si="644"/>
        <v>1.6222961068095101</v>
      </c>
      <c r="BF301" s="54">
        <f t="shared" si="644"/>
        <v>1.6354577596821178</v>
      </c>
      <c r="BG301" s="54">
        <f t="shared" si="644"/>
        <v>1.6829682568524857</v>
      </c>
      <c r="BH301" s="54">
        <f t="shared" si="644"/>
        <v>1.5316503601327209</v>
      </c>
      <c r="BI301" s="54">
        <f t="shared" si="644"/>
        <v>1.6429658424721465</v>
      </c>
      <c r="BJ301" s="54">
        <f t="shared" si="644"/>
        <v>1.622286192973851</v>
      </c>
    </row>
    <row r="302" spans="1:62">
      <c r="A302" s="1" t="s">
        <v>449</v>
      </c>
      <c r="B302" s="54">
        <f>B293</f>
        <v>0.43844492367578575</v>
      </c>
      <c r="C302" s="54">
        <f t="shared" ref="C302:BJ302" si="645">C293</f>
        <v>0.42754789531652898</v>
      </c>
      <c r="D302" s="54">
        <f t="shared" si="645"/>
        <v>0.48314953821457135</v>
      </c>
      <c r="E302" s="54">
        <f t="shared" si="645"/>
        <v>0.45231371000196757</v>
      </c>
      <c r="F302" s="54">
        <f t="shared" si="645"/>
        <v>0.46368010861408038</v>
      </c>
      <c r="G302" s="54">
        <f t="shared" si="645"/>
        <v>0.4717024219937978</v>
      </c>
      <c r="H302" s="54">
        <f t="shared" si="645"/>
        <v>0.43294236112440365</v>
      </c>
      <c r="I302" s="54">
        <f t="shared" si="645"/>
        <v>0.44545748626780446</v>
      </c>
      <c r="J302" s="54">
        <f t="shared" si="645"/>
        <v>0.43369012870288004</v>
      </c>
      <c r="K302" s="54">
        <f t="shared" si="645"/>
        <v>0.44437583958433124</v>
      </c>
      <c r="L302" s="54">
        <f t="shared" si="645"/>
        <v>0.46189851540646532</v>
      </c>
      <c r="M302" s="54">
        <f t="shared" si="645"/>
        <v>0.45881275671556521</v>
      </c>
      <c r="N302" s="54">
        <f t="shared" si="645"/>
        <v>0.51752369581318725</v>
      </c>
      <c r="O302" s="54">
        <f t="shared" si="645"/>
        <v>0.47893179670919428</v>
      </c>
      <c r="P302" s="54">
        <f t="shared" si="645"/>
        <v>0.54194270934511002</v>
      </c>
      <c r="Q302" s="54">
        <f t="shared" si="645"/>
        <v>0.25613962104288968</v>
      </c>
      <c r="R302" s="54">
        <f t="shared" si="645"/>
        <v>0.67592849623252238</v>
      </c>
      <c r="S302" s="54">
        <f t="shared" si="645"/>
        <v>0.65166093591416885</v>
      </c>
      <c r="T302" s="54">
        <f t="shared" si="645"/>
        <v>0.64464830545562346</v>
      </c>
      <c r="U302" s="54">
        <f t="shared" si="645"/>
        <v>0.6761499385082429</v>
      </c>
      <c r="V302" s="54">
        <f t="shared" si="645"/>
        <v>0.69645188361448762</v>
      </c>
      <c r="W302" s="54">
        <f t="shared" si="645"/>
        <v>0.49748248615061919</v>
      </c>
      <c r="X302" s="54">
        <f t="shared" si="645"/>
        <v>0.58725628012677045</v>
      </c>
      <c r="Y302" s="54">
        <f t="shared" si="645"/>
        <v>0.43579003444033165</v>
      </c>
      <c r="Z302" s="54">
        <f t="shared" si="645"/>
        <v>0.49547588808666143</v>
      </c>
      <c r="AA302" s="54">
        <f t="shared" si="645"/>
        <v>0.34141928818628531</v>
      </c>
      <c r="AB302" s="54">
        <f t="shared" si="645"/>
        <v>0.61206069863301371</v>
      </c>
      <c r="AC302" s="54">
        <f t="shared" si="645"/>
        <v>0.73718272551685504</v>
      </c>
      <c r="AD302" s="54">
        <f t="shared" si="645"/>
        <v>0.75030669467933397</v>
      </c>
      <c r="AE302" s="54">
        <f t="shared" si="645"/>
        <v>0.77166186212315713</v>
      </c>
      <c r="AF302" s="54">
        <f t="shared" si="645"/>
        <v>0.78269873992026384</v>
      </c>
      <c r="AG302" s="54">
        <f t="shared" si="645"/>
        <v>0.78855091824259782</v>
      </c>
      <c r="AH302" s="54">
        <f t="shared" si="645"/>
        <v>0.76109516539663313</v>
      </c>
      <c r="AI302" s="54">
        <f t="shared" si="645"/>
        <v>0.77625297834034568</v>
      </c>
      <c r="AJ302" s="54">
        <f t="shared" si="645"/>
        <v>0.761575978126802</v>
      </c>
      <c r="AK302" s="54">
        <f t="shared" si="645"/>
        <v>0.79413874404570228</v>
      </c>
      <c r="AL302" s="54">
        <f t="shared" si="645"/>
        <v>0.8168306027129596</v>
      </c>
      <c r="AM302" s="54">
        <f t="shared" si="645"/>
        <v>0.78515518395403849</v>
      </c>
      <c r="AN302" s="54">
        <f t="shared" si="645"/>
        <v>0.79520462570640327</v>
      </c>
      <c r="AO302" s="54">
        <f t="shared" si="645"/>
        <v>0.80260181079037207</v>
      </c>
      <c r="AP302" s="54">
        <f t="shared" si="645"/>
        <v>0.43621873019761581</v>
      </c>
      <c r="AQ302" s="54">
        <f t="shared" si="645"/>
        <v>0.4132144897188762</v>
      </c>
      <c r="AR302" s="54">
        <f t="shared" si="645"/>
        <v>0.4490105608697616</v>
      </c>
      <c r="AS302" s="54">
        <f t="shared" si="645"/>
        <v>0.46509673836607851</v>
      </c>
      <c r="AT302" s="54">
        <f t="shared" si="645"/>
        <v>0.47288212354331544</v>
      </c>
      <c r="AU302" s="54">
        <f t="shared" si="645"/>
        <v>0.36847704158746275</v>
      </c>
      <c r="AV302" s="54">
        <f t="shared" si="645"/>
        <v>0.47805251890468536</v>
      </c>
      <c r="AW302" s="54">
        <f t="shared" si="645"/>
        <v>0.48431700362497943</v>
      </c>
      <c r="AX302" s="54">
        <f t="shared" si="645"/>
        <v>0.31002637841287672</v>
      </c>
      <c r="AY302" s="54">
        <f t="shared" si="645"/>
        <v>0.48348308744314672</v>
      </c>
      <c r="AZ302" s="54">
        <f t="shared" si="645"/>
        <v>0.45231431855178561</v>
      </c>
      <c r="BA302" s="54">
        <f t="shared" si="645"/>
        <v>0.57882488911512109</v>
      </c>
      <c r="BB302" s="54">
        <f t="shared" si="645"/>
        <v>0.5837987021563964</v>
      </c>
      <c r="BC302" s="54">
        <f t="shared" si="645"/>
        <v>0.56947844202224951</v>
      </c>
      <c r="BD302" s="54">
        <f t="shared" si="645"/>
        <v>0.58049903709163941</v>
      </c>
      <c r="BE302" s="54">
        <f t="shared" si="645"/>
        <v>0.58303594864132324</v>
      </c>
      <c r="BF302" s="54">
        <f t="shared" si="645"/>
        <v>0.72086796716994228</v>
      </c>
      <c r="BG302" s="54">
        <f t="shared" si="645"/>
        <v>0.74562101443296647</v>
      </c>
      <c r="BH302" s="54">
        <f t="shared" si="645"/>
        <v>0.67748574897320268</v>
      </c>
      <c r="BI302" s="54">
        <f t="shared" si="645"/>
        <v>0.66902528781791049</v>
      </c>
      <c r="BJ302" s="54">
        <f t="shared" si="645"/>
        <v>0.66785699846434332</v>
      </c>
    </row>
  </sheetData>
  <phoneticPr fontId="2"/>
  <pageMargins left="0.78740157499999996" right="0.78740157499999996" top="0.984251969" bottom="0.984251969" header="0.5" footer="0.5"/>
  <pageSetup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0"/>
  <sheetViews>
    <sheetView workbookViewId="0">
      <selection activeCell="B172" sqref="B172"/>
    </sheetView>
  </sheetViews>
  <sheetFormatPr baseColWidth="10" defaultRowHeight="13"/>
  <cols>
    <col min="1" max="1" width="35.796875" style="1" customWidth="1"/>
    <col min="2" max="27" width="11" style="2" customWidth="1"/>
    <col min="28" max="30" width="11" style="1" customWidth="1"/>
  </cols>
  <sheetData>
    <row r="1" spans="1:4">
      <c r="A1" s="1" t="s">
        <v>16</v>
      </c>
    </row>
    <row r="3" spans="1:4">
      <c r="B3" s="2" t="s">
        <v>111</v>
      </c>
      <c r="C3" s="2" t="s">
        <v>81</v>
      </c>
      <c r="D3" s="2" t="s">
        <v>112</v>
      </c>
    </row>
    <row r="4" spans="1:4">
      <c r="A4" s="1" t="s">
        <v>264</v>
      </c>
      <c r="B4" s="2">
        <v>60.08</v>
      </c>
      <c r="C4" s="2">
        <v>1</v>
      </c>
      <c r="D4" s="2">
        <v>4</v>
      </c>
    </row>
    <row r="5" spans="1:4">
      <c r="A5" s="1" t="s">
        <v>265</v>
      </c>
      <c r="B5" s="2">
        <v>79.900000000000006</v>
      </c>
      <c r="C5" s="2">
        <v>1</v>
      </c>
      <c r="D5" s="2">
        <v>4</v>
      </c>
    </row>
    <row r="6" spans="1:4">
      <c r="A6" s="1" t="s">
        <v>113</v>
      </c>
      <c r="B6" s="2">
        <v>151.99080000000001</v>
      </c>
      <c r="C6" s="2">
        <v>2</v>
      </c>
      <c r="D6" s="2">
        <v>3</v>
      </c>
    </row>
    <row r="7" spans="1:4">
      <c r="A7" s="1" t="s">
        <v>266</v>
      </c>
      <c r="B7" s="2">
        <v>101.94</v>
      </c>
      <c r="C7" s="2">
        <v>2</v>
      </c>
      <c r="D7" s="2">
        <v>3</v>
      </c>
    </row>
    <row r="8" spans="1:4">
      <c r="A8" s="1" t="s">
        <v>268</v>
      </c>
      <c r="B8" s="2">
        <v>71.849999999999994</v>
      </c>
      <c r="C8" s="2">
        <v>1</v>
      </c>
      <c r="D8" s="2">
        <v>2</v>
      </c>
    </row>
    <row r="9" spans="1:4">
      <c r="A9" s="1" t="s">
        <v>269</v>
      </c>
      <c r="B9" s="2">
        <v>70.936999999999998</v>
      </c>
      <c r="C9" s="2">
        <v>1</v>
      </c>
      <c r="D9" s="2">
        <v>2</v>
      </c>
    </row>
    <row r="10" spans="1:4">
      <c r="A10" s="1" t="s">
        <v>114</v>
      </c>
      <c r="B10" s="2">
        <v>74.709400000000002</v>
      </c>
      <c r="C10" s="2">
        <v>1</v>
      </c>
      <c r="D10" s="2">
        <v>2</v>
      </c>
    </row>
    <row r="11" spans="1:4">
      <c r="A11" s="1" t="s">
        <v>270</v>
      </c>
      <c r="B11" s="2">
        <v>40.31</v>
      </c>
      <c r="C11" s="2">
        <v>1</v>
      </c>
      <c r="D11" s="2">
        <v>2</v>
      </c>
    </row>
    <row r="12" spans="1:4">
      <c r="A12" s="1" t="s">
        <v>271</v>
      </c>
      <c r="B12" s="2">
        <v>56.08</v>
      </c>
      <c r="C12" s="2">
        <v>1</v>
      </c>
      <c r="D12" s="2">
        <v>2</v>
      </c>
    </row>
    <row r="13" spans="1:4">
      <c r="A13" s="1" t="s">
        <v>272</v>
      </c>
      <c r="B13" s="2">
        <v>61.981999999999999</v>
      </c>
      <c r="C13" s="2">
        <v>2</v>
      </c>
      <c r="D13" s="2">
        <v>1</v>
      </c>
    </row>
    <row r="14" spans="1:4">
      <c r="A14" s="1" t="s">
        <v>273</v>
      </c>
      <c r="B14" s="2">
        <v>94.2</v>
      </c>
      <c r="C14" s="2">
        <v>2</v>
      </c>
      <c r="D14" s="2">
        <v>1</v>
      </c>
    </row>
    <row r="15" spans="1:4">
      <c r="A15" s="1" t="s">
        <v>267</v>
      </c>
      <c r="B15" s="2">
        <v>159.691</v>
      </c>
      <c r="C15" s="2">
        <v>2</v>
      </c>
      <c r="D15" s="2">
        <v>3</v>
      </c>
    </row>
    <row r="16" spans="1:4">
      <c r="A16" s="1" t="s">
        <v>85</v>
      </c>
      <c r="B16" s="2">
        <v>18.015339999999998</v>
      </c>
      <c r="C16" s="2">
        <v>2</v>
      </c>
      <c r="D16" s="2">
        <v>0</v>
      </c>
    </row>
    <row r="17" spans="1:27">
      <c r="A17" s="1" t="s">
        <v>86</v>
      </c>
      <c r="B17" s="2">
        <v>18.9984</v>
      </c>
      <c r="C17" s="2">
        <v>1</v>
      </c>
      <c r="D17" s="2">
        <v>0</v>
      </c>
    </row>
    <row r="18" spans="1:27">
      <c r="A18" s="1" t="s">
        <v>87</v>
      </c>
      <c r="B18" s="2">
        <v>35.453000000000003</v>
      </c>
      <c r="C18" s="2">
        <v>1</v>
      </c>
      <c r="D18" s="2">
        <v>0</v>
      </c>
    </row>
    <row r="19" spans="1:27" ht="14" thickBot="1"/>
    <row r="20" spans="1:27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27"/>
      <c r="V20" s="16"/>
    </row>
    <row r="21" spans="1:27" s="1" customFormat="1">
      <c r="A21" s="6" t="s">
        <v>82</v>
      </c>
      <c r="B21" s="7" t="str">
        <f>Input!B1</f>
        <v xml:space="preserve">1 / 1 . </v>
      </c>
      <c r="C21" s="7" t="str">
        <f>Input!C1</f>
        <v xml:space="preserve">4 / 1 . </v>
      </c>
      <c r="D21" s="7" t="str">
        <f>Input!D1</f>
        <v xml:space="preserve">5 / 1 . </v>
      </c>
      <c r="E21" s="7" t="str">
        <f>Input!E1</f>
        <v xml:space="preserve">6 / 1 . </v>
      </c>
      <c r="F21" s="7" t="str">
        <f>Input!F1</f>
        <v xml:space="preserve">17 / 1 . </v>
      </c>
      <c r="G21" s="7" t="str">
        <f>Input!G1</f>
        <v xml:space="preserve">18 / 1 . </v>
      </c>
      <c r="H21" s="7" t="str">
        <f>Input!H1</f>
        <v xml:space="preserve">19 / 1 . </v>
      </c>
      <c r="I21" s="7" t="str">
        <f>Input!I1</f>
        <v xml:space="preserve">20 / 1 . </v>
      </c>
      <c r="J21" s="7" t="str">
        <f>Input!J1</f>
        <v xml:space="preserve">26 / 1 . </v>
      </c>
      <c r="K21" s="7" t="str">
        <f>Input!K1</f>
        <v xml:space="preserve">27 / 1 . </v>
      </c>
      <c r="L21" s="7" t="str">
        <f>Input!L1</f>
        <v xml:space="preserve">28 / 1 . </v>
      </c>
      <c r="M21" s="7" t="str">
        <f>Input!M1</f>
        <v xml:space="preserve">33 / 1 . </v>
      </c>
      <c r="N21" s="7" t="str">
        <f>Input!N1</f>
        <v xml:space="preserve">34 / 1 . </v>
      </c>
      <c r="O21" s="7" t="str">
        <f>Input!O1</f>
        <v xml:space="preserve">35 / 1 . </v>
      </c>
      <c r="P21" s="7" t="str">
        <f>Input!P1</f>
        <v xml:space="preserve">43 / 1 . </v>
      </c>
      <c r="Q21" s="7" t="str">
        <f>Input!Q1</f>
        <v xml:space="preserve">44 / 1 . </v>
      </c>
      <c r="R21" s="7" t="str">
        <f>Input!R1</f>
        <v xml:space="preserve">50 / 1 . </v>
      </c>
      <c r="S21" s="7" t="str">
        <f>Input!S1</f>
        <v xml:space="preserve">51 / 1 . </v>
      </c>
      <c r="T21" s="7" t="str">
        <f>Input!T1</f>
        <v xml:space="preserve">52 / 1 . </v>
      </c>
      <c r="U21" s="18" t="s">
        <v>79</v>
      </c>
      <c r="V21" s="17" t="s">
        <v>80</v>
      </c>
      <c r="W21" s="2"/>
      <c r="X21" s="2"/>
      <c r="Y21" s="2"/>
      <c r="Z21" s="2"/>
      <c r="AA21" s="2"/>
    </row>
    <row r="22" spans="1:27" s="1" customFormat="1">
      <c r="A22" s="6"/>
      <c r="B22" s="7" t="str">
        <f>Input!B2</f>
        <v>YG182_test amph</v>
      </c>
      <c r="C22" s="7" t="str">
        <f>Input!C2</f>
        <v>YG182_1_AmphC</v>
      </c>
      <c r="D22" s="7" t="str">
        <f>Input!D2</f>
        <v>YG182_1_AmphB</v>
      </c>
      <c r="E22" s="7" t="str">
        <f>Input!E2</f>
        <v>YG182_1_AmphB</v>
      </c>
      <c r="F22" s="7" t="str">
        <f>Input!F2</f>
        <v>YG182_2_AmphC</v>
      </c>
      <c r="G22" s="7" t="str">
        <f>Input!G2</f>
        <v>YG182_2_AmphB</v>
      </c>
      <c r="H22" s="7" t="str">
        <f>Input!H2</f>
        <v>YG182_2_AmphC</v>
      </c>
      <c r="I22" s="7" t="str">
        <f>Input!I2</f>
        <v>YG182_2_AmphB</v>
      </c>
      <c r="J22" s="7" t="str">
        <f>Input!J2</f>
        <v>YG182_3_AmphC</v>
      </c>
      <c r="K22" s="7" t="str">
        <f>Input!K2</f>
        <v>YG182_3_AmphB</v>
      </c>
      <c r="L22" s="7" t="str">
        <f>Input!L2</f>
        <v>YG182_3_AmphB</v>
      </c>
      <c r="M22" s="7" t="str">
        <f>Input!M2</f>
        <v>YG182_4_AmpC</v>
      </c>
      <c r="N22" s="7" t="str">
        <f>Input!N2</f>
        <v>YG182_4_AmpC</v>
      </c>
      <c r="O22" s="7" t="str">
        <f>Input!O2</f>
        <v>YG182_4_AmpB</v>
      </c>
      <c r="P22" s="7" t="str">
        <f>Input!P2</f>
        <v>19NC11C_1_AmphC</v>
      </c>
      <c r="Q22" s="7" t="str">
        <f>Input!Q2</f>
        <v>19NC11C_1_AmphB</v>
      </c>
      <c r="R22" s="7" t="str">
        <f>Input!R2</f>
        <v>19NC11C_2_AmphC</v>
      </c>
      <c r="S22" s="7" t="str">
        <f>Input!S2</f>
        <v>19NC11C_2_AmphB</v>
      </c>
      <c r="T22" s="7" t="str">
        <f>Input!T2</f>
        <v>19NC11C_2_AmphB</v>
      </c>
      <c r="U22" s="18"/>
      <c r="V22" s="17"/>
      <c r="W22" s="2"/>
      <c r="X22" s="2"/>
      <c r="Y22" s="2"/>
      <c r="Z22" s="2"/>
      <c r="AA22" s="2"/>
    </row>
    <row r="23" spans="1:27" s="1" customFormat="1">
      <c r="A23" s="6" t="s">
        <v>264</v>
      </c>
      <c r="B23" s="7">
        <f>Input!B3</f>
        <v>46.44</v>
      </c>
      <c r="C23" s="7">
        <f>Input!C3</f>
        <v>45.22</v>
      </c>
      <c r="D23" s="7">
        <f>Input!D3</f>
        <v>44.98</v>
      </c>
      <c r="E23" s="7">
        <f>Input!E3</f>
        <v>44.03</v>
      </c>
      <c r="F23" s="7">
        <f>Input!F3</f>
        <v>44.95</v>
      </c>
      <c r="G23" s="7">
        <f>Input!G3</f>
        <v>44.23</v>
      </c>
      <c r="H23" s="7">
        <f>Input!H3</f>
        <v>44.96</v>
      </c>
      <c r="I23" s="7">
        <f>Input!I3</f>
        <v>45.33</v>
      </c>
      <c r="J23" s="7">
        <f>Input!J3</f>
        <v>45.95</v>
      </c>
      <c r="K23" s="7">
        <f>Input!K3</f>
        <v>44.19</v>
      </c>
      <c r="L23" s="7">
        <f>Input!L3</f>
        <v>45.63</v>
      </c>
      <c r="M23" s="7">
        <f>Input!M3</f>
        <v>44.73</v>
      </c>
      <c r="N23" s="7">
        <f>Input!N3</f>
        <v>45.72</v>
      </c>
      <c r="O23" s="7">
        <f>Input!O3</f>
        <v>44.31</v>
      </c>
      <c r="P23" s="7">
        <f>Input!P3</f>
        <v>44.7</v>
      </c>
      <c r="Q23" s="7">
        <f>Input!Q3</f>
        <v>51.09</v>
      </c>
      <c r="R23" s="7">
        <f>Input!R3</f>
        <v>42.91</v>
      </c>
      <c r="S23" s="7">
        <f>Input!S3</f>
        <v>42.89</v>
      </c>
      <c r="T23" s="7">
        <f>Input!T3</f>
        <v>42.61</v>
      </c>
      <c r="U23" s="18">
        <f t="shared" ref="U23:U36" si="0">AVERAGE(B23:I23)</f>
        <v>45.017499999999998</v>
      </c>
      <c r="V23" s="17">
        <f t="shared" ref="V23:V36" si="1">STDEV(B23:I23)</f>
        <v>0.7335578660590738</v>
      </c>
      <c r="W23" s="2"/>
      <c r="X23" s="2"/>
      <c r="Y23" s="2"/>
      <c r="Z23" s="2"/>
      <c r="AA23" s="2"/>
    </row>
    <row r="24" spans="1:27" s="1" customFormat="1">
      <c r="A24" s="6" t="s">
        <v>265</v>
      </c>
      <c r="B24" s="7">
        <f>Input!B4</f>
        <v>0.44</v>
      </c>
      <c r="C24" s="7">
        <f>Input!C4</f>
        <v>0.55000000000000004</v>
      </c>
      <c r="D24" s="7">
        <f>Input!D4</f>
        <v>0.56999999999999995</v>
      </c>
      <c r="E24" s="7">
        <f>Input!E4</f>
        <v>0.39</v>
      </c>
      <c r="F24" s="7">
        <f>Input!F4</f>
        <v>0.62</v>
      </c>
      <c r="G24" s="7">
        <f>Input!G4</f>
        <v>0.57999999999999996</v>
      </c>
      <c r="H24" s="7">
        <f>Input!H4</f>
        <v>0.6</v>
      </c>
      <c r="I24" s="7">
        <f>Input!I4</f>
        <v>0.61</v>
      </c>
      <c r="J24" s="7">
        <f>Input!J4</f>
        <v>0.49</v>
      </c>
      <c r="K24" s="7">
        <f>Input!K4</f>
        <v>0.44</v>
      </c>
      <c r="L24" s="7">
        <f>Input!L4</f>
        <v>0.6</v>
      </c>
      <c r="M24" s="7">
        <f>Input!M4</f>
        <v>0.63</v>
      </c>
      <c r="N24" s="7">
        <f>Input!N4</f>
        <v>0.63</v>
      </c>
      <c r="O24" s="7">
        <f>Input!O4</f>
        <v>0.79</v>
      </c>
      <c r="P24" s="7">
        <f>Input!P4</f>
        <v>1.37</v>
      </c>
      <c r="Q24" s="7">
        <f>Input!Q4</f>
        <v>0.08</v>
      </c>
      <c r="R24" s="7">
        <f>Input!R4</f>
        <v>1.63</v>
      </c>
      <c r="S24" s="7">
        <f>Input!S4</f>
        <v>1.59</v>
      </c>
      <c r="T24" s="7">
        <f>Input!T4</f>
        <v>1.59</v>
      </c>
      <c r="U24" s="18">
        <f t="shared" si="0"/>
        <v>0.54500000000000004</v>
      </c>
      <c r="V24" s="17">
        <f t="shared" si="1"/>
        <v>8.4346225252145648E-2</v>
      </c>
      <c r="W24" s="2"/>
      <c r="X24" s="2"/>
      <c r="Y24" s="2"/>
      <c r="Z24" s="2"/>
      <c r="AA24" s="2"/>
    </row>
    <row r="25" spans="1:27" s="1" customFormat="1">
      <c r="A25" s="6" t="s">
        <v>113</v>
      </c>
      <c r="B25" s="7">
        <f>Input!B5</f>
        <v>0.05</v>
      </c>
      <c r="C25" s="7">
        <f>Input!C5</f>
        <v>0.04</v>
      </c>
      <c r="D25" s="7">
        <f>Input!D5</f>
        <v>0.03</v>
      </c>
      <c r="E25" s="7">
        <f>Input!E5</f>
        <v>0.05</v>
      </c>
      <c r="F25" s="7">
        <f>Input!F5</f>
        <v>0.03</v>
      </c>
      <c r="G25" s="7">
        <f>Input!G5</f>
        <v>0.02</v>
      </c>
      <c r="H25" s="7">
        <f>Input!H5</f>
        <v>7.0000000000000007E-2</v>
      </c>
      <c r="I25" s="7">
        <f>Input!I5</f>
        <v>0.05</v>
      </c>
      <c r="J25" s="7">
        <f>Input!J5</f>
        <v>0.06</v>
      </c>
      <c r="K25" s="7">
        <f>Input!K5</f>
        <v>0.01</v>
      </c>
      <c r="L25" s="7">
        <f>Input!L5</f>
        <v>0.05</v>
      </c>
      <c r="M25" s="7">
        <f>Input!M5</f>
        <v>0.04</v>
      </c>
      <c r="N25" s="7">
        <f>Input!N5</f>
        <v>0.06</v>
      </c>
      <c r="O25" s="7">
        <f>Input!O5</f>
        <v>0.04</v>
      </c>
      <c r="P25" s="7">
        <f>Input!P5</f>
        <v>0.09</v>
      </c>
      <c r="Q25" s="7">
        <f>Input!Q5</f>
        <v>0.02</v>
      </c>
      <c r="R25" s="7">
        <f>Input!R5</f>
        <v>0.11</v>
      </c>
      <c r="S25" s="7">
        <f>Input!S5</f>
        <v>0.11</v>
      </c>
      <c r="T25" s="7">
        <f>Input!T5</f>
        <v>0.1</v>
      </c>
      <c r="U25" s="18">
        <f t="shared" si="0"/>
        <v>4.2499999999999996E-2</v>
      </c>
      <c r="V25" s="17">
        <f t="shared" si="1"/>
        <v>1.5811388300841903E-2</v>
      </c>
      <c r="W25" s="2"/>
      <c r="X25" s="2"/>
      <c r="Y25" s="2"/>
      <c r="Z25" s="2"/>
      <c r="AA25" s="2"/>
    </row>
    <row r="26" spans="1:27" s="1" customFormat="1">
      <c r="A26" s="6" t="s">
        <v>266</v>
      </c>
      <c r="B26" s="7">
        <f>Input!B6</f>
        <v>9.56</v>
      </c>
      <c r="C26" s="7">
        <f>Input!C6</f>
        <v>11.21</v>
      </c>
      <c r="D26" s="7">
        <f>Input!D6</f>
        <v>11.78</v>
      </c>
      <c r="E26" s="7">
        <f>Input!E6</f>
        <v>11.73</v>
      </c>
      <c r="F26" s="7">
        <f>Input!F6</f>
        <v>11.48</v>
      </c>
      <c r="G26" s="7">
        <f>Input!G6</f>
        <v>11.91</v>
      </c>
      <c r="H26" s="7">
        <f>Input!H6</f>
        <v>11.54</v>
      </c>
      <c r="I26" s="7">
        <f>Input!I6</f>
        <v>11.44</v>
      </c>
      <c r="J26" s="7">
        <f>Input!J6</f>
        <v>10.87</v>
      </c>
      <c r="K26" s="7">
        <f>Input!K6</f>
        <v>9.27</v>
      </c>
      <c r="L26" s="7">
        <f>Input!L6</f>
        <v>11.37</v>
      </c>
      <c r="M26" s="7">
        <f>Input!M6</f>
        <v>11.74</v>
      </c>
      <c r="N26" s="7">
        <f>Input!N6</f>
        <v>11.6</v>
      </c>
      <c r="O26" s="7">
        <f>Input!O6</f>
        <v>12.23</v>
      </c>
      <c r="P26" s="7">
        <f>Input!P6</f>
        <v>9.49</v>
      </c>
      <c r="Q26" s="7">
        <f>Input!Q6</f>
        <v>4.8099999999999996</v>
      </c>
      <c r="R26" s="7">
        <f>Input!R6</f>
        <v>11.31</v>
      </c>
      <c r="S26" s="7">
        <f>Input!S6</f>
        <v>11.45</v>
      </c>
      <c r="T26" s="7">
        <f>Input!T6</f>
        <v>11.29</v>
      </c>
      <c r="U26" s="18">
        <f t="shared" si="0"/>
        <v>11.331250000000001</v>
      </c>
      <c r="V26" s="17">
        <f t="shared" si="1"/>
        <v>0.74879784607443545</v>
      </c>
      <c r="W26" s="2"/>
      <c r="X26" s="2"/>
      <c r="Y26" s="2"/>
      <c r="Z26" s="2"/>
      <c r="AA26" s="2"/>
    </row>
    <row r="27" spans="1:27" s="1" customFormat="1">
      <c r="A27" s="6" t="s">
        <v>268</v>
      </c>
      <c r="B27" s="7">
        <f>Input!B7</f>
        <v>13.78</v>
      </c>
      <c r="C27" s="7">
        <f>Input!C7</f>
        <v>13.44</v>
      </c>
      <c r="D27" s="7">
        <f>Input!D7</f>
        <v>14.5</v>
      </c>
      <c r="E27" s="7">
        <f>Input!E7</f>
        <v>14.61</v>
      </c>
      <c r="F27" s="7">
        <f>Input!F7</f>
        <v>13.9</v>
      </c>
      <c r="G27" s="7">
        <f>Input!G7</f>
        <v>14.65</v>
      </c>
      <c r="H27" s="7">
        <f>Input!H7</f>
        <v>13.48</v>
      </c>
      <c r="I27" s="7">
        <f>Input!I7</f>
        <v>14.11</v>
      </c>
      <c r="J27" s="7">
        <f>Input!J7</f>
        <v>13.8</v>
      </c>
      <c r="K27" s="7">
        <f>Input!K7</f>
        <v>14.59</v>
      </c>
      <c r="L27" s="7">
        <f>Input!L7</f>
        <v>13.72</v>
      </c>
      <c r="M27" s="7">
        <f>Input!M7</f>
        <v>13.89</v>
      </c>
      <c r="N27" s="7">
        <f>Input!N7</f>
        <v>13.89</v>
      </c>
      <c r="O27" s="7">
        <f>Input!O7</f>
        <v>14.45</v>
      </c>
      <c r="P27" s="7">
        <f>Input!P7</f>
        <v>13.43</v>
      </c>
      <c r="Q27" s="7">
        <f>Input!Q7</f>
        <v>10.050000000000001</v>
      </c>
      <c r="R27" s="7">
        <f>Input!R7</f>
        <v>14.33</v>
      </c>
      <c r="S27" s="7">
        <f>Input!S7</f>
        <v>14.27</v>
      </c>
      <c r="T27" s="7">
        <f>Input!T7</f>
        <v>14.68</v>
      </c>
      <c r="U27" s="18">
        <f t="shared" si="0"/>
        <v>14.058750000000002</v>
      </c>
      <c r="V27" s="17">
        <f t="shared" si="1"/>
        <v>0.48865522464354005</v>
      </c>
      <c r="W27" s="2"/>
      <c r="X27" s="2"/>
      <c r="Y27" s="2"/>
      <c r="Z27" s="2"/>
      <c r="AA27" s="2"/>
    </row>
    <row r="28" spans="1:27" s="1" customFormat="1">
      <c r="A28" s="6" t="s">
        <v>269</v>
      </c>
      <c r="B28" s="7">
        <f>Input!B8</f>
        <v>0.68</v>
      </c>
      <c r="C28" s="7">
        <f>Input!C8</f>
        <v>0.84</v>
      </c>
      <c r="D28" s="7">
        <f>Input!D8</f>
        <v>1.01</v>
      </c>
      <c r="E28" s="7">
        <f>Input!E8</f>
        <v>1.1100000000000001</v>
      </c>
      <c r="F28" s="7">
        <f>Input!F8</f>
        <v>0.85</v>
      </c>
      <c r="G28" s="7">
        <f>Input!G8</f>
        <v>0.84</v>
      </c>
      <c r="H28" s="7">
        <f>Input!H8</f>
        <v>0.81</v>
      </c>
      <c r="I28" s="7">
        <f>Input!I8</f>
        <v>0.85</v>
      </c>
      <c r="J28" s="7">
        <f>Input!J8</f>
        <v>0.89</v>
      </c>
      <c r="K28" s="7">
        <f>Input!K8</f>
        <v>0.89</v>
      </c>
      <c r="L28" s="7">
        <f>Input!L8</f>
        <v>0.9</v>
      </c>
      <c r="M28" s="7">
        <f>Input!M8</f>
        <v>0.77</v>
      </c>
      <c r="N28" s="7">
        <f>Input!N8</f>
        <v>0.69</v>
      </c>
      <c r="O28" s="7">
        <f>Input!O8</f>
        <v>0.7</v>
      </c>
      <c r="P28" s="7">
        <f>Input!P8</f>
        <v>0.22</v>
      </c>
      <c r="Q28" s="7">
        <f>Input!Q8</f>
        <v>0.23</v>
      </c>
      <c r="R28" s="7">
        <f>Input!R8</f>
        <v>0.18</v>
      </c>
      <c r="S28" s="7">
        <f>Input!S8</f>
        <v>0.2</v>
      </c>
      <c r="T28" s="7">
        <f>Input!T8</f>
        <v>0.21</v>
      </c>
      <c r="U28" s="18">
        <f t="shared" si="0"/>
        <v>0.87375000000000003</v>
      </c>
      <c r="V28" s="17">
        <f t="shared" si="1"/>
        <v>0.13059616052111628</v>
      </c>
      <c r="W28" s="2"/>
      <c r="X28" s="2"/>
      <c r="Y28" s="2"/>
      <c r="Z28" s="2"/>
      <c r="AA28" s="2"/>
    </row>
    <row r="29" spans="1:27" s="1" customFormat="1">
      <c r="A29" s="6" t="s">
        <v>114</v>
      </c>
      <c r="B29" s="7">
        <f>Input!B9</f>
        <v>0.03</v>
      </c>
      <c r="C29" s="7">
        <f>Input!C9</f>
        <v>0</v>
      </c>
      <c r="D29" s="7">
        <f>Input!D9</f>
        <v>0</v>
      </c>
      <c r="E29" s="7">
        <f>Input!E9</f>
        <v>0.03</v>
      </c>
      <c r="F29" s="7">
        <f>Input!F9</f>
        <v>0</v>
      </c>
      <c r="G29" s="7">
        <f>Input!G9</f>
        <v>0</v>
      </c>
      <c r="H29" s="7">
        <f>Input!H9</f>
        <v>0</v>
      </c>
      <c r="I29" s="7">
        <f>Input!I9</f>
        <v>0</v>
      </c>
      <c r="J29" s="7">
        <f>Input!J9</f>
        <v>0</v>
      </c>
      <c r="K29" s="7">
        <f>Input!K9</f>
        <v>0</v>
      </c>
      <c r="L29" s="7">
        <f>Input!L9</f>
        <v>0</v>
      </c>
      <c r="M29" s="7">
        <f>Input!M9</f>
        <v>0</v>
      </c>
      <c r="N29" s="7">
        <f>Input!N9</f>
        <v>0</v>
      </c>
      <c r="O29" s="7">
        <f>Input!O9</f>
        <v>0</v>
      </c>
      <c r="P29" s="7">
        <f>Input!P9</f>
        <v>0</v>
      </c>
      <c r="Q29" s="7">
        <f>Input!Q9</f>
        <v>0</v>
      </c>
      <c r="R29" s="7">
        <f>Input!R9</f>
        <v>0</v>
      </c>
      <c r="S29" s="7">
        <f>Input!S9</f>
        <v>0</v>
      </c>
      <c r="T29" s="7">
        <f>Input!T9</f>
        <v>0</v>
      </c>
      <c r="U29" s="18">
        <f t="shared" si="0"/>
        <v>7.4999999999999997E-3</v>
      </c>
      <c r="V29" s="17">
        <f t="shared" si="1"/>
        <v>1.3887301496588272E-2</v>
      </c>
      <c r="W29" s="2"/>
      <c r="X29" s="2"/>
      <c r="Y29" s="2"/>
      <c r="Z29" s="2"/>
      <c r="AA29" s="2"/>
    </row>
    <row r="30" spans="1:27" s="1" customFormat="1">
      <c r="A30" s="6" t="s">
        <v>270</v>
      </c>
      <c r="B30" s="7">
        <f>Input!B10</f>
        <v>12.46</v>
      </c>
      <c r="C30" s="7">
        <f>Input!C10</f>
        <v>13</v>
      </c>
      <c r="D30" s="7">
        <f>Input!D10</f>
        <v>12.06</v>
      </c>
      <c r="E30" s="7">
        <f>Input!E10</f>
        <v>11.98</v>
      </c>
      <c r="F30" s="7">
        <f>Input!F10</f>
        <v>12.24</v>
      </c>
      <c r="G30" s="7">
        <f>Input!G10</f>
        <v>11.92</v>
      </c>
      <c r="H30" s="7">
        <f>Input!H10</f>
        <v>12.39</v>
      </c>
      <c r="I30" s="7">
        <f>Input!I10</f>
        <v>12.42</v>
      </c>
      <c r="J30" s="7">
        <f>Input!J10</f>
        <v>12.84</v>
      </c>
      <c r="K30" s="7">
        <f>Input!K10</f>
        <v>11.1</v>
      </c>
      <c r="L30" s="7">
        <f>Input!L10</f>
        <v>12.84</v>
      </c>
      <c r="M30" s="7">
        <f>Input!M10</f>
        <v>12.18</v>
      </c>
      <c r="N30" s="7">
        <f>Input!N10</f>
        <v>11.8</v>
      </c>
      <c r="O30" s="7">
        <f>Input!O10</f>
        <v>12.09</v>
      </c>
      <c r="P30" s="7">
        <f>Input!P10</f>
        <v>12.36</v>
      </c>
      <c r="Q30" s="7">
        <f>Input!Q10</f>
        <v>16.41</v>
      </c>
      <c r="R30" s="7">
        <f>Input!R10</f>
        <v>11.66</v>
      </c>
      <c r="S30" s="7">
        <f>Input!S10</f>
        <v>11.64</v>
      </c>
      <c r="T30" s="7">
        <f>Input!T10</f>
        <v>11.74</v>
      </c>
      <c r="U30" s="18">
        <f t="shared" si="0"/>
        <v>12.30875</v>
      </c>
      <c r="V30" s="17">
        <f t="shared" si="1"/>
        <v>0.34753982300080161</v>
      </c>
      <c r="W30" s="2"/>
      <c r="X30" s="2"/>
      <c r="Y30" s="2"/>
      <c r="Z30" s="2"/>
      <c r="AA30" s="2"/>
    </row>
    <row r="31" spans="1:27" s="1" customFormat="1">
      <c r="A31" s="6" t="s">
        <v>271</v>
      </c>
      <c r="B31" s="7">
        <f>Input!B11</f>
        <v>10.49</v>
      </c>
      <c r="C31" s="7">
        <f>Input!C11</f>
        <v>10.53</v>
      </c>
      <c r="D31" s="7">
        <f>Input!D11</f>
        <v>10.55</v>
      </c>
      <c r="E31" s="7">
        <f>Input!E11</f>
        <v>10</v>
      </c>
      <c r="F31" s="7">
        <f>Input!F11</f>
        <v>10.87</v>
      </c>
      <c r="G31" s="7">
        <f>Input!G11</f>
        <v>10.94</v>
      </c>
      <c r="H31" s="7">
        <f>Input!H11</f>
        <v>11.02</v>
      </c>
      <c r="I31" s="7">
        <f>Input!I11</f>
        <v>10.81</v>
      </c>
      <c r="J31" s="7">
        <f>Input!J11</f>
        <v>10.26</v>
      </c>
      <c r="K31" s="7">
        <f>Input!K11</f>
        <v>10.35</v>
      </c>
      <c r="L31" s="7">
        <f>Input!L11</f>
        <v>10.48</v>
      </c>
      <c r="M31" s="7">
        <f>Input!M11</f>
        <v>10.81</v>
      </c>
      <c r="N31" s="7">
        <f>Input!N11</f>
        <v>10.39</v>
      </c>
      <c r="O31" s="7">
        <f>Input!O11</f>
        <v>10.85</v>
      </c>
      <c r="P31" s="7">
        <f>Input!P11</f>
        <v>12.13</v>
      </c>
      <c r="Q31" s="7">
        <f>Input!Q11</f>
        <v>12.64</v>
      </c>
      <c r="R31" s="7">
        <f>Input!R11</f>
        <v>11.95</v>
      </c>
      <c r="S31" s="7">
        <f>Input!S11</f>
        <v>12.03</v>
      </c>
      <c r="T31" s="7">
        <f>Input!T11</f>
        <v>12.07</v>
      </c>
      <c r="U31" s="18">
        <f t="shared" si="0"/>
        <v>10.651249999999999</v>
      </c>
      <c r="V31" s="17">
        <f t="shared" si="1"/>
        <v>0.33112093172823021</v>
      </c>
      <c r="W31" s="2"/>
      <c r="X31" s="2"/>
      <c r="Y31" s="2"/>
      <c r="Z31" s="2"/>
      <c r="AA31" s="2"/>
    </row>
    <row r="32" spans="1:27" s="1" customFormat="1">
      <c r="A32" s="6" t="s">
        <v>272</v>
      </c>
      <c r="B32" s="7">
        <f>Input!B12</f>
        <v>1.35</v>
      </c>
      <c r="C32" s="7">
        <f>Input!C12</f>
        <v>1.4</v>
      </c>
      <c r="D32" s="7">
        <f>Input!D12</f>
        <v>1.51</v>
      </c>
      <c r="E32" s="7">
        <f>Input!E12</f>
        <v>1.39</v>
      </c>
      <c r="F32" s="7">
        <f>Input!F12</f>
        <v>1.39</v>
      </c>
      <c r="G32" s="7">
        <f>Input!G12</f>
        <v>1.47</v>
      </c>
      <c r="H32" s="7">
        <f>Input!H12</f>
        <v>1.37</v>
      </c>
      <c r="I32" s="7">
        <f>Input!I12</f>
        <v>1.41</v>
      </c>
      <c r="J32" s="7">
        <f>Input!J12</f>
        <v>1.41</v>
      </c>
      <c r="K32" s="7">
        <f>Input!K12</f>
        <v>1.29</v>
      </c>
      <c r="L32" s="7">
        <f>Input!L12</f>
        <v>1.53</v>
      </c>
      <c r="M32" s="7">
        <f>Input!M12</f>
        <v>1.45</v>
      </c>
      <c r="N32" s="7">
        <f>Input!N12</f>
        <v>1.63</v>
      </c>
      <c r="O32" s="7">
        <f>Input!O12</f>
        <v>1.51</v>
      </c>
      <c r="P32" s="7">
        <f>Input!P12</f>
        <v>1.38</v>
      </c>
      <c r="Q32" s="7">
        <f>Input!Q12</f>
        <v>0.74</v>
      </c>
      <c r="R32" s="7">
        <f>Input!R12</f>
        <v>1.67</v>
      </c>
      <c r="S32" s="7">
        <f>Input!S12</f>
        <v>1.57</v>
      </c>
      <c r="T32" s="7">
        <f>Input!T12</f>
        <v>1.6</v>
      </c>
      <c r="U32" s="18">
        <f t="shared" si="0"/>
        <v>1.4112499999999999</v>
      </c>
      <c r="V32" s="17">
        <f t="shared" si="1"/>
        <v>5.303300858899105E-2</v>
      </c>
      <c r="W32" s="2"/>
      <c r="X32" s="2"/>
      <c r="Y32" s="2"/>
      <c r="Z32" s="2"/>
      <c r="AA32" s="2"/>
    </row>
    <row r="33" spans="1:34" s="1" customFormat="1">
      <c r="A33" s="6" t="s">
        <v>273</v>
      </c>
      <c r="B33" s="7">
        <f>Input!B13</f>
        <v>0.24</v>
      </c>
      <c r="C33" s="7">
        <f>Input!C13</f>
        <v>0.14000000000000001</v>
      </c>
      <c r="D33" s="7">
        <f>Input!D13</f>
        <v>0.27</v>
      </c>
      <c r="E33" s="7">
        <f>Input!E13</f>
        <v>0.25</v>
      </c>
      <c r="F33" s="7">
        <f>Input!F13</f>
        <v>0.34</v>
      </c>
      <c r="G33" s="7">
        <f>Input!G13</f>
        <v>0.26</v>
      </c>
      <c r="H33" s="7">
        <f>Input!H13</f>
        <v>0.21</v>
      </c>
      <c r="I33" s="7">
        <f>Input!I13</f>
        <v>0.23</v>
      </c>
      <c r="J33" s="7">
        <f>Input!J13</f>
        <v>0.16</v>
      </c>
      <c r="K33" s="7">
        <f>Input!K13</f>
        <v>0.27</v>
      </c>
      <c r="L33" s="7">
        <f>Input!L13</f>
        <v>0.14000000000000001</v>
      </c>
      <c r="M33" s="7">
        <f>Input!M13</f>
        <v>0.22</v>
      </c>
      <c r="N33" s="7">
        <f>Input!N13</f>
        <v>0.25</v>
      </c>
      <c r="O33" s="7">
        <f>Input!O13</f>
        <v>0.25</v>
      </c>
      <c r="P33" s="7">
        <f>Input!P13</f>
        <v>0.73</v>
      </c>
      <c r="Q33" s="7">
        <f>Input!Q13</f>
        <v>0.26</v>
      </c>
      <c r="R33" s="7">
        <f>Input!R13</f>
        <v>0.99</v>
      </c>
      <c r="S33" s="7">
        <f>Input!S13</f>
        <v>1.02</v>
      </c>
      <c r="T33" s="7">
        <f>Input!T13</f>
        <v>0.94</v>
      </c>
      <c r="U33" s="18">
        <f t="shared" si="0"/>
        <v>0.24249999999999999</v>
      </c>
      <c r="V33" s="17">
        <f t="shared" si="1"/>
        <v>5.6505372690188918E-2</v>
      </c>
      <c r="W33" s="2"/>
      <c r="X33" s="2"/>
      <c r="Y33" s="2"/>
      <c r="Z33" s="2"/>
      <c r="AA33" s="2"/>
    </row>
    <row r="34" spans="1:34" s="1" customFormat="1">
      <c r="A34" s="6" t="s">
        <v>85</v>
      </c>
      <c r="B34" s="7">
        <f>Input!B14</f>
        <v>0</v>
      </c>
      <c r="C34" s="7">
        <f>Input!C14</f>
        <v>0</v>
      </c>
      <c r="D34" s="7">
        <f>Input!D14</f>
        <v>0</v>
      </c>
      <c r="E34" s="7">
        <f>Input!E14</f>
        <v>0</v>
      </c>
      <c r="F34" s="7">
        <f>Input!F14</f>
        <v>0</v>
      </c>
      <c r="G34" s="7">
        <f>Input!G14</f>
        <v>0</v>
      </c>
      <c r="H34" s="7">
        <f>Input!H14</f>
        <v>0</v>
      </c>
      <c r="I34" s="7">
        <f>Input!I14</f>
        <v>0</v>
      </c>
      <c r="J34" s="7">
        <f>Input!J14</f>
        <v>0</v>
      </c>
      <c r="K34" s="7">
        <f>Input!K14</f>
        <v>0</v>
      </c>
      <c r="L34" s="7">
        <f>Input!L14</f>
        <v>0</v>
      </c>
      <c r="M34" s="7">
        <f>Input!M14</f>
        <v>0</v>
      </c>
      <c r="N34" s="7">
        <f>Input!N14</f>
        <v>0</v>
      </c>
      <c r="O34" s="7">
        <f>Input!O14</f>
        <v>0</v>
      </c>
      <c r="P34" s="7">
        <f>Input!P14</f>
        <v>0</v>
      </c>
      <c r="Q34" s="7">
        <f>Input!Q14</f>
        <v>0</v>
      </c>
      <c r="R34" s="7">
        <f>Input!R14</f>
        <v>0</v>
      </c>
      <c r="S34" s="7">
        <f>Input!S14</f>
        <v>0</v>
      </c>
      <c r="T34" s="7">
        <f>Input!T14</f>
        <v>0</v>
      </c>
      <c r="U34" s="18">
        <f t="shared" si="0"/>
        <v>0</v>
      </c>
      <c r="V34" s="17">
        <f t="shared" si="1"/>
        <v>0</v>
      </c>
      <c r="W34" s="2"/>
      <c r="X34" s="2"/>
      <c r="Y34" s="2"/>
      <c r="Z34" s="2"/>
      <c r="AA34" s="2"/>
    </row>
    <row r="35" spans="1:34" s="1" customFormat="1">
      <c r="A35" s="6" t="s">
        <v>86</v>
      </c>
      <c r="B35" s="7">
        <f>Input!B15</f>
        <v>0</v>
      </c>
      <c r="C35" s="7">
        <f>Input!C15</f>
        <v>0</v>
      </c>
      <c r="D35" s="7">
        <f>Input!D15</f>
        <v>0</v>
      </c>
      <c r="E35" s="7">
        <f>Input!E15</f>
        <v>0</v>
      </c>
      <c r="F35" s="7">
        <f>Input!F15</f>
        <v>0</v>
      </c>
      <c r="G35" s="7">
        <f>Input!G15</f>
        <v>0</v>
      </c>
      <c r="H35" s="7">
        <f>Input!H15</f>
        <v>0</v>
      </c>
      <c r="I35" s="7">
        <f>Input!I15</f>
        <v>0</v>
      </c>
      <c r="J35" s="7">
        <f>Input!J15</f>
        <v>0</v>
      </c>
      <c r="K35" s="7">
        <f>Input!K15</f>
        <v>0</v>
      </c>
      <c r="L35" s="7">
        <f>Input!L15</f>
        <v>0</v>
      </c>
      <c r="M35" s="7">
        <f>Input!M15</f>
        <v>0</v>
      </c>
      <c r="N35" s="7">
        <f>Input!N15</f>
        <v>0</v>
      </c>
      <c r="O35" s="7">
        <f>Input!O15</f>
        <v>0</v>
      </c>
      <c r="P35" s="7">
        <f>Input!P15</f>
        <v>0</v>
      </c>
      <c r="Q35" s="7">
        <f>Input!Q15</f>
        <v>0</v>
      </c>
      <c r="R35" s="7">
        <f>Input!R15</f>
        <v>0</v>
      </c>
      <c r="S35" s="7">
        <f>Input!S15</f>
        <v>0</v>
      </c>
      <c r="T35" s="7">
        <f>Input!T15</f>
        <v>0</v>
      </c>
      <c r="U35" s="18">
        <f t="shared" si="0"/>
        <v>0</v>
      </c>
      <c r="V35" s="17">
        <f t="shared" si="1"/>
        <v>0</v>
      </c>
      <c r="W35" s="2"/>
      <c r="X35" s="2"/>
      <c r="Y35" s="2"/>
      <c r="Z35" s="2"/>
      <c r="AA35" s="2"/>
    </row>
    <row r="36" spans="1:34" s="1" customFormat="1">
      <c r="A36" s="6" t="s">
        <v>87</v>
      </c>
      <c r="B36" s="7">
        <f>Input!B16</f>
        <v>0</v>
      </c>
      <c r="C36" s="7">
        <f>Input!C16</f>
        <v>0</v>
      </c>
      <c r="D36" s="7">
        <f>Input!D16</f>
        <v>0</v>
      </c>
      <c r="E36" s="7">
        <f>Input!E16</f>
        <v>0</v>
      </c>
      <c r="F36" s="7">
        <f>Input!F16</f>
        <v>0</v>
      </c>
      <c r="G36" s="7">
        <f>Input!G16</f>
        <v>0</v>
      </c>
      <c r="H36" s="7">
        <f>Input!H16</f>
        <v>0</v>
      </c>
      <c r="I36" s="7">
        <f>Input!I16</f>
        <v>0</v>
      </c>
      <c r="J36" s="7">
        <f>Input!J16</f>
        <v>0</v>
      </c>
      <c r="K36" s="7">
        <f>Input!K16</f>
        <v>0</v>
      </c>
      <c r="L36" s="7">
        <f>Input!L16</f>
        <v>0</v>
      </c>
      <c r="M36" s="7">
        <f>Input!M16</f>
        <v>0</v>
      </c>
      <c r="N36" s="7">
        <f>Input!N16</f>
        <v>0</v>
      </c>
      <c r="O36" s="7">
        <f>Input!O16</f>
        <v>0</v>
      </c>
      <c r="P36" s="7">
        <f>Input!P16</f>
        <v>0</v>
      </c>
      <c r="Q36" s="7">
        <f>Input!Q16</f>
        <v>0</v>
      </c>
      <c r="R36" s="7">
        <f>Input!R16</f>
        <v>0</v>
      </c>
      <c r="S36" s="7">
        <f>Input!S16</f>
        <v>0</v>
      </c>
      <c r="T36" s="7">
        <f>Input!T16</f>
        <v>0</v>
      </c>
      <c r="U36" s="18">
        <f t="shared" si="0"/>
        <v>0</v>
      </c>
      <c r="V36" s="17">
        <f t="shared" si="1"/>
        <v>0</v>
      </c>
      <c r="W36" s="2"/>
      <c r="X36" s="2"/>
      <c r="Y36" s="2"/>
      <c r="Z36" s="2"/>
      <c r="AA36" s="2"/>
    </row>
    <row r="37" spans="1:34" s="1" customFormat="1" ht="14" thickBo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9"/>
      <c r="V37" s="20"/>
      <c r="W37" s="2"/>
      <c r="X37" s="2"/>
      <c r="Y37" s="2"/>
      <c r="Z37" s="2"/>
      <c r="AA37" s="2"/>
    </row>
    <row r="38" spans="1:34" s="1" customFormat="1">
      <c r="A38" s="1" t="s">
        <v>115</v>
      </c>
      <c r="B38" s="2">
        <f t="shared" ref="B38:U38" si="2">SUM(B23:B33)</f>
        <v>95.519999999999982</v>
      </c>
      <c r="C38" s="2">
        <f t="shared" si="2"/>
        <v>96.37</v>
      </c>
      <c r="D38" s="2">
        <f t="shared" si="2"/>
        <v>97.26</v>
      </c>
      <c r="E38" s="2">
        <f t="shared" si="2"/>
        <v>95.570000000000007</v>
      </c>
      <c r="F38" s="2">
        <f t="shared" si="2"/>
        <v>96.67</v>
      </c>
      <c r="G38" s="2">
        <f t="shared" si="2"/>
        <v>96.820000000000007</v>
      </c>
      <c r="H38" s="2">
        <f t="shared" si="2"/>
        <v>96.45</v>
      </c>
      <c r="I38" s="2">
        <f t="shared" si="2"/>
        <v>97.259999999999991</v>
      </c>
      <c r="J38" s="2">
        <f t="shared" si="2"/>
        <v>96.73</v>
      </c>
      <c r="K38" s="2">
        <f t="shared" si="2"/>
        <v>92.399999999999991</v>
      </c>
      <c r="L38" s="2">
        <f t="shared" si="2"/>
        <v>97.260000000000019</v>
      </c>
      <c r="M38" s="2">
        <f t="shared" si="2"/>
        <v>96.46</v>
      </c>
      <c r="N38" s="2">
        <f t="shared" si="2"/>
        <v>96.66</v>
      </c>
      <c r="O38" s="2">
        <f t="shared" si="2"/>
        <v>97.220000000000013</v>
      </c>
      <c r="P38" s="2">
        <f t="shared" si="2"/>
        <v>95.9</v>
      </c>
      <c r="Q38" s="2">
        <f t="shared" si="2"/>
        <v>96.330000000000013</v>
      </c>
      <c r="R38" s="2">
        <f t="shared" si="2"/>
        <v>96.740000000000009</v>
      </c>
      <c r="S38" s="2">
        <f t="shared" si="2"/>
        <v>96.77</v>
      </c>
      <c r="T38" s="2">
        <f t="shared" si="2"/>
        <v>96.829999999999984</v>
      </c>
      <c r="U38" s="2">
        <f t="shared" si="2"/>
        <v>96.490000000000009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s="1" customForma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s="1" customForma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s="1" customFormat="1">
      <c r="A41" s="1" t="s">
        <v>110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s="1" customFormat="1">
      <c r="A42" s="1" t="s">
        <v>116</v>
      </c>
      <c r="B42" s="2">
        <f t="shared" ref="B42:B52" si="3">B23*$C4/$B4</f>
        <v>0.77296937416777634</v>
      </c>
      <c r="C42" s="2">
        <f t="shared" ref="C42:U42" si="4">C23*$C4/$B4</f>
        <v>0.75266311584553924</v>
      </c>
      <c r="D42" s="2">
        <f t="shared" si="4"/>
        <v>0.74866844207723038</v>
      </c>
      <c r="E42" s="2">
        <f t="shared" si="4"/>
        <v>0.73285619174434091</v>
      </c>
      <c r="F42" s="2">
        <f t="shared" si="4"/>
        <v>0.74816910785619184</v>
      </c>
      <c r="G42" s="2">
        <f t="shared" si="4"/>
        <v>0.73618508655126491</v>
      </c>
      <c r="H42" s="2">
        <f t="shared" si="4"/>
        <v>0.74833555259653795</v>
      </c>
      <c r="I42" s="2">
        <f t="shared" si="4"/>
        <v>0.75449400798934751</v>
      </c>
      <c r="J42" s="2">
        <f t="shared" si="4"/>
        <v>0.76481358189081228</v>
      </c>
      <c r="K42" s="2">
        <f t="shared" si="4"/>
        <v>0.73551930758988016</v>
      </c>
      <c r="L42" s="2">
        <f t="shared" si="4"/>
        <v>0.75948735019973379</v>
      </c>
      <c r="M42" s="2">
        <f t="shared" si="4"/>
        <v>0.74450732356857519</v>
      </c>
      <c r="N42" s="2">
        <f t="shared" si="4"/>
        <v>0.76098535286284952</v>
      </c>
      <c r="O42" s="2">
        <f t="shared" si="4"/>
        <v>0.73751664447403464</v>
      </c>
      <c r="P42" s="2">
        <f t="shared" si="4"/>
        <v>0.74400798934753665</v>
      </c>
      <c r="Q42" s="2">
        <f t="shared" si="4"/>
        <v>0.85036617842876172</v>
      </c>
      <c r="R42" s="2">
        <f t="shared" si="4"/>
        <v>0.71421438082556588</v>
      </c>
      <c r="S42" s="2">
        <f t="shared" si="4"/>
        <v>0.71388149134487355</v>
      </c>
      <c r="T42" s="2">
        <f t="shared" si="4"/>
        <v>0.70922103861517982</v>
      </c>
      <c r="U42" s="2">
        <f t="shared" si="4"/>
        <v>0.74929260985352863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s="1" customFormat="1">
      <c r="A43" s="1" t="s">
        <v>117</v>
      </c>
      <c r="B43" s="2">
        <f t="shared" si="3"/>
        <v>5.5068836045056319E-3</v>
      </c>
      <c r="C43" s="2">
        <f t="shared" ref="C43:U43" si="5">C24*$C5/$B5</f>
        <v>6.8836045056320403E-3</v>
      </c>
      <c r="D43" s="2">
        <f t="shared" si="5"/>
        <v>7.1339173967459313E-3</v>
      </c>
      <c r="E43" s="2">
        <f t="shared" si="5"/>
        <v>4.8811013767209007E-3</v>
      </c>
      <c r="F43" s="2">
        <f t="shared" si="5"/>
        <v>7.7596996245306625E-3</v>
      </c>
      <c r="G43" s="2">
        <f t="shared" si="5"/>
        <v>7.2590738423028772E-3</v>
      </c>
      <c r="H43" s="2">
        <f t="shared" si="5"/>
        <v>7.5093867334167699E-3</v>
      </c>
      <c r="I43" s="2">
        <f t="shared" si="5"/>
        <v>7.6345431789737166E-3</v>
      </c>
      <c r="J43" s="2">
        <f t="shared" si="5"/>
        <v>6.1326658322903623E-3</v>
      </c>
      <c r="K43" s="2">
        <f t="shared" si="5"/>
        <v>5.5068836045056319E-3</v>
      </c>
      <c r="L43" s="2">
        <f t="shared" si="5"/>
        <v>7.5093867334167699E-3</v>
      </c>
      <c r="M43" s="2">
        <f t="shared" si="5"/>
        <v>7.8848560700876084E-3</v>
      </c>
      <c r="N43" s="2">
        <f t="shared" si="5"/>
        <v>7.8848560700876084E-3</v>
      </c>
      <c r="O43" s="2">
        <f t="shared" si="5"/>
        <v>9.8873591989987481E-3</v>
      </c>
      <c r="P43" s="2">
        <f t="shared" si="5"/>
        <v>1.7146433041301628E-2</v>
      </c>
      <c r="Q43" s="2">
        <f t="shared" si="5"/>
        <v>1.0012515644555694E-3</v>
      </c>
      <c r="R43" s="2">
        <f t="shared" si="5"/>
        <v>2.0400500625782227E-2</v>
      </c>
      <c r="S43" s="2">
        <f t="shared" si="5"/>
        <v>1.9899874843554443E-2</v>
      </c>
      <c r="T43" s="2">
        <f t="shared" si="5"/>
        <v>1.9899874843554443E-2</v>
      </c>
      <c r="U43" s="2">
        <f t="shared" si="5"/>
        <v>6.821026282853567E-3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s="1" customFormat="1">
      <c r="A44" s="1" t="s">
        <v>118</v>
      </c>
      <c r="B44" s="2">
        <f t="shared" si="3"/>
        <v>6.5793455919700402E-4</v>
      </c>
      <c r="C44" s="2">
        <f t="shared" ref="C44:U44" si="6">C25*$C6/$B6</f>
        <v>5.2634764735760321E-4</v>
      </c>
      <c r="D44" s="2">
        <f t="shared" si="6"/>
        <v>3.9476073551820241E-4</v>
      </c>
      <c r="E44" s="2">
        <f t="shared" si="6"/>
        <v>6.5793455919700402E-4</v>
      </c>
      <c r="F44" s="2">
        <f t="shared" si="6"/>
        <v>3.9476073551820241E-4</v>
      </c>
      <c r="G44" s="2">
        <f t="shared" si="6"/>
        <v>2.6317382367880161E-4</v>
      </c>
      <c r="H44" s="2">
        <f t="shared" si="6"/>
        <v>9.2110838287580573E-4</v>
      </c>
      <c r="I44" s="2">
        <f t="shared" si="6"/>
        <v>6.5793455919700402E-4</v>
      </c>
      <c r="J44" s="2">
        <f t="shared" si="6"/>
        <v>7.8952147103640482E-4</v>
      </c>
      <c r="K44" s="2">
        <f t="shared" si="6"/>
        <v>1.315869118394008E-4</v>
      </c>
      <c r="L44" s="2">
        <f t="shared" si="6"/>
        <v>6.5793455919700402E-4</v>
      </c>
      <c r="M44" s="2">
        <f t="shared" si="6"/>
        <v>5.2634764735760321E-4</v>
      </c>
      <c r="N44" s="2">
        <f t="shared" si="6"/>
        <v>7.8952147103640482E-4</v>
      </c>
      <c r="O44" s="2">
        <f t="shared" si="6"/>
        <v>5.2634764735760321E-4</v>
      </c>
      <c r="P44" s="2">
        <f t="shared" si="6"/>
        <v>1.1842822065546072E-3</v>
      </c>
      <c r="Q44" s="2">
        <f t="shared" si="6"/>
        <v>2.6317382367880161E-4</v>
      </c>
      <c r="R44" s="2">
        <f t="shared" si="6"/>
        <v>1.4474560302334088E-3</v>
      </c>
      <c r="S44" s="2">
        <f t="shared" si="6"/>
        <v>1.4474560302334088E-3</v>
      </c>
      <c r="T44" s="2">
        <f t="shared" si="6"/>
        <v>1.315869118394008E-3</v>
      </c>
      <c r="U44" s="2">
        <f t="shared" si="6"/>
        <v>5.5924437531745331E-4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s="1" customFormat="1">
      <c r="A45" s="1" t="s">
        <v>119</v>
      </c>
      <c r="B45" s="2">
        <f t="shared" si="3"/>
        <v>0.18756131057484796</v>
      </c>
      <c r="C45" s="2">
        <f t="shared" ref="C45:U45" si="7">C26*$C7/$B7</f>
        <v>0.21993329409456544</v>
      </c>
      <c r="D45" s="2">
        <f t="shared" si="7"/>
        <v>0.23111634294683145</v>
      </c>
      <c r="E45" s="2">
        <f t="shared" si="7"/>
        <v>0.23013537374926429</v>
      </c>
      <c r="F45" s="2">
        <f t="shared" si="7"/>
        <v>0.2252305277614283</v>
      </c>
      <c r="G45" s="2">
        <f t="shared" si="7"/>
        <v>0.2336668628605062</v>
      </c>
      <c r="H45" s="2">
        <f t="shared" si="7"/>
        <v>0.22640769079850892</v>
      </c>
      <c r="I45" s="2">
        <f t="shared" si="7"/>
        <v>0.22444575240337453</v>
      </c>
      <c r="J45" s="2">
        <f t="shared" si="7"/>
        <v>0.21326270355110849</v>
      </c>
      <c r="K45" s="2">
        <f t="shared" si="7"/>
        <v>0.18187168922895822</v>
      </c>
      <c r="L45" s="2">
        <f t="shared" si="7"/>
        <v>0.22307239552678046</v>
      </c>
      <c r="M45" s="2">
        <f t="shared" si="7"/>
        <v>0.23033156758877771</v>
      </c>
      <c r="N45" s="2">
        <f t="shared" si="7"/>
        <v>0.22758485383558957</v>
      </c>
      <c r="O45" s="2">
        <f t="shared" si="7"/>
        <v>0.23994506572493626</v>
      </c>
      <c r="P45" s="2">
        <f t="shared" si="7"/>
        <v>0.18618795369825389</v>
      </c>
      <c r="Q45" s="2">
        <f t="shared" si="7"/>
        <v>9.4369236805964291E-2</v>
      </c>
      <c r="R45" s="2">
        <f t="shared" si="7"/>
        <v>0.22189523248969983</v>
      </c>
      <c r="S45" s="2">
        <f t="shared" si="7"/>
        <v>0.22464194624288797</v>
      </c>
      <c r="T45" s="2">
        <f t="shared" si="7"/>
        <v>0.22150284481067292</v>
      </c>
      <c r="U45" s="2">
        <f t="shared" si="7"/>
        <v>0.2223121443986659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s="1" customFormat="1">
      <c r="A46" s="1" t="s">
        <v>120</v>
      </c>
      <c r="B46" s="2">
        <f t="shared" si="3"/>
        <v>0.19178844815588031</v>
      </c>
      <c r="C46" s="2">
        <f t="shared" ref="C46:U46" si="8">C27*$C8/$B8</f>
        <v>0.18705636743215032</v>
      </c>
      <c r="D46" s="2">
        <f t="shared" si="8"/>
        <v>0.20180932498260265</v>
      </c>
      <c r="E46" s="2">
        <f t="shared" si="8"/>
        <v>0.20334029227557412</v>
      </c>
      <c r="F46" s="2">
        <f t="shared" si="8"/>
        <v>0.19345859429366738</v>
      </c>
      <c r="G46" s="2">
        <f t="shared" si="8"/>
        <v>0.20389700765483648</v>
      </c>
      <c r="H46" s="2">
        <f t="shared" si="8"/>
        <v>0.18761308281141267</v>
      </c>
      <c r="I46" s="2">
        <f t="shared" si="8"/>
        <v>0.1963813500347947</v>
      </c>
      <c r="J46" s="2">
        <f t="shared" si="8"/>
        <v>0.1920668058455115</v>
      </c>
      <c r="K46" s="2">
        <f t="shared" si="8"/>
        <v>0.20306193458594296</v>
      </c>
      <c r="L46" s="2">
        <f t="shared" si="8"/>
        <v>0.19095337508698682</v>
      </c>
      <c r="M46" s="2">
        <f t="shared" si="8"/>
        <v>0.19331941544885181</v>
      </c>
      <c r="N46" s="2">
        <f t="shared" si="8"/>
        <v>0.19331941544885181</v>
      </c>
      <c r="O46" s="2">
        <f t="shared" si="8"/>
        <v>0.2011134307585247</v>
      </c>
      <c r="P46" s="2">
        <f t="shared" si="8"/>
        <v>0.18691718858733475</v>
      </c>
      <c r="Q46" s="2">
        <f t="shared" si="8"/>
        <v>0.13987473903966599</v>
      </c>
      <c r="R46" s="2">
        <f t="shared" si="8"/>
        <v>0.19944328462073765</v>
      </c>
      <c r="S46" s="2">
        <f t="shared" si="8"/>
        <v>0.19860821155184413</v>
      </c>
      <c r="T46" s="2">
        <f t="shared" si="8"/>
        <v>0.20431454418928324</v>
      </c>
      <c r="U46" s="2">
        <f t="shared" si="8"/>
        <v>0.19566805845511487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s="1" customFormat="1">
      <c r="A47" s="1" t="s">
        <v>121</v>
      </c>
      <c r="B47" s="2">
        <f t="shared" si="3"/>
        <v>9.585970650013393E-3</v>
      </c>
      <c r="C47" s="2">
        <f t="shared" ref="C47:U47" si="9">C28*$C9/$B9</f>
        <v>1.1841493155898896E-2</v>
      </c>
      <c r="D47" s="2">
        <f t="shared" si="9"/>
        <v>1.4237985818402245E-2</v>
      </c>
      <c r="E47" s="2">
        <f t="shared" si="9"/>
        <v>1.5647687384580687E-2</v>
      </c>
      <c r="F47" s="2">
        <f t="shared" si="9"/>
        <v>1.198246331251674E-2</v>
      </c>
      <c r="G47" s="2">
        <f t="shared" si="9"/>
        <v>1.1841493155898896E-2</v>
      </c>
      <c r="H47" s="2">
        <f t="shared" si="9"/>
        <v>1.1418582686045365E-2</v>
      </c>
      <c r="I47" s="2">
        <f t="shared" si="9"/>
        <v>1.198246331251674E-2</v>
      </c>
      <c r="J47" s="2">
        <f t="shared" si="9"/>
        <v>1.2546343938988116E-2</v>
      </c>
      <c r="K47" s="2">
        <f t="shared" si="9"/>
        <v>1.2546343938988116E-2</v>
      </c>
      <c r="L47" s="2">
        <f t="shared" si="9"/>
        <v>1.2687314095605961E-2</v>
      </c>
      <c r="M47" s="2">
        <f t="shared" si="9"/>
        <v>1.0854702059573989E-2</v>
      </c>
      <c r="N47" s="2">
        <f t="shared" si="9"/>
        <v>9.7269408066312357E-3</v>
      </c>
      <c r="O47" s="2">
        <f t="shared" si="9"/>
        <v>9.86791096324908E-3</v>
      </c>
      <c r="P47" s="2">
        <f t="shared" si="9"/>
        <v>3.1013434455925684E-3</v>
      </c>
      <c r="Q47" s="2">
        <f t="shared" si="9"/>
        <v>3.2423136022104123E-3</v>
      </c>
      <c r="R47" s="2">
        <f t="shared" si="9"/>
        <v>2.5374628191211922E-3</v>
      </c>
      <c r="S47" s="2">
        <f t="shared" si="9"/>
        <v>2.8194031323568805E-3</v>
      </c>
      <c r="T47" s="2">
        <f t="shared" si="9"/>
        <v>2.960373288974724E-3</v>
      </c>
      <c r="U47" s="2">
        <f t="shared" si="9"/>
        <v>1.231726743448412E-2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s="1" customFormat="1">
      <c r="A48" s="1" t="s">
        <v>122</v>
      </c>
      <c r="B48" s="2">
        <f t="shared" si="3"/>
        <v>4.0155589524209801E-4</v>
      </c>
      <c r="C48" s="2">
        <f t="shared" ref="C48:U48" si="10">C29*$C10/$B10</f>
        <v>0</v>
      </c>
      <c r="D48" s="2">
        <f t="shared" si="10"/>
        <v>0</v>
      </c>
      <c r="E48" s="2">
        <f t="shared" si="10"/>
        <v>4.0155589524209801E-4</v>
      </c>
      <c r="F48" s="2">
        <f t="shared" si="10"/>
        <v>0</v>
      </c>
      <c r="G48" s="2">
        <f t="shared" si="10"/>
        <v>0</v>
      </c>
      <c r="H48" s="2">
        <f t="shared" si="10"/>
        <v>0</v>
      </c>
      <c r="I48" s="2">
        <f t="shared" si="10"/>
        <v>0</v>
      </c>
      <c r="J48" s="2">
        <f t="shared" si="10"/>
        <v>0</v>
      </c>
      <c r="K48" s="2">
        <f t="shared" si="10"/>
        <v>0</v>
      </c>
      <c r="L48" s="2">
        <f t="shared" si="10"/>
        <v>0</v>
      </c>
      <c r="M48" s="2">
        <f t="shared" si="10"/>
        <v>0</v>
      </c>
      <c r="N48" s="2">
        <f t="shared" si="10"/>
        <v>0</v>
      </c>
      <c r="O48" s="2">
        <f t="shared" si="10"/>
        <v>0</v>
      </c>
      <c r="P48" s="2">
        <f t="shared" si="10"/>
        <v>0</v>
      </c>
      <c r="Q48" s="2">
        <f t="shared" si="10"/>
        <v>0</v>
      </c>
      <c r="R48" s="2">
        <f t="shared" si="10"/>
        <v>0</v>
      </c>
      <c r="S48" s="2">
        <f t="shared" si="10"/>
        <v>0</v>
      </c>
      <c r="T48" s="2">
        <f t="shared" si="10"/>
        <v>0</v>
      </c>
      <c r="U48" s="2">
        <f t="shared" si="10"/>
        <v>1.003889738105245E-4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s="1" customFormat="1">
      <c r="A49" s="1" t="s">
        <v>123</v>
      </c>
      <c r="B49" s="2">
        <f t="shared" si="3"/>
        <v>0.30910444058546266</v>
      </c>
      <c r="C49" s="2">
        <f t="shared" ref="C49:U49" si="11">C30*$C11/$B11</f>
        <v>0.32250062019350034</v>
      </c>
      <c r="D49" s="2">
        <f t="shared" si="11"/>
        <v>0.29918134457950879</v>
      </c>
      <c r="E49" s="2">
        <f t="shared" si="11"/>
        <v>0.29719672537831804</v>
      </c>
      <c r="F49" s="2">
        <f t="shared" si="11"/>
        <v>0.30364673778218804</v>
      </c>
      <c r="G49" s="2">
        <f t="shared" si="11"/>
        <v>0.29570826097742492</v>
      </c>
      <c r="H49" s="2">
        <f t="shared" si="11"/>
        <v>0.30736789878442072</v>
      </c>
      <c r="I49" s="2">
        <f t="shared" si="11"/>
        <v>0.30811213098486728</v>
      </c>
      <c r="J49" s="2">
        <f t="shared" si="11"/>
        <v>0.31853138179111878</v>
      </c>
      <c r="K49" s="2">
        <f t="shared" si="11"/>
        <v>0.27536591416521955</v>
      </c>
      <c r="L49" s="2">
        <f t="shared" si="11"/>
        <v>0.31853138179111878</v>
      </c>
      <c r="M49" s="2">
        <f t="shared" si="11"/>
        <v>0.30215827338129492</v>
      </c>
      <c r="N49" s="2">
        <f t="shared" si="11"/>
        <v>0.29273133217563879</v>
      </c>
      <c r="O49" s="2">
        <f t="shared" si="11"/>
        <v>0.29992557677995535</v>
      </c>
      <c r="P49" s="2">
        <f t="shared" si="11"/>
        <v>0.30662366658397416</v>
      </c>
      <c r="Q49" s="2">
        <f t="shared" si="11"/>
        <v>0.40709501364425699</v>
      </c>
      <c r="R49" s="2">
        <f t="shared" si="11"/>
        <v>0.28925824857355492</v>
      </c>
      <c r="S49" s="2">
        <f t="shared" si="11"/>
        <v>0.28876209377325723</v>
      </c>
      <c r="T49" s="2">
        <f t="shared" si="11"/>
        <v>0.29124286777474573</v>
      </c>
      <c r="U49" s="2">
        <f t="shared" si="11"/>
        <v>0.30535226990821135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s="1" customFormat="1">
      <c r="A50" s="1" t="s">
        <v>124</v>
      </c>
      <c r="B50" s="2">
        <f t="shared" si="3"/>
        <v>0.18705420827389443</v>
      </c>
      <c r="C50" s="2">
        <f t="shared" ref="C50:U50" si="12">C31*$C12/$B12</f>
        <v>0.18776747503566332</v>
      </c>
      <c r="D50" s="2">
        <f t="shared" si="12"/>
        <v>0.18812410841654781</v>
      </c>
      <c r="E50" s="2">
        <f t="shared" si="12"/>
        <v>0.1783166904422254</v>
      </c>
      <c r="F50" s="2">
        <f t="shared" si="12"/>
        <v>0.193830242510699</v>
      </c>
      <c r="G50" s="2">
        <f t="shared" si="12"/>
        <v>0.19507845934379459</v>
      </c>
      <c r="H50" s="2">
        <f t="shared" si="12"/>
        <v>0.19650499286733239</v>
      </c>
      <c r="I50" s="2">
        <f t="shared" si="12"/>
        <v>0.19276034236804565</v>
      </c>
      <c r="J50" s="2">
        <f t="shared" si="12"/>
        <v>0.18295292439372327</v>
      </c>
      <c r="K50" s="2">
        <f t="shared" si="12"/>
        <v>0.18455777460770328</v>
      </c>
      <c r="L50" s="2">
        <f t="shared" si="12"/>
        <v>0.18687589158345222</v>
      </c>
      <c r="M50" s="2">
        <f t="shared" si="12"/>
        <v>0.19276034236804565</v>
      </c>
      <c r="N50" s="2">
        <f t="shared" si="12"/>
        <v>0.1852710413694722</v>
      </c>
      <c r="O50" s="2">
        <f t="shared" si="12"/>
        <v>0.19347360912981454</v>
      </c>
      <c r="P50" s="2">
        <f t="shared" si="12"/>
        <v>0.21629814550641943</v>
      </c>
      <c r="Q50" s="2">
        <f t="shared" si="12"/>
        <v>0.2253922967189729</v>
      </c>
      <c r="R50" s="2">
        <f t="shared" si="12"/>
        <v>0.21308844507845934</v>
      </c>
      <c r="S50" s="2">
        <f t="shared" si="12"/>
        <v>0.21451497860199714</v>
      </c>
      <c r="T50" s="2">
        <f t="shared" si="12"/>
        <v>0.21522824536376606</v>
      </c>
      <c r="U50" s="2">
        <f t="shared" si="12"/>
        <v>0.18992956490727531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s="1" customFormat="1">
      <c r="A51" s="1" t="s">
        <v>125</v>
      </c>
      <c r="B51" s="2">
        <f t="shared" si="3"/>
        <v>4.3561033848536677E-2</v>
      </c>
      <c r="C51" s="2">
        <f t="shared" ref="C51:U51" si="13">C32*$C13/$B13</f>
        <v>4.5174405472556543E-2</v>
      </c>
      <c r="D51" s="2">
        <f t="shared" si="13"/>
        <v>4.872382304540028E-2</v>
      </c>
      <c r="E51" s="2">
        <f t="shared" si="13"/>
        <v>4.4851731147752573E-2</v>
      </c>
      <c r="F51" s="2">
        <f t="shared" si="13"/>
        <v>4.4851731147752573E-2</v>
      </c>
      <c r="G51" s="2">
        <f t="shared" si="13"/>
        <v>4.7433125746184378E-2</v>
      </c>
      <c r="H51" s="2">
        <f t="shared" si="13"/>
        <v>4.4206382498144625E-2</v>
      </c>
      <c r="I51" s="2">
        <f t="shared" si="13"/>
        <v>4.5497079797360521E-2</v>
      </c>
      <c r="J51" s="2">
        <f t="shared" si="13"/>
        <v>4.5497079797360521E-2</v>
      </c>
      <c r="K51" s="2">
        <f t="shared" si="13"/>
        <v>4.162498789971282E-2</v>
      </c>
      <c r="L51" s="2">
        <f t="shared" si="13"/>
        <v>4.9369171695008228E-2</v>
      </c>
      <c r="M51" s="2">
        <f t="shared" si="13"/>
        <v>4.6787777096576423E-2</v>
      </c>
      <c r="N51" s="2">
        <f t="shared" si="13"/>
        <v>5.2595914943047981E-2</v>
      </c>
      <c r="O51" s="2">
        <f t="shared" si="13"/>
        <v>4.872382304540028E-2</v>
      </c>
      <c r="P51" s="2">
        <f t="shared" si="13"/>
        <v>4.4529056822948596E-2</v>
      </c>
      <c r="Q51" s="2">
        <f t="shared" si="13"/>
        <v>2.3877900035494174E-2</v>
      </c>
      <c r="R51" s="2">
        <f t="shared" si="13"/>
        <v>5.3886612242263883E-2</v>
      </c>
      <c r="S51" s="2">
        <f t="shared" si="13"/>
        <v>5.065986899422413E-2</v>
      </c>
      <c r="T51" s="2">
        <f t="shared" si="13"/>
        <v>5.1627891968636062E-2</v>
      </c>
      <c r="U51" s="2">
        <f t="shared" si="13"/>
        <v>4.5537414087961019E-2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s="1" customFormat="1">
      <c r="A52" s="1" t="s">
        <v>126</v>
      </c>
      <c r="B52" s="2">
        <f t="shared" si="3"/>
        <v>5.0955414012738851E-3</v>
      </c>
      <c r="C52" s="2">
        <f t="shared" ref="C52:U52" si="14">C33*$C14/$B14</f>
        <v>2.9723991507431E-3</v>
      </c>
      <c r="D52" s="2">
        <f t="shared" si="14"/>
        <v>5.7324840764331215E-3</v>
      </c>
      <c r="E52" s="2">
        <f t="shared" si="14"/>
        <v>5.3078556263269636E-3</v>
      </c>
      <c r="F52" s="2">
        <f t="shared" si="14"/>
        <v>7.218683651804671E-3</v>
      </c>
      <c r="G52" s="2">
        <f t="shared" si="14"/>
        <v>5.5201698513800421E-3</v>
      </c>
      <c r="H52" s="2">
        <f t="shared" si="14"/>
        <v>4.4585987261146496E-3</v>
      </c>
      <c r="I52" s="2">
        <f t="shared" si="14"/>
        <v>4.8832271762208066E-3</v>
      </c>
      <c r="J52" s="2">
        <f t="shared" si="14"/>
        <v>3.397027600849257E-3</v>
      </c>
      <c r="K52" s="2">
        <f t="shared" si="14"/>
        <v>5.7324840764331215E-3</v>
      </c>
      <c r="L52" s="2">
        <f t="shared" si="14"/>
        <v>2.9723991507431E-3</v>
      </c>
      <c r="M52" s="2">
        <f t="shared" si="14"/>
        <v>4.6709129511677281E-3</v>
      </c>
      <c r="N52" s="2">
        <f t="shared" si="14"/>
        <v>5.3078556263269636E-3</v>
      </c>
      <c r="O52" s="2">
        <f t="shared" si="14"/>
        <v>5.3078556263269636E-3</v>
      </c>
      <c r="P52" s="2">
        <f t="shared" si="14"/>
        <v>1.5498938428874733E-2</v>
      </c>
      <c r="Q52" s="2">
        <f t="shared" si="14"/>
        <v>5.5201698513800421E-3</v>
      </c>
      <c r="R52" s="2">
        <f t="shared" si="14"/>
        <v>2.1019108280254776E-2</v>
      </c>
      <c r="S52" s="2">
        <f t="shared" si="14"/>
        <v>2.1656050955414011E-2</v>
      </c>
      <c r="T52" s="2">
        <f t="shared" si="14"/>
        <v>1.9957537154989383E-2</v>
      </c>
      <c r="U52" s="2">
        <f t="shared" si="14"/>
        <v>5.1486199575371547E-3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s="1" customFormat="1">
      <c r="A53" s="1" t="s">
        <v>89</v>
      </c>
      <c r="B53" s="2">
        <f>B34*$C16/$B16</f>
        <v>0</v>
      </c>
      <c r="C53" s="2">
        <f t="shared" ref="C53:U53" si="15">C34*$C16/$B16</f>
        <v>0</v>
      </c>
      <c r="D53" s="2">
        <f t="shared" si="15"/>
        <v>0</v>
      </c>
      <c r="E53" s="2">
        <f t="shared" si="15"/>
        <v>0</v>
      </c>
      <c r="F53" s="2">
        <f t="shared" si="15"/>
        <v>0</v>
      </c>
      <c r="G53" s="2">
        <f t="shared" si="15"/>
        <v>0</v>
      </c>
      <c r="H53" s="2">
        <f t="shared" si="15"/>
        <v>0</v>
      </c>
      <c r="I53" s="2">
        <f t="shared" si="15"/>
        <v>0</v>
      </c>
      <c r="J53" s="2">
        <f t="shared" si="15"/>
        <v>0</v>
      </c>
      <c r="K53" s="2">
        <f t="shared" si="15"/>
        <v>0</v>
      </c>
      <c r="L53" s="2">
        <f t="shared" si="15"/>
        <v>0</v>
      </c>
      <c r="M53" s="2">
        <f t="shared" si="15"/>
        <v>0</v>
      </c>
      <c r="N53" s="2">
        <f t="shared" si="15"/>
        <v>0</v>
      </c>
      <c r="O53" s="2">
        <f t="shared" si="15"/>
        <v>0</v>
      </c>
      <c r="P53" s="2">
        <f t="shared" si="15"/>
        <v>0</v>
      </c>
      <c r="Q53" s="2">
        <f t="shared" si="15"/>
        <v>0</v>
      </c>
      <c r="R53" s="2">
        <f t="shared" si="15"/>
        <v>0</v>
      </c>
      <c r="S53" s="2">
        <f t="shared" si="15"/>
        <v>0</v>
      </c>
      <c r="T53" s="2">
        <f t="shared" si="15"/>
        <v>0</v>
      </c>
      <c r="U53" s="2">
        <f t="shared" si="15"/>
        <v>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s="1" customFormat="1">
      <c r="A54" s="1" t="s">
        <v>86</v>
      </c>
      <c r="B54" s="2">
        <f>B35*$C17/$B17</f>
        <v>0</v>
      </c>
      <c r="C54" s="2">
        <f t="shared" ref="C54:U54" si="16">C35*$C17/$B17</f>
        <v>0</v>
      </c>
      <c r="D54" s="2">
        <f t="shared" si="16"/>
        <v>0</v>
      </c>
      <c r="E54" s="2">
        <f t="shared" si="16"/>
        <v>0</v>
      </c>
      <c r="F54" s="2">
        <f t="shared" si="16"/>
        <v>0</v>
      </c>
      <c r="G54" s="2">
        <f t="shared" si="16"/>
        <v>0</v>
      </c>
      <c r="H54" s="2">
        <f t="shared" si="16"/>
        <v>0</v>
      </c>
      <c r="I54" s="2">
        <f t="shared" si="16"/>
        <v>0</v>
      </c>
      <c r="J54" s="2">
        <f t="shared" si="16"/>
        <v>0</v>
      </c>
      <c r="K54" s="2">
        <f t="shared" si="16"/>
        <v>0</v>
      </c>
      <c r="L54" s="2">
        <f t="shared" si="16"/>
        <v>0</v>
      </c>
      <c r="M54" s="2">
        <f t="shared" si="16"/>
        <v>0</v>
      </c>
      <c r="N54" s="2">
        <f t="shared" si="16"/>
        <v>0</v>
      </c>
      <c r="O54" s="2">
        <f t="shared" si="16"/>
        <v>0</v>
      </c>
      <c r="P54" s="2">
        <f t="shared" si="16"/>
        <v>0</v>
      </c>
      <c r="Q54" s="2">
        <f t="shared" si="16"/>
        <v>0</v>
      </c>
      <c r="R54" s="2">
        <f t="shared" si="16"/>
        <v>0</v>
      </c>
      <c r="S54" s="2">
        <f t="shared" si="16"/>
        <v>0</v>
      </c>
      <c r="T54" s="2">
        <f t="shared" si="16"/>
        <v>0</v>
      </c>
      <c r="U54" s="2">
        <f t="shared" si="16"/>
        <v>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s="1" customFormat="1">
      <c r="A55" s="1" t="s">
        <v>87</v>
      </c>
      <c r="B55" s="2">
        <f>B36*$C18/$B18</f>
        <v>0</v>
      </c>
      <c r="C55" s="2">
        <f t="shared" ref="C55:U55" si="17">C36*$C18/$B18</f>
        <v>0</v>
      </c>
      <c r="D55" s="2">
        <f t="shared" si="17"/>
        <v>0</v>
      </c>
      <c r="E55" s="2">
        <f t="shared" si="17"/>
        <v>0</v>
      </c>
      <c r="F55" s="2">
        <f t="shared" si="17"/>
        <v>0</v>
      </c>
      <c r="G55" s="2">
        <f t="shared" si="17"/>
        <v>0</v>
      </c>
      <c r="H55" s="2">
        <f t="shared" si="17"/>
        <v>0</v>
      </c>
      <c r="I55" s="2">
        <f t="shared" si="17"/>
        <v>0</v>
      </c>
      <c r="J55" s="2">
        <f t="shared" si="17"/>
        <v>0</v>
      </c>
      <c r="K55" s="2">
        <f t="shared" si="17"/>
        <v>0</v>
      </c>
      <c r="L55" s="2">
        <f t="shared" si="17"/>
        <v>0</v>
      </c>
      <c r="M55" s="2">
        <f t="shared" si="17"/>
        <v>0</v>
      </c>
      <c r="N55" s="2">
        <f t="shared" si="17"/>
        <v>0</v>
      </c>
      <c r="O55" s="2">
        <f t="shared" si="17"/>
        <v>0</v>
      </c>
      <c r="P55" s="2">
        <f t="shared" si="17"/>
        <v>0</v>
      </c>
      <c r="Q55" s="2">
        <f t="shared" si="17"/>
        <v>0</v>
      </c>
      <c r="R55" s="2">
        <f t="shared" si="17"/>
        <v>0</v>
      </c>
      <c r="S55" s="2">
        <f t="shared" si="17"/>
        <v>0</v>
      </c>
      <c r="T55" s="2">
        <f t="shared" si="17"/>
        <v>0</v>
      </c>
      <c r="U55" s="2">
        <f t="shared" si="17"/>
        <v>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s="1" customFormat="1">
      <c r="A56" s="1" t="s">
        <v>115</v>
      </c>
      <c r="B56" s="2">
        <f>SUM(B42:B51)</f>
        <v>1.7081911603153566</v>
      </c>
      <c r="C56" s="2">
        <f t="shared" ref="C56:U56" si="18">SUM(C42:C51)</f>
        <v>1.7343467233828638</v>
      </c>
      <c r="D56" s="2">
        <f t="shared" si="18"/>
        <v>1.7393900499987882</v>
      </c>
      <c r="E56" s="2">
        <f t="shared" si="18"/>
        <v>1.7082852839532161</v>
      </c>
      <c r="F56" s="2">
        <f t="shared" si="18"/>
        <v>1.7293238650244929</v>
      </c>
      <c r="G56" s="2">
        <f t="shared" si="18"/>
        <v>1.7313325439558922</v>
      </c>
      <c r="H56" s="2">
        <f t="shared" si="18"/>
        <v>1.7302846781586951</v>
      </c>
      <c r="I56" s="2">
        <f t="shared" si="18"/>
        <v>1.7419656046284779</v>
      </c>
      <c r="J56" s="2">
        <f t="shared" si="18"/>
        <v>1.7365930085119499</v>
      </c>
      <c r="K56" s="2">
        <f t="shared" si="18"/>
        <v>1.6401864225327505</v>
      </c>
      <c r="L56" s="2">
        <f t="shared" si="18"/>
        <v>1.7491442012713001</v>
      </c>
      <c r="M56" s="2">
        <f t="shared" si="18"/>
        <v>1.7291306052291409</v>
      </c>
      <c r="N56" s="2">
        <f t="shared" si="18"/>
        <v>1.7308892289832052</v>
      </c>
      <c r="O56" s="2">
        <f t="shared" si="18"/>
        <v>1.7409797677222714</v>
      </c>
      <c r="P56" s="2">
        <f t="shared" si="18"/>
        <v>1.7059960592399164</v>
      </c>
      <c r="Q56" s="2">
        <f t="shared" si="18"/>
        <v>1.7454821036634611</v>
      </c>
      <c r="R56" s="2">
        <f t="shared" si="18"/>
        <v>1.7161716233054185</v>
      </c>
      <c r="S56" s="2">
        <f t="shared" si="18"/>
        <v>1.7152353245152292</v>
      </c>
      <c r="T56" s="2">
        <f t="shared" si="18"/>
        <v>1.7173135499732068</v>
      </c>
      <c r="U56" s="2">
        <f t="shared" si="18"/>
        <v>1.7278899886772223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>
      <c r="AB57" s="2"/>
      <c r="AC57" s="2"/>
      <c r="AD57" s="2"/>
      <c r="AE57" s="2"/>
      <c r="AF57" s="2"/>
      <c r="AG57" s="2"/>
      <c r="AH57" s="2"/>
    </row>
    <row r="58" spans="1:34">
      <c r="A58" s="1" t="s">
        <v>17</v>
      </c>
      <c r="AB58" s="2"/>
      <c r="AC58" s="2"/>
      <c r="AD58" s="2"/>
      <c r="AE58" s="2"/>
      <c r="AF58" s="2"/>
      <c r="AG58" s="2"/>
      <c r="AH58" s="2"/>
    </row>
    <row r="59" spans="1:34">
      <c r="A59" s="1" t="s">
        <v>116</v>
      </c>
      <c r="B59" s="2">
        <f t="shared" ref="B59:B72" si="19">B42*15/(B$56)</f>
        <v>6.7876130505066703</v>
      </c>
      <c r="C59" s="2">
        <f t="shared" ref="C59:U59" si="20">C42*15/(C$56)</f>
        <v>6.5096249702953939</v>
      </c>
      <c r="D59" s="2">
        <f t="shared" si="20"/>
        <v>6.4563015242994402</v>
      </c>
      <c r="E59" s="2">
        <f t="shared" si="20"/>
        <v>6.4350158485976685</v>
      </c>
      <c r="F59" s="2">
        <f t="shared" si="20"/>
        <v>6.4895516940569884</v>
      </c>
      <c r="G59" s="2">
        <f t="shared" si="20"/>
        <v>6.3781948400493427</v>
      </c>
      <c r="H59" s="2">
        <f t="shared" si="20"/>
        <v>6.4873910233623135</v>
      </c>
      <c r="I59" s="2">
        <f t="shared" si="20"/>
        <v>6.496919393683414</v>
      </c>
      <c r="J59" s="2">
        <f t="shared" si="20"/>
        <v>6.6061556577338028</v>
      </c>
      <c r="K59" s="2">
        <f t="shared" si="20"/>
        <v>6.7265461183439985</v>
      </c>
      <c r="L59" s="2">
        <f t="shared" si="20"/>
        <v>6.513076648978358</v>
      </c>
      <c r="M59" s="2">
        <f t="shared" si="20"/>
        <v>6.4585114737754115</v>
      </c>
      <c r="N59" s="2">
        <f t="shared" si="20"/>
        <v>6.5947491623413992</v>
      </c>
      <c r="O59" s="2">
        <f t="shared" si="20"/>
        <v>6.3543240836072128</v>
      </c>
      <c r="P59" s="2">
        <f t="shared" si="20"/>
        <v>6.5417031767267337</v>
      </c>
      <c r="Q59" s="2">
        <f t="shared" si="20"/>
        <v>7.3077189675333152</v>
      </c>
      <c r="R59" s="2">
        <f t="shared" si="20"/>
        <v>6.2425083639067429</v>
      </c>
      <c r="S59" s="2">
        <f t="shared" si="20"/>
        <v>6.2430048035534309</v>
      </c>
      <c r="T59" s="2">
        <f t="shared" si="20"/>
        <v>6.1947427011180771</v>
      </c>
      <c r="U59" s="2">
        <f t="shared" si="20"/>
        <v>6.5046902415397341</v>
      </c>
      <c r="AB59" s="2"/>
      <c r="AC59" s="2"/>
      <c r="AD59" s="2"/>
      <c r="AE59" s="2"/>
      <c r="AF59" s="2"/>
      <c r="AG59" s="2"/>
      <c r="AH59" s="2"/>
    </row>
    <row r="60" spans="1:34">
      <c r="A60" s="1" t="s">
        <v>117</v>
      </c>
      <c r="B60" s="2">
        <f t="shared" si="19"/>
        <v>4.8357148770360535E-2</v>
      </c>
      <c r="C60" s="2">
        <f t="shared" ref="C60:U60" si="21">C43*15/(C$56)</f>
        <v>5.9534847439895025E-2</v>
      </c>
      <c r="D60" s="2">
        <f t="shared" si="21"/>
        <v>6.1520853790823699E-2</v>
      </c>
      <c r="E60" s="2">
        <f t="shared" si="21"/>
        <v>4.2859656603363126E-2</v>
      </c>
      <c r="F60" s="2">
        <f t="shared" si="21"/>
        <v>6.7306938117292103E-2</v>
      </c>
      <c r="G60" s="2">
        <f t="shared" si="21"/>
        <v>6.2891504012135738E-2</v>
      </c>
      <c r="H60" s="2">
        <f t="shared" si="21"/>
        <v>6.5099577210103787E-2</v>
      </c>
      <c r="I60" s="2">
        <f t="shared" si="21"/>
        <v>6.574076283729488E-2</v>
      </c>
      <c r="J60" s="2">
        <f t="shared" si="21"/>
        <v>5.2971529329822499E-2</v>
      </c>
      <c r="K60" s="2">
        <f t="shared" si="21"/>
        <v>5.0362113070067861E-2</v>
      </c>
      <c r="L60" s="2">
        <f t="shared" si="21"/>
        <v>6.439766425168536E-2</v>
      </c>
      <c r="M60" s="2">
        <f t="shared" si="21"/>
        <v>6.8400177923888431E-2</v>
      </c>
      <c r="N60" s="2">
        <f t="shared" si="21"/>
        <v>6.8330681750670086E-2</v>
      </c>
      <c r="O60" s="2">
        <f t="shared" si="21"/>
        <v>8.5187887151047206E-2</v>
      </c>
      <c r="P60" s="2">
        <f t="shared" si="21"/>
        <v>0.1507603105098114</v>
      </c>
      <c r="Q60" s="2">
        <f t="shared" si="21"/>
        <v>8.6043697814556612E-3</v>
      </c>
      <c r="R60" s="2">
        <f t="shared" si="21"/>
        <v>0.17830822117740772</v>
      </c>
      <c r="S60" s="2">
        <f t="shared" si="21"/>
        <v>0.17402750420714436</v>
      </c>
      <c r="T60" s="2">
        <f t="shared" si="21"/>
        <v>0.17381690295169089</v>
      </c>
      <c r="U60" s="2">
        <f t="shared" si="21"/>
        <v>5.9214067396229635E-2</v>
      </c>
      <c r="AB60" s="2"/>
      <c r="AC60" s="2"/>
      <c r="AD60" s="2"/>
      <c r="AE60" s="2"/>
      <c r="AF60" s="2"/>
      <c r="AG60" s="2"/>
      <c r="AH60" s="2"/>
    </row>
    <row r="61" spans="1:34">
      <c r="A61" s="1" t="s">
        <v>118</v>
      </c>
      <c r="B61" s="2">
        <f t="shared" si="19"/>
        <v>5.777467192918326E-3</v>
      </c>
      <c r="C61" s="2">
        <f t="shared" ref="C61:U61" si="22">C44*15/(C$56)</f>
        <v>4.5522700875891406E-3</v>
      </c>
      <c r="D61" s="2">
        <f t="shared" si="22"/>
        <v>3.4043031537274583E-3</v>
      </c>
      <c r="E61" s="2">
        <f t="shared" si="22"/>
        <v>5.7771488642205842E-3</v>
      </c>
      <c r="F61" s="2">
        <f t="shared" si="22"/>
        <v>3.4241191904728439E-3</v>
      </c>
      <c r="G61" s="2">
        <f t="shared" si="22"/>
        <v>2.2800977021792727E-3</v>
      </c>
      <c r="H61" s="2">
        <f t="shared" si="22"/>
        <v>7.9851748776046654E-3</v>
      </c>
      <c r="I61" s="2">
        <f t="shared" si="22"/>
        <v>5.6654496287025713E-3</v>
      </c>
      <c r="J61" s="2">
        <f t="shared" si="22"/>
        <v>6.8195725811967525E-3</v>
      </c>
      <c r="K61" s="2">
        <f t="shared" si="22"/>
        <v>1.2034020343511288E-3</v>
      </c>
      <c r="L61" s="2">
        <f t="shared" si="22"/>
        <v>5.6421982708927789E-3</v>
      </c>
      <c r="M61" s="2">
        <f t="shared" si="22"/>
        <v>4.5660025254817523E-3</v>
      </c>
      <c r="N61" s="2">
        <f t="shared" si="22"/>
        <v>6.8420450409198211E-3</v>
      </c>
      <c r="O61" s="2">
        <f t="shared" si="22"/>
        <v>4.5349261701607135E-3</v>
      </c>
      <c r="P61" s="2">
        <f t="shared" si="22"/>
        <v>1.041282188320747E-2</v>
      </c>
      <c r="Q61" s="2">
        <f t="shared" si="22"/>
        <v>2.2616143396123559E-3</v>
      </c>
      <c r="R61" s="2">
        <f t="shared" si="22"/>
        <v>1.2651322372807456E-2</v>
      </c>
      <c r="S61" s="2">
        <f t="shared" si="22"/>
        <v>1.2658228374370422E-2</v>
      </c>
      <c r="T61" s="2">
        <f t="shared" si="22"/>
        <v>1.1493554439268281E-2</v>
      </c>
      <c r="U61" s="2">
        <f t="shared" si="22"/>
        <v>4.8548609487480748E-3</v>
      </c>
      <c r="AB61" s="2"/>
      <c r="AC61" s="2"/>
      <c r="AD61" s="2"/>
      <c r="AE61" s="2"/>
      <c r="AF61" s="2"/>
      <c r="AG61" s="2"/>
      <c r="AH61" s="2"/>
    </row>
    <row r="62" spans="1:34">
      <c r="A62" s="1" t="s">
        <v>119</v>
      </c>
      <c r="B62" s="2">
        <f t="shared" si="19"/>
        <v>1.6470168702332599</v>
      </c>
      <c r="C62" s="2">
        <f t="shared" ref="C62:U62" si="23">C45*15/(C$56)</f>
        <v>1.902156798834171</v>
      </c>
      <c r="D62" s="2">
        <f t="shared" si="23"/>
        <v>1.99308093328744</v>
      </c>
      <c r="E62" s="2">
        <f t="shared" si="23"/>
        <v>2.0207576794494608</v>
      </c>
      <c r="F62" s="2">
        <f t="shared" si="23"/>
        <v>1.9536293835704248</v>
      </c>
      <c r="G62" s="2">
        <f t="shared" si="23"/>
        <v>2.0244539127642525</v>
      </c>
      <c r="H62" s="2">
        <f t="shared" si="23"/>
        <v>1.962749485588495</v>
      </c>
      <c r="I62" s="2">
        <f t="shared" si="23"/>
        <v>1.9326938930970778</v>
      </c>
      <c r="J62" s="2">
        <f t="shared" si="23"/>
        <v>1.8420784476195333</v>
      </c>
      <c r="K62" s="2">
        <f t="shared" si="23"/>
        <v>1.6632715043584629</v>
      </c>
      <c r="L62" s="2">
        <f t="shared" si="23"/>
        <v>1.9129846072552106</v>
      </c>
      <c r="M62" s="2">
        <f t="shared" si="23"/>
        <v>1.9980986418164863</v>
      </c>
      <c r="N62" s="2">
        <f t="shared" si="23"/>
        <v>1.9722653248811495</v>
      </c>
      <c r="O62" s="2">
        <f t="shared" si="23"/>
        <v>2.0673278648050322</v>
      </c>
      <c r="P62" s="2">
        <f t="shared" si="23"/>
        <v>1.6370608187208306</v>
      </c>
      <c r="Q62" s="2">
        <f t="shared" si="23"/>
        <v>0.81097282471043208</v>
      </c>
      <c r="R62" s="2">
        <f t="shared" si="23"/>
        <v>1.9394496693371521</v>
      </c>
      <c r="S62" s="2">
        <f t="shared" si="23"/>
        <v>1.9645287999159331</v>
      </c>
      <c r="T62" s="2">
        <f t="shared" si="23"/>
        <v>1.9347326946857966</v>
      </c>
      <c r="U62" s="2">
        <f t="shared" si="23"/>
        <v>1.9299157862086103</v>
      </c>
      <c r="AB62" s="2"/>
      <c r="AC62" s="2"/>
      <c r="AD62" s="2"/>
      <c r="AE62" s="2"/>
      <c r="AF62" s="2"/>
      <c r="AG62" s="2"/>
      <c r="AH62" s="2"/>
    </row>
    <row r="63" spans="1:34">
      <c r="A63" s="1" t="s">
        <v>120</v>
      </c>
      <c r="B63" s="2">
        <f t="shared" si="19"/>
        <v>1.6841362894110172</v>
      </c>
      <c r="C63" s="2">
        <f t="shared" ref="C63:U63" si="24">C46*15/(C$56)</f>
        <v>1.617811175616269</v>
      </c>
      <c r="D63" s="2">
        <f t="shared" si="24"/>
        <v>1.7403456313557437</v>
      </c>
      <c r="E63" s="2">
        <f t="shared" si="24"/>
        <v>1.7854771757298258</v>
      </c>
      <c r="F63" s="2">
        <f t="shared" si="24"/>
        <v>1.6780424841728017</v>
      </c>
      <c r="G63" s="2">
        <f t="shared" si="24"/>
        <v>1.7665324466403984</v>
      </c>
      <c r="H63" s="2">
        <f t="shared" si="24"/>
        <v>1.6264353939526031</v>
      </c>
      <c r="I63" s="2">
        <f t="shared" si="24"/>
        <v>1.6910323847353901</v>
      </c>
      <c r="J63" s="2">
        <f t="shared" si="24"/>
        <v>1.6589967099725587</v>
      </c>
      <c r="K63" s="2">
        <f t="shared" si="24"/>
        <v>1.8570626954012144</v>
      </c>
      <c r="L63" s="2">
        <f t="shared" si="24"/>
        <v>1.637544019654293</v>
      </c>
      <c r="M63" s="2">
        <f t="shared" si="24"/>
        <v>1.6770226742638117</v>
      </c>
      <c r="N63" s="2">
        <f t="shared" si="24"/>
        <v>1.6753187801834277</v>
      </c>
      <c r="O63" s="2">
        <f t="shared" si="24"/>
        <v>1.7327607806290761</v>
      </c>
      <c r="P63" s="2">
        <f t="shared" si="24"/>
        <v>1.6434726291567154</v>
      </c>
      <c r="Q63" s="2">
        <f t="shared" si="24"/>
        <v>1.2020295603096709</v>
      </c>
      <c r="R63" s="2">
        <f t="shared" si="24"/>
        <v>1.7432110103003702</v>
      </c>
      <c r="S63" s="2">
        <f t="shared" si="24"/>
        <v>1.7368597362112053</v>
      </c>
      <c r="T63" s="2">
        <f t="shared" si="24"/>
        <v>1.7846002338286238</v>
      </c>
      <c r="U63" s="2">
        <f t="shared" si="24"/>
        <v>1.6986155924623498</v>
      </c>
      <c r="AB63" s="2"/>
      <c r="AC63" s="2"/>
      <c r="AD63" s="2"/>
      <c r="AE63" s="2"/>
      <c r="AF63" s="2"/>
      <c r="AG63" s="2"/>
      <c r="AH63" s="2"/>
    </row>
    <row r="64" spans="1:34">
      <c r="A64" s="1" t="s">
        <v>121</v>
      </c>
      <c r="B64" s="2">
        <f t="shared" si="19"/>
        <v>8.4176503830903374E-2</v>
      </c>
      <c r="C64" s="2">
        <f t="shared" ref="C64:U64" si="25">C47*15/(C$56)</f>
        <v>0.10241458351074627</v>
      </c>
      <c r="D64" s="2">
        <f t="shared" si="25"/>
        <v>0.1227842985971907</v>
      </c>
      <c r="E64" s="2">
        <f t="shared" si="25"/>
        <v>0.13739819278050885</v>
      </c>
      <c r="F64" s="2">
        <f t="shared" si="25"/>
        <v>0.10393481135773573</v>
      </c>
      <c r="G64" s="2">
        <f t="shared" si="25"/>
        <v>0.10259288312841221</v>
      </c>
      <c r="H64" s="2">
        <f t="shared" si="25"/>
        <v>9.8988763209155242E-2</v>
      </c>
      <c r="I64" s="2">
        <f t="shared" si="25"/>
        <v>0.10318053881786314</v>
      </c>
      <c r="J64" s="2">
        <f t="shared" si="25"/>
        <v>0.10837033096550482</v>
      </c>
      <c r="K64" s="2">
        <f t="shared" si="25"/>
        <v>0.11474010301476199</v>
      </c>
      <c r="L64" s="2">
        <f t="shared" si="25"/>
        <v>0.10880161355237029</v>
      </c>
      <c r="M64" s="2">
        <f t="shared" si="25"/>
        <v>9.4163234634339954E-2</v>
      </c>
      <c r="N64" s="2">
        <f t="shared" si="25"/>
        <v>8.4294309339008694E-2</v>
      </c>
      <c r="O64" s="2">
        <f t="shared" si="25"/>
        <v>8.5020324298420449E-2</v>
      </c>
      <c r="P64" s="2">
        <f t="shared" si="25"/>
        <v>2.7268616144761174E-2</v>
      </c>
      <c r="Q64" s="2">
        <f t="shared" si="25"/>
        <v>2.7863192599385845E-2</v>
      </c>
      <c r="R64" s="2">
        <f t="shared" si="25"/>
        <v>2.2178400906961149E-2</v>
      </c>
      <c r="S64" s="2">
        <f t="shared" si="25"/>
        <v>2.4656119414579906E-2</v>
      </c>
      <c r="T64" s="2">
        <f t="shared" si="25"/>
        <v>2.5857595623882238E-2</v>
      </c>
      <c r="U64" s="2">
        <f t="shared" si="25"/>
        <v>0.1069275316877686</v>
      </c>
      <c r="AB64" s="2"/>
      <c r="AC64" s="2"/>
      <c r="AD64" s="2"/>
      <c r="AE64" s="2"/>
      <c r="AF64" s="2"/>
      <c r="AG64" s="2"/>
      <c r="AH64" s="2"/>
    </row>
    <row r="65" spans="1:34">
      <c r="A65" s="1" t="s">
        <v>122</v>
      </c>
      <c r="B65" s="2">
        <f t="shared" si="19"/>
        <v>3.5261500987509358E-3</v>
      </c>
      <c r="C65" s="2">
        <f t="shared" ref="C65:U65" si="26">C48*15/(C$56)</f>
        <v>0</v>
      </c>
      <c r="D65" s="2">
        <f t="shared" si="26"/>
        <v>0</v>
      </c>
      <c r="E65" s="2">
        <f t="shared" si="26"/>
        <v>3.5259558138278899E-3</v>
      </c>
      <c r="F65" s="2">
        <f t="shared" si="26"/>
        <v>0</v>
      </c>
      <c r="G65" s="2">
        <f t="shared" si="26"/>
        <v>0</v>
      </c>
      <c r="H65" s="2">
        <f t="shared" si="26"/>
        <v>0</v>
      </c>
      <c r="I65" s="2">
        <f t="shared" si="26"/>
        <v>0</v>
      </c>
      <c r="J65" s="2">
        <f t="shared" si="26"/>
        <v>0</v>
      </c>
      <c r="K65" s="2">
        <f t="shared" si="26"/>
        <v>0</v>
      </c>
      <c r="L65" s="2">
        <f t="shared" si="26"/>
        <v>0</v>
      </c>
      <c r="M65" s="2">
        <f t="shared" si="26"/>
        <v>0</v>
      </c>
      <c r="N65" s="2">
        <f t="shared" si="26"/>
        <v>0</v>
      </c>
      <c r="O65" s="2">
        <f t="shared" si="26"/>
        <v>0</v>
      </c>
      <c r="P65" s="2">
        <f t="shared" si="26"/>
        <v>0</v>
      </c>
      <c r="Q65" s="2">
        <f t="shared" si="26"/>
        <v>0</v>
      </c>
      <c r="R65" s="2">
        <f t="shared" si="26"/>
        <v>0</v>
      </c>
      <c r="S65" s="2">
        <f t="shared" si="26"/>
        <v>0</v>
      </c>
      <c r="T65" s="2">
        <f t="shared" si="26"/>
        <v>0</v>
      </c>
      <c r="U65" s="2">
        <f t="shared" si="26"/>
        <v>8.7148754667573007E-4</v>
      </c>
      <c r="AB65" s="2"/>
      <c r="AC65" s="2"/>
      <c r="AD65" s="2"/>
      <c r="AE65" s="2"/>
      <c r="AF65" s="2"/>
      <c r="AG65" s="2"/>
      <c r="AH65" s="2"/>
    </row>
    <row r="66" spans="1:34">
      <c r="A66" s="1" t="s">
        <v>123</v>
      </c>
      <c r="B66" s="2">
        <f t="shared" si="19"/>
        <v>2.7143136649448314</v>
      </c>
      <c r="C66" s="2">
        <f t="shared" ref="C66:U66" si="27">C49*15/(C$56)</f>
        <v>2.7892400277765028</v>
      </c>
      <c r="D66" s="2">
        <f t="shared" si="27"/>
        <v>2.5800539497715067</v>
      </c>
      <c r="E66" s="2">
        <f t="shared" si="27"/>
        <v>2.6096056218188779</v>
      </c>
      <c r="F66" s="2">
        <f t="shared" si="27"/>
        <v>2.6338045515079451</v>
      </c>
      <c r="G66" s="2">
        <f t="shared" si="27"/>
        <v>2.5619710841491448</v>
      </c>
      <c r="H66" s="2">
        <f t="shared" si="27"/>
        <v>2.6646011144666981</v>
      </c>
      <c r="I66" s="2">
        <f t="shared" si="27"/>
        <v>2.6531419176664572</v>
      </c>
      <c r="J66" s="2">
        <f t="shared" si="27"/>
        <v>2.751347439179733</v>
      </c>
      <c r="K66" s="2">
        <f t="shared" si="27"/>
        <v>2.5183044169455178</v>
      </c>
      <c r="L66" s="2">
        <f t="shared" si="27"/>
        <v>2.7316048175982814</v>
      </c>
      <c r="M66" s="2">
        <f t="shared" si="27"/>
        <v>2.621186674397451</v>
      </c>
      <c r="N66" s="2">
        <f t="shared" si="27"/>
        <v>2.5368289946630589</v>
      </c>
      <c r="O66" s="2">
        <f t="shared" si="27"/>
        <v>2.5841102436160024</v>
      </c>
      <c r="P66" s="2">
        <f t="shared" si="27"/>
        <v>2.6959939173650809</v>
      </c>
      <c r="Q66" s="2">
        <f t="shared" si="27"/>
        <v>3.4984175385399472</v>
      </c>
      <c r="R66" s="2">
        <f t="shared" si="27"/>
        <v>2.5282283366546237</v>
      </c>
      <c r="S66" s="2">
        <f t="shared" si="27"/>
        <v>2.5252694745095901</v>
      </c>
      <c r="T66" s="2">
        <f t="shared" si="27"/>
        <v>2.5438819932966488</v>
      </c>
      <c r="U66" s="2">
        <f t="shared" si="27"/>
        <v>2.6507961031301441</v>
      </c>
      <c r="AB66" s="2"/>
      <c r="AC66" s="2"/>
      <c r="AD66" s="2"/>
      <c r="AE66" s="2"/>
      <c r="AF66" s="2"/>
      <c r="AG66" s="2"/>
      <c r="AH66" s="2"/>
    </row>
    <row r="67" spans="1:34">
      <c r="A67" s="1" t="s">
        <v>124</v>
      </c>
      <c r="B67" s="2">
        <f t="shared" si="19"/>
        <v>1.6425638940728526</v>
      </c>
      <c r="C67" s="2">
        <f t="shared" ref="C67:U67" si="28">C50*15/(C$56)</f>
        <v>1.6239613957013797</v>
      </c>
      <c r="D67" s="2">
        <f t="shared" si="28"/>
        <v>1.6223282559597159</v>
      </c>
      <c r="E67" s="2">
        <f t="shared" si="28"/>
        <v>1.5657515648929707</v>
      </c>
      <c r="F67" s="2">
        <f t="shared" si="28"/>
        <v>1.6812661274522491</v>
      </c>
      <c r="G67" s="2">
        <f t="shared" si="28"/>
        <v>1.6901298946711572</v>
      </c>
      <c r="H67" s="2">
        <f t="shared" si="28"/>
        <v>1.703520195385817</v>
      </c>
      <c r="I67" s="2">
        <f t="shared" si="28"/>
        <v>1.6598520245394606</v>
      </c>
      <c r="J67" s="2">
        <f t="shared" si="28"/>
        <v>1.5802746253466591</v>
      </c>
      <c r="K67" s="2">
        <f t="shared" si="28"/>
        <v>1.6878365660658747</v>
      </c>
      <c r="L67" s="2">
        <f t="shared" si="28"/>
        <v>1.6025770612362475</v>
      </c>
      <c r="M67" s="2">
        <f t="shared" si="28"/>
        <v>1.6721727825397674</v>
      </c>
      <c r="N67" s="2">
        <f t="shared" si="28"/>
        <v>1.6055710406001078</v>
      </c>
      <c r="O67" s="2">
        <f t="shared" si="28"/>
        <v>1.6669373135473302</v>
      </c>
      <c r="P67" s="2">
        <f t="shared" si="28"/>
        <v>1.9018052034902253</v>
      </c>
      <c r="Q67" s="2">
        <f t="shared" si="28"/>
        <v>1.9369344685280414</v>
      </c>
      <c r="R67" s="2">
        <f t="shared" si="28"/>
        <v>1.8624749604125437</v>
      </c>
      <c r="S67" s="2">
        <f t="shared" si="28"/>
        <v>1.87596689098003</v>
      </c>
      <c r="T67" s="2">
        <f t="shared" si="28"/>
        <v>1.8799267498395154</v>
      </c>
      <c r="U67" s="2">
        <f t="shared" si="28"/>
        <v>1.6487991089005176</v>
      </c>
      <c r="AB67" s="2"/>
      <c r="AC67" s="2"/>
      <c r="AD67" s="2"/>
      <c r="AE67" s="2"/>
      <c r="AF67" s="2"/>
      <c r="AG67" s="2"/>
      <c r="AH67" s="2"/>
    </row>
    <row r="68" spans="1:34">
      <c r="A68" s="1" t="s">
        <v>125</v>
      </c>
      <c r="B68" s="2">
        <f t="shared" si="19"/>
        <v>0.38251896093843518</v>
      </c>
      <c r="C68" s="2">
        <f t="shared" ref="C68:U68" si="29">C51*15/(C$56)</f>
        <v>0.39070393073805332</v>
      </c>
      <c r="D68" s="2">
        <f t="shared" si="29"/>
        <v>0.42018024978440771</v>
      </c>
      <c r="E68" s="2">
        <f t="shared" si="29"/>
        <v>0.39383115544927538</v>
      </c>
      <c r="F68" s="2">
        <f t="shared" si="29"/>
        <v>0.38903989057408855</v>
      </c>
      <c r="G68" s="2">
        <f t="shared" si="29"/>
        <v>0.41095333688297603</v>
      </c>
      <c r="H68" s="2">
        <f t="shared" si="29"/>
        <v>0.38322927194721002</v>
      </c>
      <c r="I68" s="2">
        <f t="shared" si="29"/>
        <v>0.39177363499433754</v>
      </c>
      <c r="J68" s="2">
        <f t="shared" si="29"/>
        <v>0.39298568727118754</v>
      </c>
      <c r="K68" s="2">
        <f t="shared" si="29"/>
        <v>0.38067308076574757</v>
      </c>
      <c r="L68" s="2">
        <f t="shared" si="29"/>
        <v>0.42337136920266</v>
      </c>
      <c r="M68" s="2">
        <f t="shared" si="29"/>
        <v>0.40587833812336171</v>
      </c>
      <c r="N68" s="2">
        <f t="shared" si="29"/>
        <v>0.45579966120025744</v>
      </c>
      <c r="O68" s="2">
        <f t="shared" si="29"/>
        <v>0.41979657617571681</v>
      </c>
      <c r="P68" s="2">
        <f t="shared" si="29"/>
        <v>0.39152250600263333</v>
      </c>
      <c r="Q68" s="2">
        <f t="shared" si="29"/>
        <v>0.2051974636581376</v>
      </c>
      <c r="R68" s="2">
        <f t="shared" si="29"/>
        <v>0.47098971493138903</v>
      </c>
      <c r="S68" s="2">
        <f t="shared" si="29"/>
        <v>0.4430284428337139</v>
      </c>
      <c r="T68" s="2">
        <f t="shared" si="29"/>
        <v>0.45094757421649834</v>
      </c>
      <c r="U68" s="2">
        <f t="shared" si="29"/>
        <v>0.39531522017922532</v>
      </c>
      <c r="AB68" s="2"/>
      <c r="AC68" s="2"/>
      <c r="AD68" s="2"/>
      <c r="AE68" s="2"/>
      <c r="AF68" s="2"/>
      <c r="AG68" s="2"/>
      <c r="AH68" s="2"/>
    </row>
    <row r="69" spans="1:34">
      <c r="A69" s="1" t="s">
        <v>126</v>
      </c>
      <c r="B69" s="2">
        <f t="shared" si="19"/>
        <v>4.474506296180436E-2</v>
      </c>
      <c r="C69" s="2">
        <f t="shared" ref="C69:U69" si="30">C52*15/(C$56)</f>
        <v>2.5707655026545675E-2</v>
      </c>
      <c r="D69" s="2">
        <f t="shared" si="30"/>
        <v>4.943529552014899E-2</v>
      </c>
      <c r="E69" s="2">
        <f t="shared" si="30"/>
        <v>4.6606872483650634E-2</v>
      </c>
      <c r="F69" s="2">
        <f t="shared" si="30"/>
        <v>6.2614214125551584E-2</v>
      </c>
      <c r="G69" s="2">
        <f t="shared" si="30"/>
        <v>4.7825906155212969E-2</v>
      </c>
      <c r="H69" s="2">
        <f t="shared" si="30"/>
        <v>3.8652010120606213E-2</v>
      </c>
      <c r="I69" s="2">
        <f t="shared" si="30"/>
        <v>4.2049284698095019E-2</v>
      </c>
      <c r="J69" s="2">
        <f t="shared" si="30"/>
        <v>2.9342173878957097E-2</v>
      </c>
      <c r="K69" s="2">
        <f t="shared" si="30"/>
        <v>5.2425297493754783E-2</v>
      </c>
      <c r="L69" s="2">
        <f t="shared" si="30"/>
        <v>2.5490172410451262E-2</v>
      </c>
      <c r="M69" s="2">
        <f t="shared" si="30"/>
        <v>4.0519607978502716E-2</v>
      </c>
      <c r="N69" s="2">
        <f t="shared" si="30"/>
        <v>4.5998226265279385E-2</v>
      </c>
      <c r="O69" s="2">
        <f t="shared" si="30"/>
        <v>4.5731625301463838E-2</v>
      </c>
      <c r="P69" s="2">
        <f t="shared" si="30"/>
        <v>0.13627468549763308</v>
      </c>
      <c r="Q69" s="2">
        <f t="shared" si="30"/>
        <v>4.7438210679394875E-2</v>
      </c>
      <c r="R69" s="2">
        <f t="shared" si="30"/>
        <v>0.18371508998416278</v>
      </c>
      <c r="S69" s="2">
        <f t="shared" si="30"/>
        <v>0.1893855377675473</v>
      </c>
      <c r="T69" s="2">
        <f t="shared" si="30"/>
        <v>0.17432055860125914</v>
      </c>
      <c r="U69" s="2">
        <f t="shared" si="30"/>
        <v>4.4695727082821886E-2</v>
      </c>
      <c r="AB69" s="2"/>
      <c r="AC69" s="2"/>
      <c r="AD69" s="2"/>
      <c r="AE69" s="2"/>
      <c r="AF69" s="2"/>
      <c r="AG69" s="2"/>
      <c r="AH69" s="2"/>
    </row>
    <row r="70" spans="1:34">
      <c r="A70" s="1" t="s">
        <v>89</v>
      </c>
      <c r="B70" s="2">
        <f t="shared" si="19"/>
        <v>0</v>
      </c>
      <c r="C70" s="2">
        <f t="shared" ref="C70:U70" si="31">C53*15/(C$56)</f>
        <v>0</v>
      </c>
      <c r="D70" s="2">
        <f t="shared" si="31"/>
        <v>0</v>
      </c>
      <c r="E70" s="2">
        <f t="shared" si="31"/>
        <v>0</v>
      </c>
      <c r="F70" s="2">
        <f t="shared" si="31"/>
        <v>0</v>
      </c>
      <c r="G70" s="2">
        <f t="shared" si="31"/>
        <v>0</v>
      </c>
      <c r="H70" s="2">
        <f t="shared" si="31"/>
        <v>0</v>
      </c>
      <c r="I70" s="2">
        <f t="shared" si="31"/>
        <v>0</v>
      </c>
      <c r="J70" s="2">
        <f t="shared" si="31"/>
        <v>0</v>
      </c>
      <c r="K70" s="2">
        <f t="shared" si="31"/>
        <v>0</v>
      </c>
      <c r="L70" s="2">
        <f t="shared" si="31"/>
        <v>0</v>
      </c>
      <c r="M70" s="2">
        <f t="shared" si="31"/>
        <v>0</v>
      </c>
      <c r="N70" s="2">
        <f t="shared" si="31"/>
        <v>0</v>
      </c>
      <c r="O70" s="2">
        <f t="shared" si="31"/>
        <v>0</v>
      </c>
      <c r="P70" s="2">
        <f t="shared" si="31"/>
        <v>0</v>
      </c>
      <c r="Q70" s="2">
        <f t="shared" si="31"/>
        <v>0</v>
      </c>
      <c r="R70" s="2">
        <f t="shared" si="31"/>
        <v>0</v>
      </c>
      <c r="S70" s="2">
        <f t="shared" si="31"/>
        <v>0</v>
      </c>
      <c r="T70" s="2">
        <f t="shared" si="31"/>
        <v>0</v>
      </c>
      <c r="U70" s="2">
        <f t="shared" si="31"/>
        <v>0</v>
      </c>
      <c r="AB70" s="2"/>
      <c r="AC70" s="2"/>
      <c r="AD70" s="2"/>
      <c r="AE70" s="2"/>
      <c r="AF70" s="2"/>
      <c r="AG70" s="2"/>
      <c r="AH70" s="2"/>
    </row>
    <row r="71" spans="1:34">
      <c r="A71" s="1" t="s">
        <v>86</v>
      </c>
      <c r="B71" s="2">
        <f t="shared" si="19"/>
        <v>0</v>
      </c>
      <c r="C71" s="2">
        <f t="shared" ref="C71:U71" si="32">C54*15/(C$56)</f>
        <v>0</v>
      </c>
      <c r="D71" s="2">
        <f t="shared" si="32"/>
        <v>0</v>
      </c>
      <c r="E71" s="2">
        <f t="shared" si="32"/>
        <v>0</v>
      </c>
      <c r="F71" s="2">
        <f t="shared" si="32"/>
        <v>0</v>
      </c>
      <c r="G71" s="2">
        <f t="shared" si="32"/>
        <v>0</v>
      </c>
      <c r="H71" s="2">
        <f t="shared" si="32"/>
        <v>0</v>
      </c>
      <c r="I71" s="2">
        <f t="shared" si="32"/>
        <v>0</v>
      </c>
      <c r="J71" s="2">
        <f t="shared" si="32"/>
        <v>0</v>
      </c>
      <c r="K71" s="2">
        <f t="shared" si="32"/>
        <v>0</v>
      </c>
      <c r="L71" s="2">
        <f t="shared" si="32"/>
        <v>0</v>
      </c>
      <c r="M71" s="2">
        <f t="shared" si="32"/>
        <v>0</v>
      </c>
      <c r="N71" s="2">
        <f t="shared" si="32"/>
        <v>0</v>
      </c>
      <c r="O71" s="2">
        <f t="shared" si="32"/>
        <v>0</v>
      </c>
      <c r="P71" s="2">
        <f t="shared" si="32"/>
        <v>0</v>
      </c>
      <c r="Q71" s="2">
        <f t="shared" si="32"/>
        <v>0</v>
      </c>
      <c r="R71" s="2">
        <f t="shared" si="32"/>
        <v>0</v>
      </c>
      <c r="S71" s="2">
        <f t="shared" si="32"/>
        <v>0</v>
      </c>
      <c r="T71" s="2">
        <f t="shared" si="32"/>
        <v>0</v>
      </c>
      <c r="U71" s="2">
        <f t="shared" si="32"/>
        <v>0</v>
      </c>
      <c r="AB71" s="2"/>
      <c r="AC71" s="2"/>
      <c r="AD71" s="2"/>
      <c r="AE71" s="2"/>
      <c r="AF71" s="2"/>
      <c r="AG71" s="2"/>
      <c r="AH71" s="2"/>
    </row>
    <row r="72" spans="1:34">
      <c r="A72" s="1" t="s">
        <v>87</v>
      </c>
      <c r="B72" s="2">
        <f t="shared" si="19"/>
        <v>0</v>
      </c>
      <c r="C72" s="2">
        <f t="shared" ref="C72:U72" si="33">C55*15/(C$56)</f>
        <v>0</v>
      </c>
      <c r="D72" s="2">
        <f t="shared" si="33"/>
        <v>0</v>
      </c>
      <c r="E72" s="2">
        <f t="shared" si="33"/>
        <v>0</v>
      </c>
      <c r="F72" s="2">
        <f t="shared" si="33"/>
        <v>0</v>
      </c>
      <c r="G72" s="2">
        <f t="shared" si="33"/>
        <v>0</v>
      </c>
      <c r="H72" s="2">
        <f t="shared" si="33"/>
        <v>0</v>
      </c>
      <c r="I72" s="2">
        <f t="shared" si="33"/>
        <v>0</v>
      </c>
      <c r="J72" s="2">
        <f t="shared" si="33"/>
        <v>0</v>
      </c>
      <c r="K72" s="2">
        <f t="shared" si="33"/>
        <v>0</v>
      </c>
      <c r="L72" s="2">
        <f t="shared" si="33"/>
        <v>0</v>
      </c>
      <c r="M72" s="2">
        <f t="shared" si="33"/>
        <v>0</v>
      </c>
      <c r="N72" s="2">
        <f t="shared" si="33"/>
        <v>0</v>
      </c>
      <c r="O72" s="2">
        <f t="shared" si="33"/>
        <v>0</v>
      </c>
      <c r="P72" s="2">
        <f t="shared" si="33"/>
        <v>0</v>
      </c>
      <c r="Q72" s="2">
        <f t="shared" si="33"/>
        <v>0</v>
      </c>
      <c r="R72" s="2">
        <f t="shared" si="33"/>
        <v>0</v>
      </c>
      <c r="S72" s="2">
        <f t="shared" si="33"/>
        <v>0</v>
      </c>
      <c r="T72" s="2">
        <f t="shared" si="33"/>
        <v>0</v>
      </c>
      <c r="U72" s="2">
        <f t="shared" si="33"/>
        <v>0</v>
      </c>
      <c r="AB72" s="2"/>
      <c r="AC72" s="2"/>
      <c r="AD72" s="2"/>
      <c r="AE72" s="2"/>
      <c r="AF72" s="2"/>
      <c r="AG72" s="2"/>
      <c r="AH72" s="2"/>
    </row>
    <row r="73" spans="1:34">
      <c r="A73" s="1" t="s">
        <v>115</v>
      </c>
      <c r="B73" s="2">
        <f>SUM(B59:B69)</f>
        <v>15.044745062961804</v>
      </c>
      <c r="C73" s="2">
        <f t="shared" ref="C73:U73" si="34">SUM(C59:C69)</f>
        <v>15.025707655026547</v>
      </c>
      <c r="D73" s="2">
        <f t="shared" si="34"/>
        <v>15.049435295520146</v>
      </c>
      <c r="E73" s="2">
        <f t="shared" si="34"/>
        <v>15.046606872483649</v>
      </c>
      <c r="F73" s="2">
        <f t="shared" si="34"/>
        <v>15.062614214125546</v>
      </c>
      <c r="G73" s="2">
        <f t="shared" si="34"/>
        <v>15.047825906155213</v>
      </c>
      <c r="H73" s="2">
        <f t="shared" si="34"/>
        <v>15.038652010120606</v>
      </c>
      <c r="I73" s="2">
        <f t="shared" si="34"/>
        <v>15.042049284698091</v>
      </c>
      <c r="J73" s="2">
        <f t="shared" si="34"/>
        <v>15.029342173878955</v>
      </c>
      <c r="K73" s="2">
        <f t="shared" si="34"/>
        <v>15.052425297493752</v>
      </c>
      <c r="L73" s="2">
        <f t="shared" si="34"/>
        <v>15.025490172410452</v>
      </c>
      <c r="M73" s="2">
        <f t="shared" si="34"/>
        <v>15.040519607978505</v>
      </c>
      <c r="N73" s="2">
        <f t="shared" si="34"/>
        <v>15.045998226265279</v>
      </c>
      <c r="O73" s="2">
        <f t="shared" si="34"/>
        <v>15.045731625301464</v>
      </c>
      <c r="P73" s="2">
        <f t="shared" si="34"/>
        <v>15.136274685497632</v>
      </c>
      <c r="Q73" s="2">
        <f t="shared" si="34"/>
        <v>15.047438210679392</v>
      </c>
      <c r="R73" s="2">
        <f t="shared" si="34"/>
        <v>15.183715089984162</v>
      </c>
      <c r="S73" s="2">
        <f t="shared" si="34"/>
        <v>15.189385537767544</v>
      </c>
      <c r="T73" s="2">
        <f t="shared" si="34"/>
        <v>15.174320558601261</v>
      </c>
      <c r="U73" s="2">
        <f t="shared" si="34"/>
        <v>15.044695727082823</v>
      </c>
      <c r="AB73" s="2"/>
      <c r="AC73" s="2"/>
      <c r="AD73" s="2"/>
      <c r="AE73" s="2"/>
      <c r="AF73" s="2"/>
      <c r="AG73" s="2"/>
      <c r="AH73" s="2"/>
    </row>
    <row r="74" spans="1:34">
      <c r="AB74" s="2"/>
      <c r="AC74" s="2"/>
      <c r="AD74" s="2"/>
      <c r="AE74" s="2"/>
      <c r="AF74" s="2"/>
      <c r="AG74" s="2"/>
      <c r="AH74" s="2"/>
    </row>
    <row r="75" spans="1:34">
      <c r="A75" s="1" t="s">
        <v>127</v>
      </c>
      <c r="AB75" s="2"/>
      <c r="AC75" s="2"/>
      <c r="AD75" s="2"/>
      <c r="AE75" s="2"/>
      <c r="AF75" s="2"/>
      <c r="AG75" s="2"/>
      <c r="AH75" s="2"/>
    </row>
    <row r="76" spans="1:34">
      <c r="A76" s="1" t="s">
        <v>116</v>
      </c>
      <c r="B76" s="2">
        <f t="shared" ref="B76:U76" si="35">B59*$D4</f>
        <v>27.150452202026681</v>
      </c>
      <c r="C76" s="2">
        <f t="shared" si="35"/>
        <v>26.038499881181576</v>
      </c>
      <c r="D76" s="2">
        <f t="shared" si="35"/>
        <v>25.825206097197761</v>
      </c>
      <c r="E76" s="2">
        <f t="shared" si="35"/>
        <v>25.740063394390674</v>
      </c>
      <c r="F76" s="2">
        <f t="shared" si="35"/>
        <v>25.958206776227954</v>
      </c>
      <c r="G76" s="2">
        <f t="shared" si="35"/>
        <v>25.512779360197371</v>
      </c>
      <c r="H76" s="2">
        <f t="shared" si="35"/>
        <v>25.949564093449254</v>
      </c>
      <c r="I76" s="2">
        <f t="shared" si="35"/>
        <v>25.987677574733656</v>
      </c>
      <c r="J76" s="2">
        <f t="shared" si="35"/>
        <v>26.424622630935211</v>
      </c>
      <c r="K76" s="2">
        <f t="shared" si="35"/>
        <v>26.906184473375994</v>
      </c>
      <c r="L76" s="2">
        <f t="shared" si="35"/>
        <v>26.052306595913432</v>
      </c>
      <c r="M76" s="2">
        <f t="shared" si="35"/>
        <v>25.834045895101646</v>
      </c>
      <c r="N76" s="2">
        <f t="shared" si="35"/>
        <v>26.378996649365597</v>
      </c>
      <c r="O76" s="2">
        <f t="shared" si="35"/>
        <v>25.417296334428851</v>
      </c>
      <c r="P76" s="2">
        <f t="shared" si="35"/>
        <v>26.166812706906935</v>
      </c>
      <c r="Q76" s="2">
        <f t="shared" si="35"/>
        <v>29.230875870133261</v>
      </c>
      <c r="R76" s="2">
        <f t="shared" si="35"/>
        <v>24.970033455626972</v>
      </c>
      <c r="S76" s="2">
        <f t="shared" si="35"/>
        <v>24.972019214213724</v>
      </c>
      <c r="T76" s="2">
        <f t="shared" si="35"/>
        <v>24.778970804472308</v>
      </c>
      <c r="U76" s="2">
        <f t="shared" si="35"/>
        <v>26.018760966158936</v>
      </c>
      <c r="AB76" s="2"/>
      <c r="AC76" s="2"/>
      <c r="AD76" s="2"/>
      <c r="AE76" s="2"/>
      <c r="AF76" s="2"/>
      <c r="AG76" s="2"/>
      <c r="AH76" s="2"/>
    </row>
    <row r="77" spans="1:34">
      <c r="A77" s="1" t="s">
        <v>117</v>
      </c>
      <c r="B77" s="2">
        <f t="shared" ref="B77:U77" si="36">B60*$D5</f>
        <v>0.19342859508144214</v>
      </c>
      <c r="C77" s="2">
        <f t="shared" si="36"/>
        <v>0.2381393897595801</v>
      </c>
      <c r="D77" s="2">
        <f t="shared" si="36"/>
        <v>0.24608341516329479</v>
      </c>
      <c r="E77" s="2">
        <f t="shared" si="36"/>
        <v>0.17143862641345251</v>
      </c>
      <c r="F77" s="2">
        <f t="shared" si="36"/>
        <v>0.26922775246916841</v>
      </c>
      <c r="G77" s="2">
        <f t="shared" si="36"/>
        <v>0.25156601604854295</v>
      </c>
      <c r="H77" s="2">
        <f t="shared" si="36"/>
        <v>0.26039830884041515</v>
      </c>
      <c r="I77" s="2">
        <f t="shared" si="36"/>
        <v>0.26296305134917952</v>
      </c>
      <c r="J77" s="2">
        <f t="shared" si="36"/>
        <v>0.21188611731929</v>
      </c>
      <c r="K77" s="2">
        <f t="shared" si="36"/>
        <v>0.20144845228027145</v>
      </c>
      <c r="L77" s="2">
        <f t="shared" si="36"/>
        <v>0.25759065700674144</v>
      </c>
      <c r="M77" s="2">
        <f t="shared" si="36"/>
        <v>0.27360071169555372</v>
      </c>
      <c r="N77" s="2">
        <f t="shared" si="36"/>
        <v>0.27332272700268034</v>
      </c>
      <c r="O77" s="2">
        <f t="shared" si="36"/>
        <v>0.34075154860418883</v>
      </c>
      <c r="P77" s="2">
        <f t="shared" si="36"/>
        <v>0.60304124203924558</v>
      </c>
      <c r="Q77" s="2">
        <f t="shared" si="36"/>
        <v>3.4417479125822645E-2</v>
      </c>
      <c r="R77" s="2">
        <f t="shared" si="36"/>
        <v>0.71323288470963087</v>
      </c>
      <c r="S77" s="2">
        <f t="shared" si="36"/>
        <v>0.69611001682857743</v>
      </c>
      <c r="T77" s="2">
        <f t="shared" si="36"/>
        <v>0.69526761180676355</v>
      </c>
      <c r="U77" s="2">
        <f t="shared" si="36"/>
        <v>0.23685626958491854</v>
      </c>
      <c r="AB77" s="2"/>
      <c r="AC77" s="2"/>
      <c r="AD77" s="2"/>
      <c r="AE77" s="2"/>
      <c r="AF77" s="2"/>
      <c r="AG77" s="2"/>
      <c r="AH77" s="2"/>
    </row>
    <row r="78" spans="1:34">
      <c r="A78" s="1" t="s">
        <v>118</v>
      </c>
      <c r="B78" s="2">
        <f t="shared" ref="B78:U78" si="37">B61*$D6</f>
        <v>1.7332401578754979E-2</v>
      </c>
      <c r="C78" s="2">
        <f t="shared" si="37"/>
        <v>1.3656810262767421E-2</v>
      </c>
      <c r="D78" s="2">
        <f t="shared" si="37"/>
        <v>1.0212909461182374E-2</v>
      </c>
      <c r="E78" s="2">
        <f t="shared" si="37"/>
        <v>1.7331446592661753E-2</v>
      </c>
      <c r="F78" s="2">
        <f t="shared" si="37"/>
        <v>1.0272357571418532E-2</v>
      </c>
      <c r="G78" s="2">
        <f t="shared" si="37"/>
        <v>6.8402931065378175E-3</v>
      </c>
      <c r="H78" s="2">
        <f t="shared" si="37"/>
        <v>2.3955524632813995E-2</v>
      </c>
      <c r="I78" s="2">
        <f t="shared" si="37"/>
        <v>1.6996348886107713E-2</v>
      </c>
      <c r="J78" s="2">
        <f t="shared" si="37"/>
        <v>2.0458717743590257E-2</v>
      </c>
      <c r="K78" s="2">
        <f t="shared" si="37"/>
        <v>3.6102061030533865E-3</v>
      </c>
      <c r="L78" s="2">
        <f t="shared" si="37"/>
        <v>1.6926594812678337E-2</v>
      </c>
      <c r="M78" s="2">
        <f t="shared" si="37"/>
        <v>1.3698007576445258E-2</v>
      </c>
      <c r="N78" s="2">
        <f t="shared" si="37"/>
        <v>2.0526135122759463E-2</v>
      </c>
      <c r="O78" s="2">
        <f t="shared" si="37"/>
        <v>1.3604778510482141E-2</v>
      </c>
      <c r="P78" s="2">
        <f t="shared" si="37"/>
        <v>3.1238465649622411E-2</v>
      </c>
      <c r="Q78" s="2">
        <f t="shared" si="37"/>
        <v>6.7848430188370678E-3</v>
      </c>
      <c r="R78" s="2">
        <f t="shared" si="37"/>
        <v>3.7953967118422367E-2</v>
      </c>
      <c r="S78" s="2">
        <f t="shared" si="37"/>
        <v>3.7974685123111265E-2</v>
      </c>
      <c r="T78" s="2">
        <f t="shared" si="37"/>
        <v>3.4480663317804847E-2</v>
      </c>
      <c r="U78" s="2">
        <f t="shared" si="37"/>
        <v>1.4564582846244224E-2</v>
      </c>
      <c r="AB78" s="2"/>
      <c r="AC78" s="2"/>
      <c r="AD78" s="2"/>
      <c r="AE78" s="2"/>
      <c r="AF78" s="2"/>
      <c r="AG78" s="2"/>
      <c r="AH78" s="2"/>
    </row>
    <row r="79" spans="1:34">
      <c r="A79" s="1" t="s">
        <v>119</v>
      </c>
      <c r="B79" s="2">
        <f t="shared" ref="B79:U79" si="38">B62*$D7</f>
        <v>4.9410506106997794</v>
      </c>
      <c r="C79" s="2">
        <f t="shared" si="38"/>
        <v>5.706470396502513</v>
      </c>
      <c r="D79" s="2">
        <f t="shared" si="38"/>
        <v>5.9792427998623197</v>
      </c>
      <c r="E79" s="2">
        <f t="shared" si="38"/>
        <v>6.0622730383483825</v>
      </c>
      <c r="F79" s="2">
        <f t="shared" si="38"/>
        <v>5.8608881507112747</v>
      </c>
      <c r="G79" s="2">
        <f t="shared" si="38"/>
        <v>6.0733617382927569</v>
      </c>
      <c r="H79" s="2">
        <f t="shared" si="38"/>
        <v>5.8882484567654849</v>
      </c>
      <c r="I79" s="2">
        <f t="shared" si="38"/>
        <v>5.7980816792912337</v>
      </c>
      <c r="J79" s="2">
        <f t="shared" si="38"/>
        <v>5.5262353428586</v>
      </c>
      <c r="K79" s="2">
        <f t="shared" si="38"/>
        <v>4.9898145130753893</v>
      </c>
      <c r="L79" s="2">
        <f t="shared" si="38"/>
        <v>5.738953821765632</v>
      </c>
      <c r="M79" s="2">
        <f t="shared" si="38"/>
        <v>5.9942959254494586</v>
      </c>
      <c r="N79" s="2">
        <f t="shared" si="38"/>
        <v>5.9167959746434482</v>
      </c>
      <c r="O79" s="2">
        <f t="shared" si="38"/>
        <v>6.2019835944150969</v>
      </c>
      <c r="P79" s="2">
        <f t="shared" si="38"/>
        <v>4.9111824561624919</v>
      </c>
      <c r="Q79" s="2">
        <f t="shared" si="38"/>
        <v>2.4329184741312964</v>
      </c>
      <c r="R79" s="2">
        <f t="shared" si="38"/>
        <v>5.8183490080114559</v>
      </c>
      <c r="S79" s="2">
        <f t="shared" si="38"/>
        <v>5.8935863997477993</v>
      </c>
      <c r="T79" s="2">
        <f t="shared" si="38"/>
        <v>5.8041980840573899</v>
      </c>
      <c r="U79" s="2">
        <f t="shared" si="38"/>
        <v>5.7897473586258306</v>
      </c>
      <c r="AB79" s="2"/>
      <c r="AC79" s="2"/>
      <c r="AD79" s="2"/>
      <c r="AE79" s="2"/>
      <c r="AF79" s="2"/>
      <c r="AG79" s="2"/>
      <c r="AH79" s="2"/>
    </row>
    <row r="80" spans="1:34">
      <c r="A80" s="1" t="s">
        <v>120</v>
      </c>
      <c r="B80" s="2">
        <f t="shared" ref="B80:U80" si="39">B63*$D8</f>
        <v>3.3682725788220345</v>
      </c>
      <c r="C80" s="2">
        <f t="shared" si="39"/>
        <v>3.2356223512325379</v>
      </c>
      <c r="D80" s="2">
        <f t="shared" si="39"/>
        <v>3.4806912627114874</v>
      </c>
      <c r="E80" s="2">
        <f t="shared" si="39"/>
        <v>3.5709543514596516</v>
      </c>
      <c r="F80" s="2">
        <f t="shared" si="39"/>
        <v>3.3560849683456033</v>
      </c>
      <c r="G80" s="2">
        <f t="shared" si="39"/>
        <v>3.5330648932807969</v>
      </c>
      <c r="H80" s="2">
        <f t="shared" si="39"/>
        <v>3.2528707879052061</v>
      </c>
      <c r="I80" s="2">
        <f t="shared" si="39"/>
        <v>3.3820647694707802</v>
      </c>
      <c r="J80" s="2">
        <f t="shared" si="39"/>
        <v>3.3179934199451173</v>
      </c>
      <c r="K80" s="2">
        <f t="shared" si="39"/>
        <v>3.7141253908024288</v>
      </c>
      <c r="L80" s="2">
        <f t="shared" si="39"/>
        <v>3.2750880393085859</v>
      </c>
      <c r="M80" s="2">
        <f t="shared" si="39"/>
        <v>3.3540453485276234</v>
      </c>
      <c r="N80" s="2">
        <f t="shared" si="39"/>
        <v>3.3506375603668554</v>
      </c>
      <c r="O80" s="2">
        <f t="shared" si="39"/>
        <v>3.4655215612581522</v>
      </c>
      <c r="P80" s="2">
        <f t="shared" si="39"/>
        <v>3.2869452583134309</v>
      </c>
      <c r="Q80" s="2">
        <f t="shared" si="39"/>
        <v>2.4040591206193418</v>
      </c>
      <c r="R80" s="2">
        <f t="shared" si="39"/>
        <v>3.4864220206007404</v>
      </c>
      <c r="S80" s="2">
        <f t="shared" si="39"/>
        <v>3.4737194724224105</v>
      </c>
      <c r="T80" s="2">
        <f t="shared" si="39"/>
        <v>3.5692004676572475</v>
      </c>
      <c r="U80" s="2">
        <f t="shared" si="39"/>
        <v>3.3972311849246997</v>
      </c>
      <c r="AB80" s="2"/>
      <c r="AC80" s="2"/>
      <c r="AD80" s="2"/>
      <c r="AE80" s="2"/>
      <c r="AF80" s="2"/>
      <c r="AG80" s="2"/>
      <c r="AH80" s="2"/>
    </row>
    <row r="81" spans="1:34">
      <c r="A81" s="1" t="s">
        <v>121</v>
      </c>
      <c r="B81" s="2">
        <f t="shared" ref="B81:U81" si="40">B64*$D9</f>
        <v>0.16835300766180675</v>
      </c>
      <c r="C81" s="2">
        <f t="shared" si="40"/>
        <v>0.20482916702149254</v>
      </c>
      <c r="D81" s="2">
        <f t="shared" si="40"/>
        <v>0.2455685971943814</v>
      </c>
      <c r="E81" s="2">
        <f t="shared" si="40"/>
        <v>0.27479638556101771</v>
      </c>
      <c r="F81" s="2">
        <f t="shared" si="40"/>
        <v>0.20786962271547146</v>
      </c>
      <c r="G81" s="2">
        <f t="shared" si="40"/>
        <v>0.20518576625682441</v>
      </c>
      <c r="H81" s="2">
        <f t="shared" si="40"/>
        <v>0.19797752641831048</v>
      </c>
      <c r="I81" s="2">
        <f t="shared" si="40"/>
        <v>0.20636107763572628</v>
      </c>
      <c r="J81" s="2">
        <f t="shared" si="40"/>
        <v>0.21674066193100963</v>
      </c>
      <c r="K81" s="2">
        <f t="shared" si="40"/>
        <v>0.22948020602952399</v>
      </c>
      <c r="L81" s="2">
        <f t="shared" si="40"/>
        <v>0.21760322710474059</v>
      </c>
      <c r="M81" s="2">
        <f t="shared" si="40"/>
        <v>0.18832646926867991</v>
      </c>
      <c r="N81" s="2">
        <f t="shared" si="40"/>
        <v>0.16858861867801739</v>
      </c>
      <c r="O81" s="2">
        <f t="shared" si="40"/>
        <v>0.1700406485968409</v>
      </c>
      <c r="P81" s="2">
        <f t="shared" si="40"/>
        <v>5.4537232289522349E-2</v>
      </c>
      <c r="Q81" s="2">
        <f t="shared" si="40"/>
        <v>5.572638519877169E-2</v>
      </c>
      <c r="R81" s="2">
        <f t="shared" si="40"/>
        <v>4.4356801813922299E-2</v>
      </c>
      <c r="S81" s="2">
        <f t="shared" si="40"/>
        <v>4.9312238829159812E-2</v>
      </c>
      <c r="T81" s="2">
        <f t="shared" si="40"/>
        <v>5.1715191247764476E-2</v>
      </c>
      <c r="U81" s="2">
        <f t="shared" si="40"/>
        <v>0.2138550633755372</v>
      </c>
      <c r="AB81" s="2"/>
      <c r="AC81" s="2"/>
      <c r="AD81" s="2"/>
      <c r="AE81" s="2"/>
      <c r="AF81" s="2"/>
      <c r="AG81" s="2"/>
      <c r="AH81" s="2"/>
    </row>
    <row r="82" spans="1:34">
      <c r="A82" s="1" t="s">
        <v>122</v>
      </c>
      <c r="B82" s="2">
        <f t="shared" ref="B82:U82" si="41">B65*$D10</f>
        <v>7.0523001975018717E-3</v>
      </c>
      <c r="C82" s="2">
        <f t="shared" si="41"/>
        <v>0</v>
      </c>
      <c r="D82" s="2">
        <f t="shared" si="41"/>
        <v>0</v>
      </c>
      <c r="E82" s="2">
        <f t="shared" si="41"/>
        <v>7.0519116276557799E-3</v>
      </c>
      <c r="F82" s="2">
        <f t="shared" si="41"/>
        <v>0</v>
      </c>
      <c r="G82" s="2">
        <f t="shared" si="41"/>
        <v>0</v>
      </c>
      <c r="H82" s="2">
        <f t="shared" si="41"/>
        <v>0</v>
      </c>
      <c r="I82" s="2">
        <f t="shared" si="41"/>
        <v>0</v>
      </c>
      <c r="J82" s="2">
        <f t="shared" si="41"/>
        <v>0</v>
      </c>
      <c r="K82" s="2">
        <f t="shared" si="41"/>
        <v>0</v>
      </c>
      <c r="L82" s="2">
        <f t="shared" si="41"/>
        <v>0</v>
      </c>
      <c r="M82" s="2">
        <f t="shared" si="41"/>
        <v>0</v>
      </c>
      <c r="N82" s="2">
        <f t="shared" si="41"/>
        <v>0</v>
      </c>
      <c r="O82" s="2">
        <f t="shared" si="41"/>
        <v>0</v>
      </c>
      <c r="P82" s="2">
        <f t="shared" si="41"/>
        <v>0</v>
      </c>
      <c r="Q82" s="2">
        <f t="shared" si="41"/>
        <v>0</v>
      </c>
      <c r="R82" s="2">
        <f t="shared" si="41"/>
        <v>0</v>
      </c>
      <c r="S82" s="2">
        <f t="shared" si="41"/>
        <v>0</v>
      </c>
      <c r="T82" s="2">
        <f t="shared" si="41"/>
        <v>0</v>
      </c>
      <c r="U82" s="2">
        <f t="shared" si="41"/>
        <v>1.7429750933514601E-3</v>
      </c>
      <c r="AB82" s="2"/>
      <c r="AC82" s="2"/>
      <c r="AD82" s="2"/>
      <c r="AE82" s="2"/>
      <c r="AF82" s="2"/>
      <c r="AG82" s="2"/>
      <c r="AH82" s="2"/>
    </row>
    <row r="83" spans="1:34">
      <c r="A83" s="1" t="s">
        <v>123</v>
      </c>
      <c r="B83" s="2">
        <f t="shared" ref="B83:U83" si="42">B66*$D11</f>
        <v>5.4286273298896628</v>
      </c>
      <c r="C83" s="2">
        <f t="shared" si="42"/>
        <v>5.5784800555530056</v>
      </c>
      <c r="D83" s="2">
        <f t="shared" si="42"/>
        <v>5.1601078995430134</v>
      </c>
      <c r="E83" s="2">
        <f t="shared" si="42"/>
        <v>5.2192112436377558</v>
      </c>
      <c r="F83" s="2">
        <f t="shared" si="42"/>
        <v>5.2676091030158902</v>
      </c>
      <c r="G83" s="2">
        <f t="shared" si="42"/>
        <v>5.1239421682982895</v>
      </c>
      <c r="H83" s="2">
        <f t="shared" si="42"/>
        <v>5.3292022289333962</v>
      </c>
      <c r="I83" s="2">
        <f t="shared" si="42"/>
        <v>5.3062838353329145</v>
      </c>
      <c r="J83" s="2">
        <f t="shared" si="42"/>
        <v>5.502694878359466</v>
      </c>
      <c r="K83" s="2">
        <f t="shared" si="42"/>
        <v>5.0366088338910355</v>
      </c>
      <c r="L83" s="2">
        <f t="shared" si="42"/>
        <v>5.4632096351965629</v>
      </c>
      <c r="M83" s="2">
        <f t="shared" si="42"/>
        <v>5.242373348794902</v>
      </c>
      <c r="N83" s="2">
        <f t="shared" si="42"/>
        <v>5.0736579893261178</v>
      </c>
      <c r="O83" s="2">
        <f t="shared" si="42"/>
        <v>5.1682204872320048</v>
      </c>
      <c r="P83" s="2">
        <f t="shared" si="42"/>
        <v>5.3919878347301617</v>
      </c>
      <c r="Q83" s="2">
        <f t="shared" si="42"/>
        <v>6.9968350770798944</v>
      </c>
      <c r="R83" s="2">
        <f t="shared" si="42"/>
        <v>5.0564566733092473</v>
      </c>
      <c r="S83" s="2">
        <f t="shared" si="42"/>
        <v>5.0505389490191801</v>
      </c>
      <c r="T83" s="2">
        <f t="shared" si="42"/>
        <v>5.0877639865932975</v>
      </c>
      <c r="U83" s="2">
        <f t="shared" si="42"/>
        <v>5.3015922062602883</v>
      </c>
      <c r="AB83" s="2"/>
      <c r="AC83" s="2"/>
      <c r="AD83" s="2"/>
      <c r="AE83" s="2"/>
      <c r="AF83" s="2"/>
      <c r="AG83" s="2"/>
      <c r="AH83" s="2"/>
    </row>
    <row r="84" spans="1:34">
      <c r="A84" s="1" t="s">
        <v>124</v>
      </c>
      <c r="B84" s="2">
        <f t="shared" ref="B84:U84" si="43">B67*$D12</f>
        <v>3.2851277881457053</v>
      </c>
      <c r="C84" s="2">
        <f t="shared" si="43"/>
        <v>3.2479227914027593</v>
      </c>
      <c r="D84" s="2">
        <f t="shared" si="43"/>
        <v>3.2446565119194317</v>
      </c>
      <c r="E84" s="2">
        <f t="shared" si="43"/>
        <v>3.1315031297859415</v>
      </c>
      <c r="F84" s="2">
        <f t="shared" si="43"/>
        <v>3.3625322549044983</v>
      </c>
      <c r="G84" s="2">
        <f t="shared" si="43"/>
        <v>3.3802597893423143</v>
      </c>
      <c r="H84" s="2">
        <f t="shared" si="43"/>
        <v>3.407040390771634</v>
      </c>
      <c r="I84" s="2">
        <f t="shared" si="43"/>
        <v>3.3197040490789211</v>
      </c>
      <c r="J84" s="2">
        <f t="shared" si="43"/>
        <v>3.1605492506933182</v>
      </c>
      <c r="K84" s="2">
        <f t="shared" si="43"/>
        <v>3.3756731321317495</v>
      </c>
      <c r="L84" s="2">
        <f t="shared" si="43"/>
        <v>3.2051541224724951</v>
      </c>
      <c r="M84" s="2">
        <f t="shared" si="43"/>
        <v>3.3443455650795348</v>
      </c>
      <c r="N84" s="2">
        <f t="shared" si="43"/>
        <v>3.2111420812002156</v>
      </c>
      <c r="O84" s="2">
        <f t="shared" si="43"/>
        <v>3.3338746270946604</v>
      </c>
      <c r="P84" s="2">
        <f t="shared" si="43"/>
        <v>3.8036104069804506</v>
      </c>
      <c r="Q84" s="2">
        <f t="shared" si="43"/>
        <v>3.8738689370560828</v>
      </c>
      <c r="R84" s="2">
        <f t="shared" si="43"/>
        <v>3.7249499208250874</v>
      </c>
      <c r="S84" s="2">
        <f t="shared" si="43"/>
        <v>3.75193378196006</v>
      </c>
      <c r="T84" s="2">
        <f t="shared" si="43"/>
        <v>3.7598534996790307</v>
      </c>
      <c r="U84" s="2">
        <f t="shared" si="43"/>
        <v>3.2975982178010352</v>
      </c>
      <c r="AB84" s="2"/>
      <c r="AC84" s="2"/>
      <c r="AD84" s="2"/>
      <c r="AE84" s="2"/>
      <c r="AF84" s="2"/>
      <c r="AG84" s="2"/>
      <c r="AH84" s="2"/>
    </row>
    <row r="85" spans="1:34">
      <c r="A85" s="1" t="s">
        <v>125</v>
      </c>
      <c r="B85" s="2">
        <f t="shared" ref="B85:U85" si="44">B68*$D13</f>
        <v>0.38251896093843518</v>
      </c>
      <c r="C85" s="2">
        <f t="shared" si="44"/>
        <v>0.39070393073805332</v>
      </c>
      <c r="D85" s="2">
        <f t="shared" si="44"/>
        <v>0.42018024978440771</v>
      </c>
      <c r="E85" s="2">
        <f t="shared" si="44"/>
        <v>0.39383115544927538</v>
      </c>
      <c r="F85" s="2">
        <f t="shared" si="44"/>
        <v>0.38903989057408855</v>
      </c>
      <c r="G85" s="2">
        <f t="shared" si="44"/>
        <v>0.41095333688297603</v>
      </c>
      <c r="H85" s="2">
        <f t="shared" si="44"/>
        <v>0.38322927194721002</v>
      </c>
      <c r="I85" s="2">
        <f t="shared" si="44"/>
        <v>0.39177363499433754</v>
      </c>
      <c r="J85" s="2">
        <f t="shared" si="44"/>
        <v>0.39298568727118754</v>
      </c>
      <c r="K85" s="2">
        <f t="shared" si="44"/>
        <v>0.38067308076574757</v>
      </c>
      <c r="L85" s="2">
        <f t="shared" si="44"/>
        <v>0.42337136920266</v>
      </c>
      <c r="M85" s="2">
        <f t="shared" si="44"/>
        <v>0.40587833812336171</v>
      </c>
      <c r="N85" s="2">
        <f t="shared" si="44"/>
        <v>0.45579966120025744</v>
      </c>
      <c r="O85" s="2">
        <f t="shared" si="44"/>
        <v>0.41979657617571681</v>
      </c>
      <c r="P85" s="2">
        <f t="shared" si="44"/>
        <v>0.39152250600263333</v>
      </c>
      <c r="Q85" s="2">
        <f t="shared" si="44"/>
        <v>0.2051974636581376</v>
      </c>
      <c r="R85" s="2">
        <f t="shared" si="44"/>
        <v>0.47098971493138903</v>
      </c>
      <c r="S85" s="2">
        <f t="shared" si="44"/>
        <v>0.4430284428337139</v>
      </c>
      <c r="T85" s="2">
        <f t="shared" si="44"/>
        <v>0.45094757421649834</v>
      </c>
      <c r="U85" s="2">
        <f t="shared" si="44"/>
        <v>0.39531522017922532</v>
      </c>
      <c r="AB85" s="2"/>
      <c r="AC85" s="2"/>
      <c r="AD85" s="2"/>
      <c r="AE85" s="2"/>
      <c r="AF85" s="2"/>
      <c r="AG85" s="2"/>
      <c r="AH85" s="2"/>
    </row>
    <row r="86" spans="1:34">
      <c r="A86" s="1" t="s">
        <v>126</v>
      </c>
      <c r="B86" s="2">
        <f t="shared" ref="B86:U86" si="45">B69*$D14</f>
        <v>4.474506296180436E-2</v>
      </c>
      <c r="C86" s="2">
        <f t="shared" si="45"/>
        <v>2.5707655026545675E-2</v>
      </c>
      <c r="D86" s="2">
        <f t="shared" si="45"/>
        <v>4.943529552014899E-2</v>
      </c>
      <c r="E86" s="2">
        <f t="shared" si="45"/>
        <v>4.6606872483650634E-2</v>
      </c>
      <c r="F86" s="2">
        <f t="shared" si="45"/>
        <v>6.2614214125551584E-2</v>
      </c>
      <c r="G86" s="2">
        <f t="shared" si="45"/>
        <v>4.7825906155212969E-2</v>
      </c>
      <c r="H86" s="2">
        <f t="shared" si="45"/>
        <v>3.8652010120606213E-2</v>
      </c>
      <c r="I86" s="2">
        <f t="shared" si="45"/>
        <v>4.2049284698095019E-2</v>
      </c>
      <c r="J86" s="2">
        <f t="shared" si="45"/>
        <v>2.9342173878957097E-2</v>
      </c>
      <c r="K86" s="2">
        <f t="shared" si="45"/>
        <v>5.2425297493754783E-2</v>
      </c>
      <c r="L86" s="2">
        <f t="shared" si="45"/>
        <v>2.5490172410451262E-2</v>
      </c>
      <c r="M86" s="2">
        <f t="shared" si="45"/>
        <v>4.0519607978502716E-2</v>
      </c>
      <c r="N86" s="2">
        <f t="shared" si="45"/>
        <v>4.5998226265279385E-2</v>
      </c>
      <c r="O86" s="2">
        <f t="shared" si="45"/>
        <v>4.5731625301463838E-2</v>
      </c>
      <c r="P86" s="2">
        <f t="shared" si="45"/>
        <v>0.13627468549763308</v>
      </c>
      <c r="Q86" s="2">
        <f t="shared" si="45"/>
        <v>4.7438210679394875E-2</v>
      </c>
      <c r="R86" s="2">
        <f t="shared" si="45"/>
        <v>0.18371508998416278</v>
      </c>
      <c r="S86" s="2">
        <f t="shared" si="45"/>
        <v>0.1893855377675473</v>
      </c>
      <c r="T86" s="2">
        <f t="shared" si="45"/>
        <v>0.17432055860125914</v>
      </c>
      <c r="U86" s="2">
        <f t="shared" si="45"/>
        <v>4.4695727082821886E-2</v>
      </c>
      <c r="AB86" s="2"/>
      <c r="AC86" s="2"/>
      <c r="AD86" s="2"/>
      <c r="AE86" s="2"/>
      <c r="AF86" s="2"/>
      <c r="AG86" s="2"/>
      <c r="AH86" s="2"/>
    </row>
    <row r="87" spans="1:34">
      <c r="A87" s="1" t="s">
        <v>89</v>
      </c>
      <c r="B87" s="2">
        <f t="shared" ref="B87:U87" si="46">B70*$D16</f>
        <v>0</v>
      </c>
      <c r="C87" s="2">
        <f t="shared" si="46"/>
        <v>0</v>
      </c>
      <c r="D87" s="2">
        <f t="shared" si="46"/>
        <v>0</v>
      </c>
      <c r="E87" s="2">
        <f t="shared" si="46"/>
        <v>0</v>
      </c>
      <c r="F87" s="2">
        <f t="shared" si="46"/>
        <v>0</v>
      </c>
      <c r="G87" s="2">
        <f t="shared" si="46"/>
        <v>0</v>
      </c>
      <c r="H87" s="2">
        <f t="shared" si="46"/>
        <v>0</v>
      </c>
      <c r="I87" s="2">
        <f t="shared" si="46"/>
        <v>0</v>
      </c>
      <c r="J87" s="2">
        <f t="shared" si="46"/>
        <v>0</v>
      </c>
      <c r="K87" s="2">
        <f t="shared" si="46"/>
        <v>0</v>
      </c>
      <c r="L87" s="2">
        <f t="shared" si="46"/>
        <v>0</v>
      </c>
      <c r="M87" s="2">
        <f t="shared" si="46"/>
        <v>0</v>
      </c>
      <c r="N87" s="2">
        <f t="shared" si="46"/>
        <v>0</v>
      </c>
      <c r="O87" s="2">
        <f t="shared" si="46"/>
        <v>0</v>
      </c>
      <c r="P87" s="2">
        <f t="shared" si="46"/>
        <v>0</v>
      </c>
      <c r="Q87" s="2">
        <f t="shared" si="46"/>
        <v>0</v>
      </c>
      <c r="R87" s="2">
        <f t="shared" si="46"/>
        <v>0</v>
      </c>
      <c r="S87" s="2">
        <f t="shared" si="46"/>
        <v>0</v>
      </c>
      <c r="T87" s="2">
        <f t="shared" si="46"/>
        <v>0</v>
      </c>
      <c r="U87" s="2">
        <f t="shared" si="46"/>
        <v>0</v>
      </c>
      <c r="AB87" s="2"/>
      <c r="AC87" s="2"/>
      <c r="AD87" s="2"/>
      <c r="AE87" s="2"/>
      <c r="AF87" s="2"/>
      <c r="AG87" s="2"/>
      <c r="AH87" s="2"/>
    </row>
    <row r="88" spans="1:34">
      <c r="A88" s="1" t="s">
        <v>86</v>
      </c>
      <c r="B88" s="2">
        <f t="shared" ref="B88:U88" si="47">B71*$D17</f>
        <v>0</v>
      </c>
      <c r="C88" s="2">
        <f t="shared" si="47"/>
        <v>0</v>
      </c>
      <c r="D88" s="2">
        <f t="shared" si="47"/>
        <v>0</v>
      </c>
      <c r="E88" s="2">
        <f t="shared" si="47"/>
        <v>0</v>
      </c>
      <c r="F88" s="2">
        <f t="shared" si="47"/>
        <v>0</v>
      </c>
      <c r="G88" s="2">
        <f t="shared" si="47"/>
        <v>0</v>
      </c>
      <c r="H88" s="2">
        <f t="shared" si="47"/>
        <v>0</v>
      </c>
      <c r="I88" s="2">
        <f t="shared" si="47"/>
        <v>0</v>
      </c>
      <c r="J88" s="2">
        <f t="shared" si="47"/>
        <v>0</v>
      </c>
      <c r="K88" s="2">
        <f t="shared" si="47"/>
        <v>0</v>
      </c>
      <c r="L88" s="2">
        <f t="shared" si="47"/>
        <v>0</v>
      </c>
      <c r="M88" s="2">
        <f t="shared" si="47"/>
        <v>0</v>
      </c>
      <c r="N88" s="2">
        <f t="shared" si="47"/>
        <v>0</v>
      </c>
      <c r="O88" s="2">
        <f t="shared" si="47"/>
        <v>0</v>
      </c>
      <c r="P88" s="2">
        <f t="shared" si="47"/>
        <v>0</v>
      </c>
      <c r="Q88" s="2">
        <f t="shared" si="47"/>
        <v>0</v>
      </c>
      <c r="R88" s="2">
        <f t="shared" si="47"/>
        <v>0</v>
      </c>
      <c r="S88" s="2">
        <f t="shared" si="47"/>
        <v>0</v>
      </c>
      <c r="T88" s="2">
        <f t="shared" si="47"/>
        <v>0</v>
      </c>
      <c r="U88" s="2">
        <f t="shared" si="47"/>
        <v>0</v>
      </c>
      <c r="AB88" s="2"/>
      <c r="AC88" s="2"/>
      <c r="AD88" s="2"/>
      <c r="AE88" s="2"/>
      <c r="AF88" s="2"/>
      <c r="AG88" s="2"/>
      <c r="AH88" s="2"/>
    </row>
    <row r="89" spans="1:34">
      <c r="A89" s="1" t="s">
        <v>87</v>
      </c>
      <c r="B89" s="2">
        <f t="shared" ref="B89:U89" si="48">B72*$D18</f>
        <v>0</v>
      </c>
      <c r="C89" s="2">
        <f t="shared" si="48"/>
        <v>0</v>
      </c>
      <c r="D89" s="2">
        <f t="shared" si="48"/>
        <v>0</v>
      </c>
      <c r="E89" s="2">
        <f t="shared" si="48"/>
        <v>0</v>
      </c>
      <c r="F89" s="2">
        <f t="shared" si="48"/>
        <v>0</v>
      </c>
      <c r="G89" s="2">
        <f t="shared" si="48"/>
        <v>0</v>
      </c>
      <c r="H89" s="2">
        <f t="shared" si="48"/>
        <v>0</v>
      </c>
      <c r="I89" s="2">
        <f t="shared" si="48"/>
        <v>0</v>
      </c>
      <c r="J89" s="2">
        <f t="shared" si="48"/>
        <v>0</v>
      </c>
      <c r="K89" s="2">
        <f t="shared" si="48"/>
        <v>0</v>
      </c>
      <c r="L89" s="2">
        <f t="shared" si="48"/>
        <v>0</v>
      </c>
      <c r="M89" s="2">
        <f t="shared" si="48"/>
        <v>0</v>
      </c>
      <c r="N89" s="2">
        <f t="shared" si="48"/>
        <v>0</v>
      </c>
      <c r="O89" s="2">
        <f t="shared" si="48"/>
        <v>0</v>
      </c>
      <c r="P89" s="2">
        <f t="shared" si="48"/>
        <v>0</v>
      </c>
      <c r="Q89" s="2">
        <f t="shared" si="48"/>
        <v>0</v>
      </c>
      <c r="R89" s="2">
        <f t="shared" si="48"/>
        <v>0</v>
      </c>
      <c r="S89" s="2">
        <f t="shared" si="48"/>
        <v>0</v>
      </c>
      <c r="T89" s="2">
        <f t="shared" si="48"/>
        <v>0</v>
      </c>
      <c r="U89" s="2">
        <f t="shared" si="48"/>
        <v>0</v>
      </c>
      <c r="AB89" s="2"/>
      <c r="AC89" s="2"/>
      <c r="AD89" s="2"/>
      <c r="AE89" s="2"/>
      <c r="AF89" s="2"/>
      <c r="AG89" s="2"/>
      <c r="AH89" s="2"/>
    </row>
    <row r="90" spans="1:34">
      <c r="A90" s="1" t="s">
        <v>115</v>
      </c>
      <c r="B90" s="2">
        <f t="shared" ref="B90:U90" si="49">SUM(B76:B86)</f>
        <v>44.986960838003611</v>
      </c>
      <c r="C90" s="2">
        <f t="shared" si="49"/>
        <v>44.680032428680832</v>
      </c>
      <c r="D90" s="2">
        <f t="shared" si="49"/>
        <v>44.661385038357423</v>
      </c>
      <c r="E90" s="2">
        <f t="shared" si="49"/>
        <v>44.63506155575012</v>
      </c>
      <c r="F90" s="2">
        <f t="shared" si="49"/>
        <v>44.744345090660929</v>
      </c>
      <c r="G90" s="2">
        <f t="shared" si="49"/>
        <v>44.545779267861619</v>
      </c>
      <c r="H90" s="2">
        <f t="shared" si="49"/>
        <v>44.731138599784337</v>
      </c>
      <c r="I90" s="2">
        <f t="shared" si="49"/>
        <v>44.713955305470947</v>
      </c>
      <c r="J90" s="2">
        <f t="shared" si="49"/>
        <v>44.803508880935745</v>
      </c>
      <c r="K90" s="2">
        <f t="shared" si="49"/>
        <v>44.890043585948952</v>
      </c>
      <c r="L90" s="2">
        <f t="shared" si="49"/>
        <v>44.675694235193973</v>
      </c>
      <c r="M90" s="2">
        <f t="shared" si="49"/>
        <v>44.691129217595709</v>
      </c>
      <c r="N90" s="2">
        <f t="shared" si="49"/>
        <v>44.895465623171219</v>
      </c>
      <c r="O90" s="2">
        <f t="shared" si="49"/>
        <v>44.576821781617461</v>
      </c>
      <c r="P90" s="2">
        <f t="shared" si="49"/>
        <v>44.777152794572125</v>
      </c>
      <c r="Q90" s="2">
        <f t="shared" si="49"/>
        <v>45.288121860700841</v>
      </c>
      <c r="R90" s="2">
        <f t="shared" si="49"/>
        <v>44.506459536931033</v>
      </c>
      <c r="S90" s="2">
        <f t="shared" si="49"/>
        <v>44.557608738745287</v>
      </c>
      <c r="T90" s="2">
        <f t="shared" si="49"/>
        <v>44.406718441649367</v>
      </c>
      <c r="U90" s="2">
        <f t="shared" si="49"/>
        <v>44.711959771932897</v>
      </c>
      <c r="AB90" s="2"/>
      <c r="AC90" s="2"/>
      <c r="AD90" s="2"/>
      <c r="AE90" s="2"/>
      <c r="AF90" s="2"/>
      <c r="AG90" s="2"/>
      <c r="AH90" s="2"/>
    </row>
    <row r="91" spans="1:34">
      <c r="AB91" s="2"/>
      <c r="AC91" s="2"/>
      <c r="AD91" s="2"/>
      <c r="AE91" s="2"/>
      <c r="AF91" s="2"/>
      <c r="AG91" s="2"/>
      <c r="AH91" s="2"/>
    </row>
    <row r="92" spans="1:34">
      <c r="A92" s="1" t="s">
        <v>128</v>
      </c>
      <c r="B92" s="2">
        <f>46-B90</f>
        <v>1.0130391619963888</v>
      </c>
      <c r="C92" s="2">
        <f t="shared" ref="C92:U92" si="50">46-C90</f>
        <v>1.3199675713191681</v>
      </c>
      <c r="D92" s="2">
        <f t="shared" si="50"/>
        <v>1.3386149616425769</v>
      </c>
      <c r="E92" s="2">
        <f t="shared" si="50"/>
        <v>1.36493844424988</v>
      </c>
      <c r="F92" s="2">
        <f t="shared" si="50"/>
        <v>1.2556549093390714</v>
      </c>
      <c r="G92" s="2">
        <f t="shared" si="50"/>
        <v>1.4542207321383813</v>
      </c>
      <c r="H92" s="2">
        <f t="shared" si="50"/>
        <v>1.2688614002156626</v>
      </c>
      <c r="I92" s="2">
        <f t="shared" si="50"/>
        <v>1.2860446945290533</v>
      </c>
      <c r="J92" s="2">
        <f t="shared" si="50"/>
        <v>1.1964911190642553</v>
      </c>
      <c r="K92" s="2">
        <f t="shared" si="50"/>
        <v>1.1099564140510481</v>
      </c>
      <c r="L92" s="2">
        <f t="shared" si="50"/>
        <v>1.3243057648060272</v>
      </c>
      <c r="M92" s="2">
        <f t="shared" si="50"/>
        <v>1.3088707824042913</v>
      </c>
      <c r="N92" s="2">
        <f t="shared" si="50"/>
        <v>1.1045343768287808</v>
      </c>
      <c r="O92" s="2">
        <f t="shared" si="50"/>
        <v>1.4231782183825388</v>
      </c>
      <c r="P92" s="2">
        <f t="shared" si="50"/>
        <v>1.2228472054278754</v>
      </c>
      <c r="Q92" s="2">
        <f t="shared" si="50"/>
        <v>0.71187813929915933</v>
      </c>
      <c r="R92" s="2">
        <f t="shared" si="50"/>
        <v>1.4935404630689675</v>
      </c>
      <c r="S92" s="2">
        <f t="shared" si="50"/>
        <v>1.4423912612547127</v>
      </c>
      <c r="T92" s="2">
        <f t="shared" si="50"/>
        <v>1.5932815583506326</v>
      </c>
      <c r="U92" s="2">
        <f t="shared" si="50"/>
        <v>1.2880402280671035</v>
      </c>
      <c r="AB92" s="2"/>
      <c r="AC92" s="2"/>
      <c r="AD92" s="2"/>
      <c r="AE92" s="2"/>
      <c r="AF92" s="2"/>
      <c r="AG92" s="2"/>
      <c r="AH92" s="2"/>
    </row>
    <row r="93" spans="1:34">
      <c r="AB93" s="2"/>
      <c r="AC93" s="2"/>
      <c r="AD93" s="2"/>
      <c r="AE93" s="2"/>
      <c r="AF93" s="2"/>
      <c r="AG93" s="2"/>
      <c r="AH93" s="2"/>
    </row>
    <row r="94" spans="1:34" s="23" customFormat="1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s="5" customFormat="1">
      <c r="A95" s="4" t="s">
        <v>129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4" s="5" customFormat="1">
      <c r="A96" s="4" t="s">
        <v>116</v>
      </c>
      <c r="B96" s="8">
        <f>B59</f>
        <v>6.7876130505066703</v>
      </c>
      <c r="C96" s="8">
        <f t="shared" ref="C96:U96" si="51">C59</f>
        <v>6.5096249702953939</v>
      </c>
      <c r="D96" s="8">
        <f t="shared" si="51"/>
        <v>6.4563015242994402</v>
      </c>
      <c r="E96" s="8">
        <f t="shared" si="51"/>
        <v>6.4350158485976685</v>
      </c>
      <c r="F96" s="8">
        <f t="shared" si="51"/>
        <v>6.4895516940569884</v>
      </c>
      <c r="G96" s="8">
        <f t="shared" si="51"/>
        <v>6.3781948400493427</v>
      </c>
      <c r="H96" s="8">
        <f t="shared" si="51"/>
        <v>6.4873910233623135</v>
      </c>
      <c r="I96" s="8">
        <f t="shared" si="51"/>
        <v>6.496919393683414</v>
      </c>
      <c r="J96" s="8">
        <f t="shared" si="51"/>
        <v>6.6061556577338028</v>
      </c>
      <c r="K96" s="8">
        <f t="shared" si="51"/>
        <v>6.7265461183439985</v>
      </c>
      <c r="L96" s="8">
        <f t="shared" si="51"/>
        <v>6.513076648978358</v>
      </c>
      <c r="M96" s="8">
        <f t="shared" si="51"/>
        <v>6.4585114737754115</v>
      </c>
      <c r="N96" s="8">
        <f t="shared" si="51"/>
        <v>6.5947491623413992</v>
      </c>
      <c r="O96" s="8">
        <f t="shared" si="51"/>
        <v>6.3543240836072128</v>
      </c>
      <c r="P96" s="8">
        <f t="shared" si="51"/>
        <v>6.5417031767267337</v>
      </c>
      <c r="Q96" s="8">
        <f t="shared" si="51"/>
        <v>7.3077189675333152</v>
      </c>
      <c r="R96" s="8">
        <f t="shared" si="51"/>
        <v>6.2425083639067429</v>
      </c>
      <c r="S96" s="8">
        <f t="shared" si="51"/>
        <v>6.2430048035534309</v>
      </c>
      <c r="T96" s="8">
        <f t="shared" si="51"/>
        <v>6.1947427011180771</v>
      </c>
      <c r="U96" s="8">
        <f t="shared" si="51"/>
        <v>6.5046902415397341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s="5" customFormat="1">
      <c r="A97" s="4" t="s">
        <v>117</v>
      </c>
      <c r="B97" s="8">
        <f>B60</f>
        <v>4.8357148770360535E-2</v>
      </c>
      <c r="C97" s="8">
        <f t="shared" ref="C97:U97" si="52">C60</f>
        <v>5.9534847439895025E-2</v>
      </c>
      <c r="D97" s="8">
        <f t="shared" si="52"/>
        <v>6.1520853790823699E-2</v>
      </c>
      <c r="E97" s="8">
        <f t="shared" si="52"/>
        <v>4.2859656603363126E-2</v>
      </c>
      <c r="F97" s="8">
        <f t="shared" si="52"/>
        <v>6.7306938117292103E-2</v>
      </c>
      <c r="G97" s="8">
        <f t="shared" si="52"/>
        <v>6.2891504012135738E-2</v>
      </c>
      <c r="H97" s="8">
        <f t="shared" si="52"/>
        <v>6.5099577210103787E-2</v>
      </c>
      <c r="I97" s="8">
        <f t="shared" si="52"/>
        <v>6.574076283729488E-2</v>
      </c>
      <c r="J97" s="8">
        <f t="shared" si="52"/>
        <v>5.2971529329822499E-2</v>
      </c>
      <c r="K97" s="8">
        <f t="shared" si="52"/>
        <v>5.0362113070067861E-2</v>
      </c>
      <c r="L97" s="8">
        <f t="shared" si="52"/>
        <v>6.439766425168536E-2</v>
      </c>
      <c r="M97" s="8">
        <f t="shared" si="52"/>
        <v>6.8400177923888431E-2</v>
      </c>
      <c r="N97" s="8">
        <f t="shared" si="52"/>
        <v>6.8330681750670086E-2</v>
      </c>
      <c r="O97" s="8">
        <f t="shared" si="52"/>
        <v>8.5187887151047206E-2</v>
      </c>
      <c r="P97" s="8">
        <f t="shared" si="52"/>
        <v>0.1507603105098114</v>
      </c>
      <c r="Q97" s="8">
        <f t="shared" si="52"/>
        <v>8.6043697814556612E-3</v>
      </c>
      <c r="R97" s="8">
        <f t="shared" si="52"/>
        <v>0.17830822117740772</v>
      </c>
      <c r="S97" s="8">
        <f t="shared" si="52"/>
        <v>0.17402750420714436</v>
      </c>
      <c r="T97" s="8">
        <f t="shared" si="52"/>
        <v>0.17381690295169089</v>
      </c>
      <c r="U97" s="8">
        <f t="shared" si="52"/>
        <v>5.9214067396229635E-2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s="5" customFormat="1">
      <c r="A98" s="4" t="s">
        <v>118</v>
      </c>
      <c r="B98" s="8">
        <f>B61</f>
        <v>5.777467192918326E-3</v>
      </c>
      <c r="C98" s="8">
        <f t="shared" ref="C98:U98" si="53">C61</f>
        <v>4.5522700875891406E-3</v>
      </c>
      <c r="D98" s="8">
        <f t="shared" si="53"/>
        <v>3.4043031537274583E-3</v>
      </c>
      <c r="E98" s="8">
        <f t="shared" si="53"/>
        <v>5.7771488642205842E-3</v>
      </c>
      <c r="F98" s="8">
        <f t="shared" si="53"/>
        <v>3.4241191904728439E-3</v>
      </c>
      <c r="G98" s="8">
        <f t="shared" si="53"/>
        <v>2.2800977021792727E-3</v>
      </c>
      <c r="H98" s="8">
        <f t="shared" si="53"/>
        <v>7.9851748776046654E-3</v>
      </c>
      <c r="I98" s="8">
        <f t="shared" si="53"/>
        <v>5.6654496287025713E-3</v>
      </c>
      <c r="J98" s="8">
        <f t="shared" si="53"/>
        <v>6.8195725811967525E-3</v>
      </c>
      <c r="K98" s="8">
        <f t="shared" si="53"/>
        <v>1.2034020343511288E-3</v>
      </c>
      <c r="L98" s="8">
        <f t="shared" si="53"/>
        <v>5.6421982708927789E-3</v>
      </c>
      <c r="M98" s="8">
        <f t="shared" si="53"/>
        <v>4.5660025254817523E-3</v>
      </c>
      <c r="N98" s="8">
        <f t="shared" si="53"/>
        <v>6.8420450409198211E-3</v>
      </c>
      <c r="O98" s="8">
        <f t="shared" si="53"/>
        <v>4.5349261701607135E-3</v>
      </c>
      <c r="P98" s="8">
        <f t="shared" si="53"/>
        <v>1.041282188320747E-2</v>
      </c>
      <c r="Q98" s="8">
        <f t="shared" si="53"/>
        <v>2.2616143396123559E-3</v>
      </c>
      <c r="R98" s="8">
        <f t="shared" si="53"/>
        <v>1.2651322372807456E-2</v>
      </c>
      <c r="S98" s="8">
        <f t="shared" si="53"/>
        <v>1.2658228374370422E-2</v>
      </c>
      <c r="T98" s="8">
        <f t="shared" si="53"/>
        <v>1.1493554439268281E-2</v>
      </c>
      <c r="U98" s="8">
        <f t="shared" si="53"/>
        <v>4.8548609487480748E-3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s="5" customFormat="1">
      <c r="A99" s="4" t="s">
        <v>119</v>
      </c>
      <c r="B99" s="8">
        <f>B62</f>
        <v>1.6470168702332599</v>
      </c>
      <c r="C99" s="8">
        <f t="shared" ref="C99:U99" si="54">C62</f>
        <v>1.902156798834171</v>
      </c>
      <c r="D99" s="8">
        <f t="shared" si="54"/>
        <v>1.99308093328744</v>
      </c>
      <c r="E99" s="8">
        <f t="shared" si="54"/>
        <v>2.0207576794494608</v>
      </c>
      <c r="F99" s="8">
        <f t="shared" si="54"/>
        <v>1.9536293835704248</v>
      </c>
      <c r="G99" s="8">
        <f t="shared" si="54"/>
        <v>2.0244539127642525</v>
      </c>
      <c r="H99" s="8">
        <f t="shared" si="54"/>
        <v>1.962749485588495</v>
      </c>
      <c r="I99" s="8">
        <f t="shared" si="54"/>
        <v>1.9326938930970778</v>
      </c>
      <c r="J99" s="8">
        <f t="shared" si="54"/>
        <v>1.8420784476195333</v>
      </c>
      <c r="K99" s="8">
        <f t="shared" si="54"/>
        <v>1.6632715043584629</v>
      </c>
      <c r="L99" s="8">
        <f t="shared" si="54"/>
        <v>1.9129846072552106</v>
      </c>
      <c r="M99" s="8">
        <f t="shared" si="54"/>
        <v>1.9980986418164863</v>
      </c>
      <c r="N99" s="8">
        <f t="shared" si="54"/>
        <v>1.9722653248811495</v>
      </c>
      <c r="O99" s="8">
        <f t="shared" si="54"/>
        <v>2.0673278648050322</v>
      </c>
      <c r="P99" s="8">
        <f t="shared" si="54"/>
        <v>1.6370608187208306</v>
      </c>
      <c r="Q99" s="8">
        <f t="shared" si="54"/>
        <v>0.81097282471043208</v>
      </c>
      <c r="R99" s="8">
        <f t="shared" si="54"/>
        <v>1.9394496693371521</v>
      </c>
      <c r="S99" s="8">
        <f t="shared" si="54"/>
        <v>1.9645287999159331</v>
      </c>
      <c r="T99" s="8">
        <f t="shared" si="54"/>
        <v>1.9347326946857966</v>
      </c>
      <c r="U99" s="8">
        <f t="shared" si="54"/>
        <v>1.9299157862086103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s="5" customFormat="1">
      <c r="A100" s="4" t="s">
        <v>131</v>
      </c>
      <c r="B100" s="8">
        <f>IF(B92&lt;0, 0, IF(B92&gt;B63, B63, B92))</f>
        <v>1.0130391619963888</v>
      </c>
      <c r="C100" s="8">
        <f t="shared" ref="C100:U100" si="55">IF(C92&lt;0, 0, IF(C92&gt;C63, C63, C92))</f>
        <v>1.3199675713191681</v>
      </c>
      <c r="D100" s="8">
        <f t="shared" si="55"/>
        <v>1.3386149616425769</v>
      </c>
      <c r="E100" s="8">
        <f t="shared" si="55"/>
        <v>1.36493844424988</v>
      </c>
      <c r="F100" s="8">
        <f t="shared" si="55"/>
        <v>1.2556549093390714</v>
      </c>
      <c r="G100" s="8">
        <f t="shared" si="55"/>
        <v>1.4542207321383813</v>
      </c>
      <c r="H100" s="8">
        <f t="shared" si="55"/>
        <v>1.2688614002156626</v>
      </c>
      <c r="I100" s="8">
        <f t="shared" si="55"/>
        <v>1.2860446945290533</v>
      </c>
      <c r="J100" s="8">
        <f t="shared" si="55"/>
        <v>1.1964911190642553</v>
      </c>
      <c r="K100" s="8">
        <f t="shared" si="55"/>
        <v>1.1099564140510481</v>
      </c>
      <c r="L100" s="8">
        <f t="shared" si="55"/>
        <v>1.3243057648060272</v>
      </c>
      <c r="M100" s="8">
        <f t="shared" si="55"/>
        <v>1.3088707824042913</v>
      </c>
      <c r="N100" s="8">
        <f t="shared" si="55"/>
        <v>1.1045343768287808</v>
      </c>
      <c r="O100" s="8">
        <f t="shared" si="55"/>
        <v>1.4231782183825388</v>
      </c>
      <c r="P100" s="8">
        <f t="shared" si="55"/>
        <v>1.2228472054278754</v>
      </c>
      <c r="Q100" s="8">
        <f t="shared" si="55"/>
        <v>0.71187813929915933</v>
      </c>
      <c r="R100" s="8">
        <f t="shared" si="55"/>
        <v>1.4935404630689675</v>
      </c>
      <c r="S100" s="8">
        <f t="shared" si="55"/>
        <v>1.4423912612547127</v>
      </c>
      <c r="T100" s="8">
        <f t="shared" si="55"/>
        <v>1.5932815583506326</v>
      </c>
      <c r="U100" s="8">
        <f t="shared" si="55"/>
        <v>1.2880402280671035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s="5" customFormat="1">
      <c r="A101" s="4" t="s">
        <v>130</v>
      </c>
      <c r="B101" s="8">
        <f t="shared" ref="B101:U101" si="56">B63-B100</f>
        <v>0.67109712741462846</v>
      </c>
      <c r="C101" s="8">
        <f t="shared" si="56"/>
        <v>0.29784360429710088</v>
      </c>
      <c r="D101" s="8">
        <f t="shared" si="56"/>
        <v>0.40173066971316684</v>
      </c>
      <c r="E101" s="8">
        <f t="shared" si="56"/>
        <v>0.4205387314799458</v>
      </c>
      <c r="F101" s="8">
        <f t="shared" si="56"/>
        <v>0.42238757483373024</v>
      </c>
      <c r="G101" s="8">
        <f t="shared" si="56"/>
        <v>0.31231171450201711</v>
      </c>
      <c r="H101" s="8">
        <f t="shared" si="56"/>
        <v>0.35757399373694043</v>
      </c>
      <c r="I101" s="8">
        <f t="shared" si="56"/>
        <v>0.40498769020633674</v>
      </c>
      <c r="J101" s="8">
        <f t="shared" si="56"/>
        <v>0.46250559090830334</v>
      </c>
      <c r="K101" s="8">
        <f t="shared" si="56"/>
        <v>0.74710628135016632</v>
      </c>
      <c r="L101" s="8">
        <f t="shared" si="56"/>
        <v>0.31323825484826573</v>
      </c>
      <c r="M101" s="8">
        <f t="shared" si="56"/>
        <v>0.36815189185952035</v>
      </c>
      <c r="N101" s="8">
        <f t="shared" si="56"/>
        <v>0.57078440335464697</v>
      </c>
      <c r="O101" s="8">
        <f t="shared" si="56"/>
        <v>0.30958256224653735</v>
      </c>
      <c r="P101" s="8">
        <f t="shared" si="56"/>
        <v>0.42062542372884004</v>
      </c>
      <c r="Q101" s="8">
        <f t="shared" si="56"/>
        <v>0.49015142101051157</v>
      </c>
      <c r="R101" s="8">
        <f t="shared" si="56"/>
        <v>0.2496705472314027</v>
      </c>
      <c r="S101" s="8">
        <f t="shared" si="56"/>
        <v>0.29446847495649253</v>
      </c>
      <c r="T101" s="8">
        <f t="shared" si="56"/>
        <v>0.1913186754779912</v>
      </c>
      <c r="U101" s="8">
        <f t="shared" si="56"/>
        <v>0.41057536439524633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s="5" customFormat="1">
      <c r="A102" s="4" t="s">
        <v>121</v>
      </c>
      <c r="B102" s="8">
        <f t="shared" ref="B102:B107" si="57">B64</f>
        <v>8.4176503830903374E-2</v>
      </c>
      <c r="C102" s="8">
        <f t="shared" ref="C102:U102" si="58">C64</f>
        <v>0.10241458351074627</v>
      </c>
      <c r="D102" s="8">
        <f t="shared" si="58"/>
        <v>0.1227842985971907</v>
      </c>
      <c r="E102" s="8">
        <f t="shared" si="58"/>
        <v>0.13739819278050885</v>
      </c>
      <c r="F102" s="8">
        <f t="shared" si="58"/>
        <v>0.10393481135773573</v>
      </c>
      <c r="G102" s="8">
        <f t="shared" si="58"/>
        <v>0.10259288312841221</v>
      </c>
      <c r="H102" s="8">
        <f t="shared" si="58"/>
        <v>9.8988763209155242E-2</v>
      </c>
      <c r="I102" s="8">
        <f t="shared" si="58"/>
        <v>0.10318053881786314</v>
      </c>
      <c r="J102" s="8">
        <f t="shared" si="58"/>
        <v>0.10837033096550482</v>
      </c>
      <c r="K102" s="8">
        <f t="shared" si="58"/>
        <v>0.11474010301476199</v>
      </c>
      <c r="L102" s="8">
        <f t="shared" si="58"/>
        <v>0.10880161355237029</v>
      </c>
      <c r="M102" s="8">
        <f t="shared" si="58"/>
        <v>9.4163234634339954E-2</v>
      </c>
      <c r="N102" s="8">
        <f t="shared" si="58"/>
        <v>8.4294309339008694E-2</v>
      </c>
      <c r="O102" s="8">
        <f t="shared" si="58"/>
        <v>8.5020324298420449E-2</v>
      </c>
      <c r="P102" s="8">
        <f t="shared" si="58"/>
        <v>2.7268616144761174E-2</v>
      </c>
      <c r="Q102" s="8">
        <f t="shared" si="58"/>
        <v>2.7863192599385845E-2</v>
      </c>
      <c r="R102" s="8">
        <f t="shared" si="58"/>
        <v>2.2178400906961149E-2</v>
      </c>
      <c r="S102" s="8">
        <f t="shared" si="58"/>
        <v>2.4656119414579906E-2</v>
      </c>
      <c r="T102" s="8">
        <f t="shared" si="58"/>
        <v>2.5857595623882238E-2</v>
      </c>
      <c r="U102" s="8">
        <f t="shared" si="58"/>
        <v>0.1069275316877686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s="5" customFormat="1">
      <c r="A103" s="4" t="s">
        <v>122</v>
      </c>
      <c r="B103" s="8">
        <f t="shared" si="57"/>
        <v>3.5261500987509358E-3</v>
      </c>
      <c r="C103" s="8">
        <f t="shared" ref="C103:U103" si="59">C65</f>
        <v>0</v>
      </c>
      <c r="D103" s="8">
        <f t="shared" si="59"/>
        <v>0</v>
      </c>
      <c r="E103" s="8">
        <f t="shared" si="59"/>
        <v>3.5259558138278899E-3</v>
      </c>
      <c r="F103" s="8">
        <f t="shared" si="59"/>
        <v>0</v>
      </c>
      <c r="G103" s="8">
        <f t="shared" si="59"/>
        <v>0</v>
      </c>
      <c r="H103" s="8">
        <f t="shared" si="59"/>
        <v>0</v>
      </c>
      <c r="I103" s="8">
        <f t="shared" si="59"/>
        <v>0</v>
      </c>
      <c r="J103" s="8">
        <f t="shared" si="59"/>
        <v>0</v>
      </c>
      <c r="K103" s="8">
        <f t="shared" si="59"/>
        <v>0</v>
      </c>
      <c r="L103" s="8">
        <f t="shared" si="59"/>
        <v>0</v>
      </c>
      <c r="M103" s="8">
        <f t="shared" si="59"/>
        <v>0</v>
      </c>
      <c r="N103" s="8">
        <f t="shared" si="59"/>
        <v>0</v>
      </c>
      <c r="O103" s="8">
        <f t="shared" si="59"/>
        <v>0</v>
      </c>
      <c r="P103" s="8">
        <f t="shared" si="59"/>
        <v>0</v>
      </c>
      <c r="Q103" s="8">
        <f t="shared" si="59"/>
        <v>0</v>
      </c>
      <c r="R103" s="8">
        <f t="shared" si="59"/>
        <v>0</v>
      </c>
      <c r="S103" s="8">
        <f t="shared" si="59"/>
        <v>0</v>
      </c>
      <c r="T103" s="8">
        <f t="shared" si="59"/>
        <v>0</v>
      </c>
      <c r="U103" s="8">
        <f t="shared" si="59"/>
        <v>8.7148754667573007E-4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s="5" customFormat="1">
      <c r="A104" s="4" t="s">
        <v>123</v>
      </c>
      <c r="B104" s="8">
        <f t="shared" si="57"/>
        <v>2.7143136649448314</v>
      </c>
      <c r="C104" s="8">
        <f t="shared" ref="C104:U104" si="60">C66</f>
        <v>2.7892400277765028</v>
      </c>
      <c r="D104" s="8">
        <f t="shared" si="60"/>
        <v>2.5800539497715067</v>
      </c>
      <c r="E104" s="8">
        <f t="shared" si="60"/>
        <v>2.6096056218188779</v>
      </c>
      <c r="F104" s="8">
        <f t="shared" si="60"/>
        <v>2.6338045515079451</v>
      </c>
      <c r="G104" s="8">
        <f t="shared" si="60"/>
        <v>2.5619710841491448</v>
      </c>
      <c r="H104" s="8">
        <f t="shared" si="60"/>
        <v>2.6646011144666981</v>
      </c>
      <c r="I104" s="8">
        <f t="shared" si="60"/>
        <v>2.6531419176664572</v>
      </c>
      <c r="J104" s="8">
        <f t="shared" si="60"/>
        <v>2.751347439179733</v>
      </c>
      <c r="K104" s="8">
        <f t="shared" si="60"/>
        <v>2.5183044169455178</v>
      </c>
      <c r="L104" s="8">
        <f t="shared" si="60"/>
        <v>2.7316048175982814</v>
      </c>
      <c r="M104" s="8">
        <f t="shared" si="60"/>
        <v>2.621186674397451</v>
      </c>
      <c r="N104" s="8">
        <f t="shared" si="60"/>
        <v>2.5368289946630589</v>
      </c>
      <c r="O104" s="8">
        <f t="shared" si="60"/>
        <v>2.5841102436160024</v>
      </c>
      <c r="P104" s="8">
        <f t="shared" si="60"/>
        <v>2.6959939173650809</v>
      </c>
      <c r="Q104" s="8">
        <f t="shared" si="60"/>
        <v>3.4984175385399472</v>
      </c>
      <c r="R104" s="8">
        <f t="shared" si="60"/>
        <v>2.5282283366546237</v>
      </c>
      <c r="S104" s="8">
        <f t="shared" si="60"/>
        <v>2.5252694745095901</v>
      </c>
      <c r="T104" s="8">
        <f t="shared" si="60"/>
        <v>2.5438819932966488</v>
      </c>
      <c r="U104" s="8">
        <f t="shared" si="60"/>
        <v>2.6507961031301441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s="5" customFormat="1">
      <c r="A105" s="4" t="s">
        <v>124</v>
      </c>
      <c r="B105" s="8">
        <f t="shared" si="57"/>
        <v>1.6425638940728526</v>
      </c>
      <c r="C105" s="8">
        <f t="shared" ref="C105:U105" si="61">C67</f>
        <v>1.6239613957013797</v>
      </c>
      <c r="D105" s="8">
        <f t="shared" si="61"/>
        <v>1.6223282559597159</v>
      </c>
      <c r="E105" s="8">
        <f t="shared" si="61"/>
        <v>1.5657515648929707</v>
      </c>
      <c r="F105" s="8">
        <f t="shared" si="61"/>
        <v>1.6812661274522491</v>
      </c>
      <c r="G105" s="8">
        <f t="shared" si="61"/>
        <v>1.6901298946711572</v>
      </c>
      <c r="H105" s="8">
        <f t="shared" si="61"/>
        <v>1.703520195385817</v>
      </c>
      <c r="I105" s="8">
        <f t="shared" si="61"/>
        <v>1.6598520245394606</v>
      </c>
      <c r="J105" s="8">
        <f t="shared" si="61"/>
        <v>1.5802746253466591</v>
      </c>
      <c r="K105" s="8">
        <f t="shared" si="61"/>
        <v>1.6878365660658747</v>
      </c>
      <c r="L105" s="8">
        <f t="shared" si="61"/>
        <v>1.6025770612362475</v>
      </c>
      <c r="M105" s="8">
        <f t="shared" si="61"/>
        <v>1.6721727825397674</v>
      </c>
      <c r="N105" s="8">
        <f t="shared" si="61"/>
        <v>1.6055710406001078</v>
      </c>
      <c r="O105" s="8">
        <f t="shared" si="61"/>
        <v>1.6669373135473302</v>
      </c>
      <c r="P105" s="8">
        <f t="shared" si="61"/>
        <v>1.9018052034902253</v>
      </c>
      <c r="Q105" s="8">
        <f t="shared" si="61"/>
        <v>1.9369344685280414</v>
      </c>
      <c r="R105" s="8">
        <f t="shared" si="61"/>
        <v>1.8624749604125437</v>
      </c>
      <c r="S105" s="8">
        <f t="shared" si="61"/>
        <v>1.87596689098003</v>
      </c>
      <c r="T105" s="8">
        <f t="shared" si="61"/>
        <v>1.8799267498395154</v>
      </c>
      <c r="U105" s="8">
        <f t="shared" si="61"/>
        <v>1.6487991089005176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s="5" customFormat="1">
      <c r="A106" s="4" t="s">
        <v>125</v>
      </c>
      <c r="B106" s="8">
        <f t="shared" si="57"/>
        <v>0.38251896093843518</v>
      </c>
      <c r="C106" s="8">
        <f t="shared" ref="C106:U106" si="62">C68</f>
        <v>0.39070393073805332</v>
      </c>
      <c r="D106" s="8">
        <f t="shared" si="62"/>
        <v>0.42018024978440771</v>
      </c>
      <c r="E106" s="8">
        <f t="shared" si="62"/>
        <v>0.39383115544927538</v>
      </c>
      <c r="F106" s="8">
        <f t="shared" si="62"/>
        <v>0.38903989057408855</v>
      </c>
      <c r="G106" s="8">
        <f t="shared" si="62"/>
        <v>0.41095333688297603</v>
      </c>
      <c r="H106" s="8">
        <f t="shared" si="62"/>
        <v>0.38322927194721002</v>
      </c>
      <c r="I106" s="8">
        <f t="shared" si="62"/>
        <v>0.39177363499433754</v>
      </c>
      <c r="J106" s="8">
        <f t="shared" si="62"/>
        <v>0.39298568727118754</v>
      </c>
      <c r="K106" s="8">
        <f t="shared" si="62"/>
        <v>0.38067308076574757</v>
      </c>
      <c r="L106" s="8">
        <f t="shared" si="62"/>
        <v>0.42337136920266</v>
      </c>
      <c r="M106" s="8">
        <f t="shared" si="62"/>
        <v>0.40587833812336171</v>
      </c>
      <c r="N106" s="8">
        <f t="shared" si="62"/>
        <v>0.45579966120025744</v>
      </c>
      <c r="O106" s="8">
        <f t="shared" si="62"/>
        <v>0.41979657617571681</v>
      </c>
      <c r="P106" s="8">
        <f t="shared" si="62"/>
        <v>0.39152250600263333</v>
      </c>
      <c r="Q106" s="8">
        <f t="shared" si="62"/>
        <v>0.2051974636581376</v>
      </c>
      <c r="R106" s="8">
        <f t="shared" si="62"/>
        <v>0.47098971493138903</v>
      </c>
      <c r="S106" s="8">
        <f t="shared" si="62"/>
        <v>0.4430284428337139</v>
      </c>
      <c r="T106" s="8">
        <f t="shared" si="62"/>
        <v>0.45094757421649834</v>
      </c>
      <c r="U106" s="8">
        <f t="shared" si="62"/>
        <v>0.39531522017922532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s="5" customFormat="1">
      <c r="A107" s="4" t="s">
        <v>126</v>
      </c>
      <c r="B107" s="8">
        <f t="shared" si="57"/>
        <v>4.474506296180436E-2</v>
      </c>
      <c r="C107" s="8">
        <f t="shared" ref="C107:U107" si="63">C69</f>
        <v>2.5707655026545675E-2</v>
      </c>
      <c r="D107" s="8">
        <f t="shared" si="63"/>
        <v>4.943529552014899E-2</v>
      </c>
      <c r="E107" s="8">
        <f t="shared" si="63"/>
        <v>4.6606872483650634E-2</v>
      </c>
      <c r="F107" s="8">
        <f t="shared" si="63"/>
        <v>6.2614214125551584E-2</v>
      </c>
      <c r="G107" s="8">
        <f t="shared" si="63"/>
        <v>4.7825906155212969E-2</v>
      </c>
      <c r="H107" s="8">
        <f t="shared" si="63"/>
        <v>3.8652010120606213E-2</v>
      </c>
      <c r="I107" s="8">
        <f t="shared" si="63"/>
        <v>4.2049284698095019E-2</v>
      </c>
      <c r="J107" s="8">
        <f t="shared" si="63"/>
        <v>2.9342173878957097E-2</v>
      </c>
      <c r="K107" s="8">
        <f t="shared" si="63"/>
        <v>5.2425297493754783E-2</v>
      </c>
      <c r="L107" s="8">
        <f t="shared" si="63"/>
        <v>2.5490172410451262E-2</v>
      </c>
      <c r="M107" s="8">
        <f t="shared" si="63"/>
        <v>4.0519607978502716E-2</v>
      </c>
      <c r="N107" s="8">
        <f t="shared" si="63"/>
        <v>4.5998226265279385E-2</v>
      </c>
      <c r="O107" s="8">
        <f t="shared" si="63"/>
        <v>4.5731625301463838E-2</v>
      </c>
      <c r="P107" s="8">
        <f t="shared" si="63"/>
        <v>0.13627468549763308</v>
      </c>
      <c r="Q107" s="8">
        <f t="shared" si="63"/>
        <v>4.7438210679394875E-2</v>
      </c>
      <c r="R107" s="8">
        <f t="shared" si="63"/>
        <v>0.18371508998416278</v>
      </c>
      <c r="S107" s="8">
        <f t="shared" si="63"/>
        <v>0.1893855377675473</v>
      </c>
      <c r="T107" s="8">
        <f t="shared" si="63"/>
        <v>0.17432055860125914</v>
      </c>
      <c r="U107" s="8">
        <f t="shared" si="63"/>
        <v>4.4695727082821886E-2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 s="5" customFormat="1">
      <c r="A108" s="4" t="s">
        <v>89</v>
      </c>
      <c r="B108" s="8">
        <f t="shared" ref="B108:U108" si="64">2-B109-B110</f>
        <v>2</v>
      </c>
      <c r="C108" s="8">
        <f t="shared" si="64"/>
        <v>2</v>
      </c>
      <c r="D108" s="8">
        <f t="shared" si="64"/>
        <v>2</v>
      </c>
      <c r="E108" s="8">
        <f t="shared" si="64"/>
        <v>2</v>
      </c>
      <c r="F108" s="8">
        <f t="shared" si="64"/>
        <v>2</v>
      </c>
      <c r="G108" s="8">
        <f t="shared" si="64"/>
        <v>2</v>
      </c>
      <c r="H108" s="8">
        <f t="shared" si="64"/>
        <v>2</v>
      </c>
      <c r="I108" s="8">
        <f t="shared" si="64"/>
        <v>2</v>
      </c>
      <c r="J108" s="8">
        <f t="shared" si="64"/>
        <v>2</v>
      </c>
      <c r="K108" s="8">
        <f t="shared" si="64"/>
        <v>2</v>
      </c>
      <c r="L108" s="8">
        <f t="shared" si="64"/>
        <v>2</v>
      </c>
      <c r="M108" s="8">
        <f t="shared" si="64"/>
        <v>2</v>
      </c>
      <c r="N108" s="8">
        <f t="shared" si="64"/>
        <v>2</v>
      </c>
      <c r="O108" s="8">
        <f t="shared" si="64"/>
        <v>2</v>
      </c>
      <c r="P108" s="8">
        <f t="shared" si="64"/>
        <v>2</v>
      </c>
      <c r="Q108" s="8">
        <f t="shared" si="64"/>
        <v>2</v>
      </c>
      <c r="R108" s="8">
        <f t="shared" si="64"/>
        <v>2</v>
      </c>
      <c r="S108" s="8">
        <f t="shared" si="64"/>
        <v>2</v>
      </c>
      <c r="T108" s="8">
        <f t="shared" si="64"/>
        <v>2</v>
      </c>
      <c r="U108" s="8">
        <f t="shared" si="64"/>
        <v>2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4" s="5" customFormat="1">
      <c r="A109" s="4" t="s">
        <v>86</v>
      </c>
      <c r="B109" s="8">
        <f>B71</f>
        <v>0</v>
      </c>
      <c r="C109" s="8">
        <f t="shared" ref="C109:U109" si="65">C71</f>
        <v>0</v>
      </c>
      <c r="D109" s="8">
        <f t="shared" si="65"/>
        <v>0</v>
      </c>
      <c r="E109" s="8">
        <f t="shared" si="65"/>
        <v>0</v>
      </c>
      <c r="F109" s="8">
        <f t="shared" si="65"/>
        <v>0</v>
      </c>
      <c r="G109" s="8">
        <f t="shared" si="65"/>
        <v>0</v>
      </c>
      <c r="H109" s="8">
        <f t="shared" si="65"/>
        <v>0</v>
      </c>
      <c r="I109" s="8">
        <f t="shared" si="65"/>
        <v>0</v>
      </c>
      <c r="J109" s="8">
        <f t="shared" si="65"/>
        <v>0</v>
      </c>
      <c r="K109" s="8">
        <f t="shared" si="65"/>
        <v>0</v>
      </c>
      <c r="L109" s="8">
        <f t="shared" si="65"/>
        <v>0</v>
      </c>
      <c r="M109" s="8">
        <f t="shared" si="65"/>
        <v>0</v>
      </c>
      <c r="N109" s="8">
        <f t="shared" si="65"/>
        <v>0</v>
      </c>
      <c r="O109" s="8">
        <f t="shared" si="65"/>
        <v>0</v>
      </c>
      <c r="P109" s="8">
        <f t="shared" si="65"/>
        <v>0</v>
      </c>
      <c r="Q109" s="8">
        <f t="shared" si="65"/>
        <v>0</v>
      </c>
      <c r="R109" s="8">
        <f t="shared" si="65"/>
        <v>0</v>
      </c>
      <c r="S109" s="8">
        <f t="shared" si="65"/>
        <v>0</v>
      </c>
      <c r="T109" s="8">
        <f t="shared" si="65"/>
        <v>0</v>
      </c>
      <c r="U109" s="8">
        <f t="shared" si="65"/>
        <v>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1:34" s="5" customFormat="1">
      <c r="A110" s="4" t="s">
        <v>87</v>
      </c>
      <c r="B110" s="8">
        <f>B72</f>
        <v>0</v>
      </c>
      <c r="C110" s="8">
        <f t="shared" ref="C110:U110" si="66">C72</f>
        <v>0</v>
      </c>
      <c r="D110" s="8">
        <f t="shared" si="66"/>
        <v>0</v>
      </c>
      <c r="E110" s="8">
        <f t="shared" si="66"/>
        <v>0</v>
      </c>
      <c r="F110" s="8">
        <f t="shared" si="66"/>
        <v>0</v>
      </c>
      <c r="G110" s="8">
        <f t="shared" si="66"/>
        <v>0</v>
      </c>
      <c r="H110" s="8">
        <f t="shared" si="66"/>
        <v>0</v>
      </c>
      <c r="I110" s="8">
        <f t="shared" si="66"/>
        <v>0</v>
      </c>
      <c r="J110" s="8">
        <f t="shared" si="66"/>
        <v>0</v>
      </c>
      <c r="K110" s="8">
        <f t="shared" si="66"/>
        <v>0</v>
      </c>
      <c r="L110" s="8">
        <f t="shared" si="66"/>
        <v>0</v>
      </c>
      <c r="M110" s="8">
        <f t="shared" si="66"/>
        <v>0</v>
      </c>
      <c r="N110" s="8">
        <f t="shared" si="66"/>
        <v>0</v>
      </c>
      <c r="O110" s="8">
        <f t="shared" si="66"/>
        <v>0</v>
      </c>
      <c r="P110" s="8">
        <f t="shared" si="66"/>
        <v>0</v>
      </c>
      <c r="Q110" s="8">
        <f t="shared" si="66"/>
        <v>0</v>
      </c>
      <c r="R110" s="8">
        <f t="shared" si="66"/>
        <v>0</v>
      </c>
      <c r="S110" s="8">
        <f t="shared" si="66"/>
        <v>0</v>
      </c>
      <c r="T110" s="8">
        <f t="shared" si="66"/>
        <v>0</v>
      </c>
      <c r="U110" s="8">
        <f t="shared" si="66"/>
        <v>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4" s="5" customFormat="1">
      <c r="A111" s="4" t="s">
        <v>115</v>
      </c>
      <c r="B111" s="8">
        <f>SUM(B96:B107)</f>
        <v>15.044745062961804</v>
      </c>
      <c r="C111" s="8">
        <f t="shared" ref="C111:U111" si="67">SUM(C96:C107)</f>
        <v>15.025707655026547</v>
      </c>
      <c r="D111" s="8">
        <f t="shared" si="67"/>
        <v>15.049435295520146</v>
      </c>
      <c r="E111" s="8">
        <f t="shared" si="67"/>
        <v>15.046606872483649</v>
      </c>
      <c r="F111" s="8">
        <f t="shared" si="67"/>
        <v>15.062614214125546</v>
      </c>
      <c r="G111" s="8">
        <f t="shared" si="67"/>
        <v>15.047825906155213</v>
      </c>
      <c r="H111" s="8">
        <f t="shared" si="67"/>
        <v>15.038652010120606</v>
      </c>
      <c r="I111" s="8">
        <f t="shared" si="67"/>
        <v>15.042049284698091</v>
      </c>
      <c r="J111" s="8">
        <f t="shared" si="67"/>
        <v>15.029342173878955</v>
      </c>
      <c r="K111" s="8">
        <f t="shared" si="67"/>
        <v>15.052425297493752</v>
      </c>
      <c r="L111" s="8">
        <f t="shared" si="67"/>
        <v>15.025490172410452</v>
      </c>
      <c r="M111" s="8">
        <f t="shared" si="67"/>
        <v>15.040519607978505</v>
      </c>
      <c r="N111" s="8">
        <f t="shared" si="67"/>
        <v>15.045998226265279</v>
      </c>
      <c r="O111" s="8">
        <f t="shared" si="67"/>
        <v>15.045731625301464</v>
      </c>
      <c r="P111" s="8">
        <f t="shared" si="67"/>
        <v>15.136274685497632</v>
      </c>
      <c r="Q111" s="8">
        <f t="shared" si="67"/>
        <v>15.047438210679392</v>
      </c>
      <c r="R111" s="8">
        <f t="shared" si="67"/>
        <v>15.183715089984162</v>
      </c>
      <c r="S111" s="8">
        <f t="shared" si="67"/>
        <v>15.189385537767544</v>
      </c>
      <c r="T111" s="8">
        <f t="shared" si="67"/>
        <v>15.174320558601261</v>
      </c>
      <c r="U111" s="8">
        <f t="shared" si="67"/>
        <v>15.044695727082823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 s="5" customFormat="1">
      <c r="A112" s="4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34" s="5" customFormat="1">
      <c r="A113" s="4" t="s">
        <v>132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34" s="5" customFormat="1">
      <c r="A114" s="4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s="5" customFormat="1">
      <c r="A115" s="4" t="s">
        <v>264</v>
      </c>
      <c r="B115" s="8">
        <f>(B96/15)*$B4*B$56/$C4</f>
        <v>46.440000000000005</v>
      </c>
      <c r="C115" s="8">
        <f t="shared" ref="C115:U115" si="68">(C96/15)*$B4*C$56/$C4</f>
        <v>45.22</v>
      </c>
      <c r="D115" s="8">
        <f t="shared" si="68"/>
        <v>44.98</v>
      </c>
      <c r="E115" s="8">
        <f t="shared" si="68"/>
        <v>44.03</v>
      </c>
      <c r="F115" s="8">
        <f t="shared" si="68"/>
        <v>44.95</v>
      </c>
      <c r="G115" s="8">
        <f t="shared" si="68"/>
        <v>44.22999999999999</v>
      </c>
      <c r="H115" s="8">
        <f t="shared" si="68"/>
        <v>44.96</v>
      </c>
      <c r="I115" s="8">
        <f t="shared" si="68"/>
        <v>45.33</v>
      </c>
      <c r="J115" s="8">
        <f t="shared" si="68"/>
        <v>45.949999999999996</v>
      </c>
      <c r="K115" s="8">
        <f t="shared" si="68"/>
        <v>44.19</v>
      </c>
      <c r="L115" s="8">
        <f t="shared" si="68"/>
        <v>45.63</v>
      </c>
      <c r="M115" s="8">
        <f t="shared" si="68"/>
        <v>44.73</v>
      </c>
      <c r="N115" s="8">
        <f t="shared" si="68"/>
        <v>45.72</v>
      </c>
      <c r="O115" s="8">
        <f t="shared" si="68"/>
        <v>44.31</v>
      </c>
      <c r="P115" s="8">
        <f t="shared" si="68"/>
        <v>44.7</v>
      </c>
      <c r="Q115" s="8">
        <f t="shared" si="68"/>
        <v>51.09</v>
      </c>
      <c r="R115" s="8">
        <f t="shared" si="68"/>
        <v>42.91</v>
      </c>
      <c r="S115" s="8">
        <f t="shared" si="68"/>
        <v>42.890000000000008</v>
      </c>
      <c r="T115" s="8">
        <f t="shared" si="68"/>
        <v>42.610000000000007</v>
      </c>
      <c r="U115" s="8">
        <f t="shared" si="68"/>
        <v>45.017499999999998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s="5" customFormat="1">
      <c r="A116" s="4" t="s">
        <v>265</v>
      </c>
      <c r="B116" s="8">
        <f>(B97/15)*$B5*B$56/$C5</f>
        <v>0.44000000000000006</v>
      </c>
      <c r="C116" s="8">
        <f t="shared" ref="C116:U116" si="69">(C97/15)*$B5*C$56/$C5</f>
        <v>0.55000000000000016</v>
      </c>
      <c r="D116" s="8">
        <f t="shared" si="69"/>
        <v>0.56999999999999995</v>
      </c>
      <c r="E116" s="8">
        <f t="shared" si="69"/>
        <v>0.38999999999999996</v>
      </c>
      <c r="F116" s="8">
        <f t="shared" si="69"/>
        <v>0.62</v>
      </c>
      <c r="G116" s="8">
        <f t="shared" si="69"/>
        <v>0.58000000000000007</v>
      </c>
      <c r="H116" s="8">
        <f t="shared" si="69"/>
        <v>0.6</v>
      </c>
      <c r="I116" s="8">
        <f t="shared" si="69"/>
        <v>0.61</v>
      </c>
      <c r="J116" s="8">
        <f t="shared" si="69"/>
        <v>0.4900000000000001</v>
      </c>
      <c r="K116" s="8">
        <f t="shared" si="69"/>
        <v>0.44000000000000006</v>
      </c>
      <c r="L116" s="8">
        <f t="shared" si="69"/>
        <v>0.59999999999999987</v>
      </c>
      <c r="M116" s="8">
        <f t="shared" si="69"/>
        <v>0.63</v>
      </c>
      <c r="N116" s="8">
        <f t="shared" si="69"/>
        <v>0.62999999999999989</v>
      </c>
      <c r="O116" s="8">
        <f t="shared" si="69"/>
        <v>0.79000000000000015</v>
      </c>
      <c r="P116" s="8">
        <f t="shared" si="69"/>
        <v>1.37</v>
      </c>
      <c r="Q116" s="8">
        <f t="shared" si="69"/>
        <v>8.0000000000000016E-2</v>
      </c>
      <c r="R116" s="8">
        <f t="shared" si="69"/>
        <v>1.6300000000000001</v>
      </c>
      <c r="S116" s="8">
        <f t="shared" si="69"/>
        <v>1.5900000000000003</v>
      </c>
      <c r="T116" s="8">
        <f t="shared" si="69"/>
        <v>1.59</v>
      </c>
      <c r="U116" s="8">
        <f t="shared" si="69"/>
        <v>0.54500000000000004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s="5" customFormat="1">
      <c r="A117" s="4" t="s">
        <v>113</v>
      </c>
      <c r="B117" s="8">
        <f>(B98/15)*$B6*B$56/$C6</f>
        <v>0.05</v>
      </c>
      <c r="C117" s="8">
        <f t="shared" ref="C117:U117" si="70">(C98/15)*$B6*C$56/$C6</f>
        <v>0.04</v>
      </c>
      <c r="D117" s="8">
        <f t="shared" si="70"/>
        <v>0.03</v>
      </c>
      <c r="E117" s="8">
        <f t="shared" si="70"/>
        <v>0.05</v>
      </c>
      <c r="F117" s="8">
        <f t="shared" si="70"/>
        <v>0.03</v>
      </c>
      <c r="G117" s="8">
        <f t="shared" si="70"/>
        <v>0.02</v>
      </c>
      <c r="H117" s="8">
        <f t="shared" si="70"/>
        <v>7.0000000000000021E-2</v>
      </c>
      <c r="I117" s="8">
        <f t="shared" si="70"/>
        <v>0.05</v>
      </c>
      <c r="J117" s="8">
        <f t="shared" si="70"/>
        <v>6.0000000000000005E-2</v>
      </c>
      <c r="K117" s="8">
        <f t="shared" si="70"/>
        <v>0.01</v>
      </c>
      <c r="L117" s="8">
        <f t="shared" si="70"/>
        <v>0.05</v>
      </c>
      <c r="M117" s="8">
        <f t="shared" si="70"/>
        <v>0.04</v>
      </c>
      <c r="N117" s="8">
        <f t="shared" si="70"/>
        <v>6.0000000000000005E-2</v>
      </c>
      <c r="O117" s="8">
        <f t="shared" si="70"/>
        <v>0.04</v>
      </c>
      <c r="P117" s="8">
        <f t="shared" si="70"/>
        <v>0.09</v>
      </c>
      <c r="Q117" s="8">
        <f t="shared" si="70"/>
        <v>0.02</v>
      </c>
      <c r="R117" s="8">
        <f t="shared" si="70"/>
        <v>0.10999999999999999</v>
      </c>
      <c r="S117" s="8">
        <f t="shared" si="70"/>
        <v>0.11000000000000001</v>
      </c>
      <c r="T117" s="8">
        <f t="shared" si="70"/>
        <v>0.1</v>
      </c>
      <c r="U117" s="8">
        <f t="shared" si="70"/>
        <v>4.2499999999999996E-2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s="5" customFormat="1">
      <c r="A118" s="4" t="s">
        <v>266</v>
      </c>
      <c r="B118" s="8">
        <f>(B99/15)*$B7*B$56/$C7</f>
        <v>9.5599999999999987</v>
      </c>
      <c r="C118" s="8">
        <f t="shared" ref="C118:U118" si="71">(C99/15)*$B7*C$56/$C7</f>
        <v>11.21</v>
      </c>
      <c r="D118" s="8">
        <f t="shared" si="71"/>
        <v>11.78</v>
      </c>
      <c r="E118" s="8">
        <f t="shared" si="71"/>
        <v>11.729999999999999</v>
      </c>
      <c r="F118" s="8">
        <f t="shared" si="71"/>
        <v>11.48</v>
      </c>
      <c r="G118" s="8">
        <f t="shared" si="71"/>
        <v>11.91</v>
      </c>
      <c r="H118" s="8">
        <f t="shared" si="71"/>
        <v>11.539999999999997</v>
      </c>
      <c r="I118" s="8">
        <f t="shared" si="71"/>
        <v>11.44</v>
      </c>
      <c r="J118" s="8">
        <f t="shared" si="71"/>
        <v>10.870000000000001</v>
      </c>
      <c r="K118" s="8">
        <f t="shared" si="71"/>
        <v>9.2700000000000014</v>
      </c>
      <c r="L118" s="8">
        <f t="shared" si="71"/>
        <v>11.370000000000001</v>
      </c>
      <c r="M118" s="8">
        <f t="shared" si="71"/>
        <v>11.74</v>
      </c>
      <c r="N118" s="8">
        <f t="shared" si="71"/>
        <v>11.600000000000001</v>
      </c>
      <c r="O118" s="8">
        <f t="shared" si="71"/>
        <v>12.23</v>
      </c>
      <c r="P118" s="8">
        <f t="shared" si="71"/>
        <v>9.49</v>
      </c>
      <c r="Q118" s="8">
        <f t="shared" si="71"/>
        <v>4.8099999999999996</v>
      </c>
      <c r="R118" s="8">
        <f t="shared" si="71"/>
        <v>11.31</v>
      </c>
      <c r="S118" s="8">
        <f t="shared" si="71"/>
        <v>11.449999999999998</v>
      </c>
      <c r="T118" s="8">
        <f t="shared" si="71"/>
        <v>11.289999999999997</v>
      </c>
      <c r="U118" s="8">
        <f t="shared" si="71"/>
        <v>11.331250000000001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s="5" customFormat="1">
      <c r="A119" s="4" t="s">
        <v>133</v>
      </c>
      <c r="B119" s="8">
        <f>(B100/15)*$B15*B$56/$C15</f>
        <v>9.2113204369578128</v>
      </c>
      <c r="C119" s="8">
        <f t="shared" ref="C119:U119" si="72">(C100/15)*$B15*C$56/$C15</f>
        <v>12.185921373455614</v>
      </c>
      <c r="D119" s="8">
        <f t="shared" si="72"/>
        <v>12.394009992809117</v>
      </c>
      <c r="E119" s="8">
        <f t="shared" si="72"/>
        <v>12.41173948781954</v>
      </c>
      <c r="F119" s="8">
        <f t="shared" si="72"/>
        <v>11.558615568218015</v>
      </c>
      <c r="G119" s="8">
        <f t="shared" si="72"/>
        <v>13.402012239414541</v>
      </c>
      <c r="H119" s="8">
        <f t="shared" si="72"/>
        <v>11.686674115507278</v>
      </c>
      <c r="I119" s="8">
        <f t="shared" si="72"/>
        <v>11.924902130791581</v>
      </c>
      <c r="J119" s="8">
        <f t="shared" si="72"/>
        <v>11.06029507138456</v>
      </c>
      <c r="K119" s="8">
        <f t="shared" si="72"/>
        <v>9.6907708312602914</v>
      </c>
      <c r="L119" s="8">
        <f t="shared" si="72"/>
        <v>12.330283724492984</v>
      </c>
      <c r="M119" s="8">
        <f t="shared" si="72"/>
        <v>12.047134435602615</v>
      </c>
      <c r="N119" s="8">
        <f t="shared" si="72"/>
        <v>10.176717016882224</v>
      </c>
      <c r="O119" s="8">
        <f t="shared" si="72"/>
        <v>13.189010019504927</v>
      </c>
      <c r="P119" s="8">
        <f t="shared" si="72"/>
        <v>11.104765828510821</v>
      </c>
      <c r="Q119" s="8">
        <f t="shared" si="72"/>
        <v>6.6142444680379446</v>
      </c>
      <c r="R119" s="8">
        <f t="shared" si="72"/>
        <v>13.64384872274138</v>
      </c>
      <c r="S119" s="8">
        <f t="shared" si="72"/>
        <v>13.169399746509159</v>
      </c>
      <c r="T119" s="8">
        <f t="shared" si="72"/>
        <v>14.564692225788992</v>
      </c>
      <c r="U119" s="8">
        <f t="shared" si="72"/>
        <v>11.846899418121495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s="5" customFormat="1">
      <c r="A120" s="4" t="s">
        <v>268</v>
      </c>
      <c r="B120" s="8">
        <f t="shared" ref="B120:B126" si="73">(B101/15)*$B8*B$56/$C8</f>
        <v>5.4910748458533174</v>
      </c>
      <c r="C120" s="8">
        <f t="shared" ref="C120:U120" si="74">(C101/15)*$B8*C$56/$C8</f>
        <v>2.4743419393355195</v>
      </c>
      <c r="D120" s="8">
        <f t="shared" si="74"/>
        <v>3.3470907191596888</v>
      </c>
      <c r="E120" s="8">
        <f t="shared" si="74"/>
        <v>3.4411366050706182</v>
      </c>
      <c r="F120" s="8">
        <f t="shared" si="74"/>
        <v>3.4988311354244872</v>
      </c>
      <c r="G120" s="8">
        <f t="shared" si="74"/>
        <v>2.5900269344930571</v>
      </c>
      <c r="H120" s="8">
        <f t="shared" si="74"/>
        <v>2.9635960047942875</v>
      </c>
      <c r="I120" s="8">
        <f t="shared" si="74"/>
        <v>3.3792234615930119</v>
      </c>
      <c r="J120" s="8">
        <f t="shared" si="74"/>
        <v>3.8472512429757377</v>
      </c>
      <c r="K120" s="8">
        <f t="shared" si="74"/>
        <v>5.869635242736889</v>
      </c>
      <c r="L120" s="8">
        <f t="shared" si="74"/>
        <v>2.6244356212332498</v>
      </c>
      <c r="M120" s="8">
        <f t="shared" si="74"/>
        <v>3.0492311501831937</v>
      </c>
      <c r="N120" s="8">
        <f t="shared" si="74"/>
        <v>4.7323503182648041</v>
      </c>
      <c r="O120" s="8">
        <f t="shared" si="74"/>
        <v>2.5816997213189339</v>
      </c>
      <c r="P120" s="8">
        <f t="shared" si="74"/>
        <v>3.4372336602751257</v>
      </c>
      <c r="Q120" s="8">
        <f t="shared" si="74"/>
        <v>4.098087055268909</v>
      </c>
      <c r="R120" s="8">
        <f t="shared" si="74"/>
        <v>2.0524072649182719</v>
      </c>
      <c r="S120" s="8">
        <f t="shared" si="74"/>
        <v>2.4193462776652046</v>
      </c>
      <c r="T120" s="8">
        <f t="shared" si="74"/>
        <v>1.5737743965165356</v>
      </c>
      <c r="U120" s="8">
        <f t="shared" si="74"/>
        <v>3.3981652057156726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s="5" customFormat="1">
      <c r="A121" s="4" t="s">
        <v>269</v>
      </c>
      <c r="B121" s="8">
        <f t="shared" si="73"/>
        <v>0.68</v>
      </c>
      <c r="C121" s="8">
        <f t="shared" ref="C121:U121" si="75">(C102/15)*$B9*C$56/$C9</f>
        <v>0.84</v>
      </c>
      <c r="D121" s="8">
        <f t="shared" si="75"/>
        <v>1.01</v>
      </c>
      <c r="E121" s="8">
        <f t="shared" si="75"/>
        <v>1.1100000000000001</v>
      </c>
      <c r="F121" s="8">
        <f t="shared" si="75"/>
        <v>0.85</v>
      </c>
      <c r="G121" s="8">
        <f t="shared" si="75"/>
        <v>0.84</v>
      </c>
      <c r="H121" s="8">
        <f t="shared" si="75"/>
        <v>0.80999999999999994</v>
      </c>
      <c r="I121" s="8">
        <f t="shared" si="75"/>
        <v>0.85</v>
      </c>
      <c r="J121" s="8">
        <f t="shared" si="75"/>
        <v>0.8899999999999999</v>
      </c>
      <c r="K121" s="8">
        <f t="shared" si="75"/>
        <v>0.8899999999999999</v>
      </c>
      <c r="L121" s="8">
        <f t="shared" si="75"/>
        <v>0.89999999999999991</v>
      </c>
      <c r="M121" s="8">
        <f t="shared" si="75"/>
        <v>0.77</v>
      </c>
      <c r="N121" s="8">
        <f t="shared" si="75"/>
        <v>0.69</v>
      </c>
      <c r="O121" s="8">
        <f t="shared" si="75"/>
        <v>0.70000000000000007</v>
      </c>
      <c r="P121" s="8">
        <f t="shared" si="75"/>
        <v>0.22</v>
      </c>
      <c r="Q121" s="8">
        <f t="shared" si="75"/>
        <v>0.23000000000000004</v>
      </c>
      <c r="R121" s="8">
        <f t="shared" si="75"/>
        <v>0.18</v>
      </c>
      <c r="S121" s="8">
        <f t="shared" si="75"/>
        <v>0.20000000000000004</v>
      </c>
      <c r="T121" s="8">
        <f t="shared" si="75"/>
        <v>0.21000000000000002</v>
      </c>
      <c r="U121" s="8">
        <f t="shared" si="75"/>
        <v>0.87375000000000014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s="5" customFormat="1">
      <c r="A122" s="4" t="s">
        <v>114</v>
      </c>
      <c r="B122" s="8">
        <f t="shared" si="73"/>
        <v>0.03</v>
      </c>
      <c r="C122" s="8">
        <f t="shared" ref="C122:U122" si="76">(C103/15)*$B10*C$56/$C10</f>
        <v>0</v>
      </c>
      <c r="D122" s="8">
        <f t="shared" si="76"/>
        <v>0</v>
      </c>
      <c r="E122" s="8">
        <f t="shared" si="76"/>
        <v>2.9999999999999995E-2</v>
      </c>
      <c r="F122" s="8">
        <f t="shared" si="76"/>
        <v>0</v>
      </c>
      <c r="G122" s="8">
        <f t="shared" si="76"/>
        <v>0</v>
      </c>
      <c r="H122" s="8">
        <f t="shared" si="76"/>
        <v>0</v>
      </c>
      <c r="I122" s="8">
        <f t="shared" si="76"/>
        <v>0</v>
      </c>
      <c r="J122" s="8">
        <f t="shared" si="76"/>
        <v>0</v>
      </c>
      <c r="K122" s="8">
        <f t="shared" si="76"/>
        <v>0</v>
      </c>
      <c r="L122" s="8">
        <f t="shared" si="76"/>
        <v>0</v>
      </c>
      <c r="M122" s="8">
        <f t="shared" si="76"/>
        <v>0</v>
      </c>
      <c r="N122" s="8">
        <f t="shared" si="76"/>
        <v>0</v>
      </c>
      <c r="O122" s="8">
        <f t="shared" si="76"/>
        <v>0</v>
      </c>
      <c r="P122" s="8">
        <f t="shared" si="76"/>
        <v>0</v>
      </c>
      <c r="Q122" s="8">
        <f t="shared" si="76"/>
        <v>0</v>
      </c>
      <c r="R122" s="8">
        <f t="shared" si="76"/>
        <v>0</v>
      </c>
      <c r="S122" s="8">
        <f t="shared" si="76"/>
        <v>0</v>
      </c>
      <c r="T122" s="8">
        <f t="shared" si="76"/>
        <v>0</v>
      </c>
      <c r="U122" s="8">
        <f t="shared" si="76"/>
        <v>7.4999999999999989E-3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s="5" customFormat="1">
      <c r="A123" s="4" t="s">
        <v>270</v>
      </c>
      <c r="B123" s="8">
        <f t="shared" si="73"/>
        <v>12.46</v>
      </c>
      <c r="C123" s="8">
        <f t="shared" ref="C123:U123" si="77">(C104/15)*$B11*C$56/$C11</f>
        <v>13</v>
      </c>
      <c r="D123" s="8">
        <f t="shared" si="77"/>
        <v>12.06</v>
      </c>
      <c r="E123" s="8">
        <f t="shared" si="77"/>
        <v>11.980000000000002</v>
      </c>
      <c r="F123" s="8">
        <f t="shared" si="77"/>
        <v>12.24</v>
      </c>
      <c r="G123" s="8">
        <f t="shared" si="77"/>
        <v>11.92</v>
      </c>
      <c r="H123" s="8">
        <f t="shared" si="77"/>
        <v>12.39</v>
      </c>
      <c r="I123" s="8">
        <f t="shared" si="77"/>
        <v>12.420000000000002</v>
      </c>
      <c r="J123" s="8">
        <f t="shared" si="77"/>
        <v>12.839999999999996</v>
      </c>
      <c r="K123" s="8">
        <f t="shared" si="77"/>
        <v>11.100000000000001</v>
      </c>
      <c r="L123" s="8">
        <f t="shared" si="77"/>
        <v>12.839999999999998</v>
      </c>
      <c r="M123" s="8">
        <f t="shared" si="77"/>
        <v>12.179999999999998</v>
      </c>
      <c r="N123" s="8">
        <f t="shared" si="77"/>
        <v>11.799999999999999</v>
      </c>
      <c r="O123" s="8">
        <f t="shared" si="77"/>
        <v>12.09</v>
      </c>
      <c r="P123" s="8">
        <f t="shared" si="77"/>
        <v>12.36</v>
      </c>
      <c r="Q123" s="8">
        <f t="shared" si="77"/>
        <v>16.41</v>
      </c>
      <c r="R123" s="8">
        <f t="shared" si="77"/>
        <v>11.659999999999998</v>
      </c>
      <c r="S123" s="8">
        <f t="shared" si="77"/>
        <v>11.64</v>
      </c>
      <c r="T123" s="8">
        <f t="shared" si="77"/>
        <v>11.74</v>
      </c>
      <c r="U123" s="8">
        <f t="shared" si="77"/>
        <v>12.30875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s="5" customFormat="1">
      <c r="A124" s="4" t="s">
        <v>271</v>
      </c>
      <c r="B124" s="8">
        <f t="shared" si="73"/>
        <v>10.489999999999998</v>
      </c>
      <c r="C124" s="8">
        <f t="shared" ref="C124:U124" si="78">(C105/15)*$B12*C$56/$C12</f>
        <v>10.530000000000001</v>
      </c>
      <c r="D124" s="8">
        <f t="shared" si="78"/>
        <v>10.55</v>
      </c>
      <c r="E124" s="8">
        <f t="shared" si="78"/>
        <v>10</v>
      </c>
      <c r="F124" s="8">
        <f t="shared" si="78"/>
        <v>10.87</v>
      </c>
      <c r="G124" s="8">
        <f t="shared" si="78"/>
        <v>10.94</v>
      </c>
      <c r="H124" s="8">
        <f t="shared" si="78"/>
        <v>11.02</v>
      </c>
      <c r="I124" s="8">
        <f t="shared" si="78"/>
        <v>10.809999999999999</v>
      </c>
      <c r="J124" s="8">
        <f t="shared" si="78"/>
        <v>10.260000000000002</v>
      </c>
      <c r="K124" s="8">
        <f t="shared" si="78"/>
        <v>10.35</v>
      </c>
      <c r="L124" s="8">
        <f t="shared" si="78"/>
        <v>10.480000000000002</v>
      </c>
      <c r="M124" s="8">
        <f t="shared" si="78"/>
        <v>10.81</v>
      </c>
      <c r="N124" s="8">
        <f t="shared" si="78"/>
        <v>10.39</v>
      </c>
      <c r="O124" s="8">
        <f t="shared" si="78"/>
        <v>10.849999999999998</v>
      </c>
      <c r="P124" s="8">
        <f t="shared" si="78"/>
        <v>12.130000000000003</v>
      </c>
      <c r="Q124" s="8">
        <f t="shared" si="78"/>
        <v>12.64</v>
      </c>
      <c r="R124" s="8">
        <f t="shared" si="78"/>
        <v>11.950000000000001</v>
      </c>
      <c r="S124" s="8">
        <f t="shared" si="78"/>
        <v>12.030000000000001</v>
      </c>
      <c r="T124" s="8">
        <f t="shared" si="78"/>
        <v>12.069999999999999</v>
      </c>
      <c r="U124" s="8">
        <f t="shared" si="78"/>
        <v>10.651249999999997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s="5" customFormat="1">
      <c r="A125" s="4" t="s">
        <v>272</v>
      </c>
      <c r="B125" s="8">
        <f t="shared" si="73"/>
        <v>1.3500000000000003</v>
      </c>
      <c r="C125" s="8">
        <f t="shared" ref="C125:U125" si="79">(C106/15)*$B13*C$56/$C13</f>
        <v>1.3999999999999997</v>
      </c>
      <c r="D125" s="8">
        <f t="shared" si="79"/>
        <v>1.5100000000000002</v>
      </c>
      <c r="E125" s="8">
        <f t="shared" si="79"/>
        <v>1.39</v>
      </c>
      <c r="F125" s="8">
        <f t="shared" si="79"/>
        <v>1.39</v>
      </c>
      <c r="G125" s="8">
        <f t="shared" si="79"/>
        <v>1.47</v>
      </c>
      <c r="H125" s="8">
        <f t="shared" si="79"/>
        <v>1.3699999999999999</v>
      </c>
      <c r="I125" s="8">
        <f t="shared" si="79"/>
        <v>1.41</v>
      </c>
      <c r="J125" s="8">
        <f t="shared" si="79"/>
        <v>1.41</v>
      </c>
      <c r="K125" s="8">
        <f t="shared" si="79"/>
        <v>1.29</v>
      </c>
      <c r="L125" s="8">
        <f t="shared" si="79"/>
        <v>1.5299999999999998</v>
      </c>
      <c r="M125" s="8">
        <f t="shared" si="79"/>
        <v>1.4499999999999997</v>
      </c>
      <c r="N125" s="8">
        <f t="shared" si="79"/>
        <v>1.6300000000000001</v>
      </c>
      <c r="O125" s="8">
        <f t="shared" si="79"/>
        <v>1.51</v>
      </c>
      <c r="P125" s="8">
        <f t="shared" si="79"/>
        <v>1.38</v>
      </c>
      <c r="Q125" s="8">
        <f t="shared" si="79"/>
        <v>0.74</v>
      </c>
      <c r="R125" s="8">
        <f t="shared" si="79"/>
        <v>1.67</v>
      </c>
      <c r="S125" s="8">
        <f t="shared" si="79"/>
        <v>1.5699999999999998</v>
      </c>
      <c r="T125" s="8">
        <f t="shared" si="79"/>
        <v>1.6</v>
      </c>
      <c r="U125" s="8">
        <f t="shared" si="79"/>
        <v>1.4112499999999999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s="5" customFormat="1">
      <c r="A126" s="4" t="s">
        <v>273</v>
      </c>
      <c r="B126" s="8">
        <f t="shared" si="73"/>
        <v>0.24</v>
      </c>
      <c r="C126" s="8">
        <f t="shared" ref="C126:U126" si="80">(C107/15)*$B14*C$56/$C14</f>
        <v>0.14000000000000001</v>
      </c>
      <c r="D126" s="8">
        <f t="shared" si="80"/>
        <v>0.27</v>
      </c>
      <c r="E126" s="8">
        <f t="shared" si="80"/>
        <v>0.24999999999999997</v>
      </c>
      <c r="F126" s="8">
        <f t="shared" si="80"/>
        <v>0.34</v>
      </c>
      <c r="G126" s="8">
        <f t="shared" si="80"/>
        <v>0.26</v>
      </c>
      <c r="H126" s="8">
        <f t="shared" si="80"/>
        <v>0.21000000000000002</v>
      </c>
      <c r="I126" s="8">
        <f t="shared" si="80"/>
        <v>0.22999999999999998</v>
      </c>
      <c r="J126" s="8">
        <f t="shared" si="80"/>
        <v>0.16</v>
      </c>
      <c r="K126" s="8">
        <f t="shared" si="80"/>
        <v>0.27000000000000007</v>
      </c>
      <c r="L126" s="8">
        <f t="shared" si="80"/>
        <v>0.14000000000000001</v>
      </c>
      <c r="M126" s="8">
        <f t="shared" si="80"/>
        <v>0.22000000000000006</v>
      </c>
      <c r="N126" s="8">
        <f t="shared" si="80"/>
        <v>0.24999999999999997</v>
      </c>
      <c r="O126" s="8">
        <f t="shared" si="80"/>
        <v>0.24999999999999997</v>
      </c>
      <c r="P126" s="8">
        <f t="shared" si="80"/>
        <v>0.73</v>
      </c>
      <c r="Q126" s="8">
        <f t="shared" si="80"/>
        <v>0.26</v>
      </c>
      <c r="R126" s="8">
        <f t="shared" si="80"/>
        <v>0.99000000000000021</v>
      </c>
      <c r="S126" s="8">
        <f t="shared" si="80"/>
        <v>1.0199999999999998</v>
      </c>
      <c r="T126" s="8">
        <f t="shared" si="80"/>
        <v>0.94000000000000006</v>
      </c>
      <c r="U126" s="8">
        <f t="shared" si="80"/>
        <v>0.24250000000000002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1:34" s="5" customFormat="1">
      <c r="A127" s="4" t="s">
        <v>85</v>
      </c>
      <c r="B127" s="8">
        <f>(B108/15)*$B16*B$56/$C16</f>
        <v>2.0515763025383769</v>
      </c>
      <c r="C127" s="8">
        <f t="shared" ref="C127:U127" si="81">(C108/15)*$B16*C$56/$C16</f>
        <v>2.0829897266418826</v>
      </c>
      <c r="D127" s="8">
        <f t="shared" si="81"/>
        <v>2.0890468762230112</v>
      </c>
      <c r="E127" s="8">
        <f t="shared" si="81"/>
        <v>2.0516893471609152</v>
      </c>
      <c r="F127" s="8">
        <f t="shared" si="81"/>
        <v>2.0769571599020229</v>
      </c>
      <c r="G127" s="8">
        <f t="shared" si="81"/>
        <v>2.0793696288286894</v>
      </c>
      <c r="H127" s="8">
        <f t="shared" si="81"/>
        <v>2.0781111182546308</v>
      </c>
      <c r="I127" s="8">
        <f t="shared" si="81"/>
        <v>2.0921401757125069</v>
      </c>
      <c r="J127" s="8">
        <f t="shared" si="81"/>
        <v>2.0856875659977114</v>
      </c>
      <c r="K127" s="8">
        <f t="shared" si="81"/>
        <v>1.9699010710207439</v>
      </c>
      <c r="L127" s="8">
        <f t="shared" si="81"/>
        <v>2.1007618329953934</v>
      </c>
      <c r="M127" s="8">
        <f t="shared" si="81"/>
        <v>2.0767250505072496</v>
      </c>
      <c r="N127" s="8">
        <f t="shared" si="81"/>
        <v>2.0788371974980198</v>
      </c>
      <c r="O127" s="8">
        <f t="shared" si="81"/>
        <v>2.0909561632425162</v>
      </c>
      <c r="P127" s="8">
        <f t="shared" si="81"/>
        <v>2.0489399363911489</v>
      </c>
      <c r="Q127" s="8">
        <f t="shared" si="81"/>
        <v>2.096363570760833</v>
      </c>
      <c r="R127" s="8">
        <f t="shared" si="81"/>
        <v>2.0611610194799357</v>
      </c>
      <c r="S127" s="8">
        <f t="shared" si="81"/>
        <v>2.0600365034101458</v>
      </c>
      <c r="T127" s="8">
        <f t="shared" si="81"/>
        <v>2.0625324992916205</v>
      </c>
      <c r="U127" s="8">
        <f t="shared" si="81"/>
        <v>2.0752350419077539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34" s="5" customFormat="1">
      <c r="A128" s="4" t="s">
        <v>86</v>
      </c>
      <c r="B128" s="8">
        <f>(B109/15)*$B17*B$56/$C17</f>
        <v>0</v>
      </c>
      <c r="C128" s="8">
        <f t="shared" ref="C128:U128" si="82">(C109/15)*$B17*C$56/$C17</f>
        <v>0</v>
      </c>
      <c r="D128" s="8">
        <f t="shared" si="82"/>
        <v>0</v>
      </c>
      <c r="E128" s="8">
        <f t="shared" si="82"/>
        <v>0</v>
      </c>
      <c r="F128" s="8">
        <f t="shared" si="82"/>
        <v>0</v>
      </c>
      <c r="G128" s="8">
        <f t="shared" si="82"/>
        <v>0</v>
      </c>
      <c r="H128" s="8">
        <f t="shared" si="82"/>
        <v>0</v>
      </c>
      <c r="I128" s="8">
        <f t="shared" si="82"/>
        <v>0</v>
      </c>
      <c r="J128" s="8">
        <f t="shared" si="82"/>
        <v>0</v>
      </c>
      <c r="K128" s="8">
        <f t="shared" si="82"/>
        <v>0</v>
      </c>
      <c r="L128" s="8">
        <f t="shared" si="82"/>
        <v>0</v>
      </c>
      <c r="M128" s="8">
        <f t="shared" si="82"/>
        <v>0</v>
      </c>
      <c r="N128" s="8">
        <f t="shared" si="82"/>
        <v>0</v>
      </c>
      <c r="O128" s="8">
        <f t="shared" si="82"/>
        <v>0</v>
      </c>
      <c r="P128" s="8">
        <f t="shared" si="82"/>
        <v>0</v>
      </c>
      <c r="Q128" s="8">
        <f t="shared" si="82"/>
        <v>0</v>
      </c>
      <c r="R128" s="8">
        <f t="shared" si="82"/>
        <v>0</v>
      </c>
      <c r="S128" s="8">
        <f t="shared" si="82"/>
        <v>0</v>
      </c>
      <c r="T128" s="8">
        <f t="shared" si="82"/>
        <v>0</v>
      </c>
      <c r="U128" s="8">
        <f t="shared" si="82"/>
        <v>0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1:34" s="5" customFormat="1">
      <c r="A129" s="4" t="s">
        <v>87</v>
      </c>
      <c r="B129" s="8">
        <f>(B110/15)*$B18*B$56/$C18</f>
        <v>0</v>
      </c>
      <c r="C129" s="8">
        <f t="shared" ref="C129:U129" si="83">(C110/15)*$B18*C$56/$C18</f>
        <v>0</v>
      </c>
      <c r="D129" s="8">
        <f t="shared" si="83"/>
        <v>0</v>
      </c>
      <c r="E129" s="8">
        <f t="shared" si="83"/>
        <v>0</v>
      </c>
      <c r="F129" s="8">
        <f t="shared" si="83"/>
        <v>0</v>
      </c>
      <c r="G129" s="8">
        <f t="shared" si="83"/>
        <v>0</v>
      </c>
      <c r="H129" s="8">
        <f t="shared" si="83"/>
        <v>0</v>
      </c>
      <c r="I129" s="8">
        <f t="shared" si="83"/>
        <v>0</v>
      </c>
      <c r="J129" s="8">
        <f t="shared" si="83"/>
        <v>0</v>
      </c>
      <c r="K129" s="8">
        <f t="shared" si="83"/>
        <v>0</v>
      </c>
      <c r="L129" s="8">
        <f t="shared" si="83"/>
        <v>0</v>
      </c>
      <c r="M129" s="8">
        <f t="shared" si="83"/>
        <v>0</v>
      </c>
      <c r="N129" s="8">
        <f t="shared" si="83"/>
        <v>0</v>
      </c>
      <c r="O129" s="8">
        <f t="shared" si="83"/>
        <v>0</v>
      </c>
      <c r="P129" s="8">
        <f t="shared" si="83"/>
        <v>0</v>
      </c>
      <c r="Q129" s="8">
        <f t="shared" si="83"/>
        <v>0</v>
      </c>
      <c r="R129" s="8">
        <f t="shared" si="83"/>
        <v>0</v>
      </c>
      <c r="S129" s="8">
        <f t="shared" si="83"/>
        <v>0</v>
      </c>
      <c r="T129" s="8">
        <f t="shared" si="83"/>
        <v>0</v>
      </c>
      <c r="U129" s="8">
        <f t="shared" si="83"/>
        <v>0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1:34" s="5" customFormat="1">
      <c r="A130" s="4" t="s">
        <v>115</v>
      </c>
      <c r="B130" s="8">
        <f t="shared" ref="B130:U130" si="84">SUM(B115:B129)</f>
        <v>98.493971585349513</v>
      </c>
      <c r="C130" s="8">
        <f t="shared" si="84"/>
        <v>99.673253039433021</v>
      </c>
      <c r="D130" s="8">
        <f t="shared" si="84"/>
        <v>100.59014758819183</v>
      </c>
      <c r="E130" s="8">
        <f t="shared" si="84"/>
        <v>98.864565440051081</v>
      </c>
      <c r="F130" s="8">
        <f t="shared" si="84"/>
        <v>99.904403863544516</v>
      </c>
      <c r="G130" s="8">
        <f t="shared" si="84"/>
        <v>100.24140880273629</v>
      </c>
      <c r="H130" s="8">
        <f t="shared" si="84"/>
        <v>99.698381238556181</v>
      </c>
      <c r="I130" s="8">
        <f t="shared" si="84"/>
        <v>100.54626576809709</v>
      </c>
      <c r="J130" s="8">
        <f t="shared" si="84"/>
        <v>99.923233880358012</v>
      </c>
      <c r="K130" s="8">
        <f t="shared" si="84"/>
        <v>95.340307145017917</v>
      </c>
      <c r="L130" s="8">
        <f t="shared" si="84"/>
        <v>100.59548117872164</v>
      </c>
      <c r="M130" s="8">
        <f t="shared" si="84"/>
        <v>99.743090636293047</v>
      </c>
      <c r="N130" s="8">
        <f t="shared" si="84"/>
        <v>99.757904532645043</v>
      </c>
      <c r="O130" s="8">
        <f t="shared" si="84"/>
        <v>100.63166590406638</v>
      </c>
      <c r="P130" s="8">
        <f t="shared" si="84"/>
        <v>99.060939425177096</v>
      </c>
      <c r="Q130" s="8">
        <f t="shared" si="84"/>
        <v>99.088695094067688</v>
      </c>
      <c r="R130" s="8">
        <f t="shared" si="84"/>
        <v>100.16741700713959</v>
      </c>
      <c r="S130" s="8">
        <f t="shared" si="84"/>
        <v>100.1487825275845</v>
      </c>
      <c r="T130" s="8">
        <f t="shared" si="84"/>
        <v>100.35099912159714</v>
      </c>
      <c r="U130" s="8">
        <f t="shared" si="84"/>
        <v>99.751549665744918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1:34" s="5" customFormat="1">
      <c r="A131" s="4" t="s">
        <v>90</v>
      </c>
      <c r="B131" s="8">
        <f>B128*0.4211+B129*0.2256</f>
        <v>0</v>
      </c>
      <c r="C131" s="8">
        <f t="shared" ref="C131:U131" si="85">C128*0.4211+C129*0.2256</f>
        <v>0</v>
      </c>
      <c r="D131" s="8">
        <f t="shared" si="85"/>
        <v>0</v>
      </c>
      <c r="E131" s="8">
        <f t="shared" si="85"/>
        <v>0</v>
      </c>
      <c r="F131" s="8">
        <f t="shared" si="85"/>
        <v>0</v>
      </c>
      <c r="G131" s="8">
        <f t="shared" si="85"/>
        <v>0</v>
      </c>
      <c r="H131" s="8">
        <f t="shared" si="85"/>
        <v>0</v>
      </c>
      <c r="I131" s="8">
        <f t="shared" si="85"/>
        <v>0</v>
      </c>
      <c r="J131" s="8">
        <f t="shared" si="85"/>
        <v>0</v>
      </c>
      <c r="K131" s="8">
        <f t="shared" si="85"/>
        <v>0</v>
      </c>
      <c r="L131" s="8">
        <f t="shared" si="85"/>
        <v>0</v>
      </c>
      <c r="M131" s="8">
        <f t="shared" si="85"/>
        <v>0</v>
      </c>
      <c r="N131" s="8">
        <f t="shared" si="85"/>
        <v>0</v>
      </c>
      <c r="O131" s="8">
        <f t="shared" si="85"/>
        <v>0</v>
      </c>
      <c r="P131" s="8">
        <f t="shared" si="85"/>
        <v>0</v>
      </c>
      <c r="Q131" s="8">
        <f t="shared" si="85"/>
        <v>0</v>
      </c>
      <c r="R131" s="8">
        <f t="shared" si="85"/>
        <v>0</v>
      </c>
      <c r="S131" s="8">
        <f t="shared" si="85"/>
        <v>0</v>
      </c>
      <c r="T131" s="8">
        <f t="shared" si="85"/>
        <v>0</v>
      </c>
      <c r="U131" s="8">
        <f t="shared" si="85"/>
        <v>0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1:34" s="5" customFormat="1">
      <c r="A132" s="4" t="s">
        <v>115</v>
      </c>
      <c r="B132" s="8">
        <f t="shared" ref="B132:U132" si="86">B130-B131</f>
        <v>98.493971585349513</v>
      </c>
      <c r="C132" s="8">
        <f t="shared" si="86"/>
        <v>99.673253039433021</v>
      </c>
      <c r="D132" s="8">
        <f t="shared" si="86"/>
        <v>100.59014758819183</v>
      </c>
      <c r="E132" s="8">
        <f t="shared" si="86"/>
        <v>98.864565440051081</v>
      </c>
      <c r="F132" s="8">
        <f t="shared" si="86"/>
        <v>99.904403863544516</v>
      </c>
      <c r="G132" s="8">
        <f t="shared" si="86"/>
        <v>100.24140880273629</v>
      </c>
      <c r="H132" s="8">
        <f t="shared" si="86"/>
        <v>99.698381238556181</v>
      </c>
      <c r="I132" s="8">
        <f t="shared" si="86"/>
        <v>100.54626576809709</v>
      </c>
      <c r="J132" s="8">
        <f t="shared" si="86"/>
        <v>99.923233880358012</v>
      </c>
      <c r="K132" s="8">
        <f t="shared" si="86"/>
        <v>95.340307145017917</v>
      </c>
      <c r="L132" s="8">
        <f t="shared" si="86"/>
        <v>100.59548117872164</v>
      </c>
      <c r="M132" s="8">
        <f t="shared" si="86"/>
        <v>99.743090636293047</v>
      </c>
      <c r="N132" s="8">
        <f t="shared" si="86"/>
        <v>99.757904532645043</v>
      </c>
      <c r="O132" s="8">
        <f t="shared" si="86"/>
        <v>100.63166590406638</v>
      </c>
      <c r="P132" s="8">
        <f t="shared" si="86"/>
        <v>99.060939425177096</v>
      </c>
      <c r="Q132" s="8">
        <f t="shared" si="86"/>
        <v>99.088695094067688</v>
      </c>
      <c r="R132" s="8">
        <f t="shared" si="86"/>
        <v>100.16741700713959</v>
      </c>
      <c r="S132" s="8">
        <f t="shared" si="86"/>
        <v>100.1487825275845</v>
      </c>
      <c r="T132" s="8">
        <f t="shared" si="86"/>
        <v>100.35099912159714</v>
      </c>
      <c r="U132" s="8">
        <f t="shared" si="86"/>
        <v>99.751549665744918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s="5" customFormat="1">
      <c r="A133" s="4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s="5" customFormat="1">
      <c r="A134" s="4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s="5" customFormat="1">
      <c r="A135" s="4" t="s">
        <v>73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s="5" customFormat="1">
      <c r="A136" s="4" t="s">
        <v>74</v>
      </c>
      <c r="B136" s="8">
        <f>IF(8-B96&lt;0, 0, IF((8-B96)&gt;B99, B99, (8-B96)))</f>
        <v>1.2123869494933297</v>
      </c>
      <c r="C136" s="8">
        <f t="shared" ref="C136:U136" si="87">IF(8-C96&lt;0, 0, IF((8-C96)&gt;C99, C99, (8-C96)))</f>
        <v>1.4903750297046061</v>
      </c>
      <c r="D136" s="8">
        <f t="shared" si="87"/>
        <v>1.5436984757005598</v>
      </c>
      <c r="E136" s="8">
        <f t="shared" si="87"/>
        <v>1.5649841514023315</v>
      </c>
      <c r="F136" s="8">
        <f t="shared" si="87"/>
        <v>1.5104483059430116</v>
      </c>
      <c r="G136" s="8">
        <f t="shared" si="87"/>
        <v>1.6218051599506573</v>
      </c>
      <c r="H136" s="8">
        <f t="shared" si="87"/>
        <v>1.5126089766376865</v>
      </c>
      <c r="I136" s="8">
        <f t="shared" si="87"/>
        <v>1.503080606316586</v>
      </c>
      <c r="J136" s="8">
        <f t="shared" si="87"/>
        <v>1.3938443422661972</v>
      </c>
      <c r="K136" s="8">
        <f t="shared" si="87"/>
        <v>1.2734538816560015</v>
      </c>
      <c r="L136" s="8">
        <f t="shared" si="87"/>
        <v>1.486923351021642</v>
      </c>
      <c r="M136" s="8">
        <f t="shared" si="87"/>
        <v>1.5414885262245885</v>
      </c>
      <c r="N136" s="8">
        <f t="shared" si="87"/>
        <v>1.4052508376586008</v>
      </c>
      <c r="O136" s="8">
        <f t="shared" si="87"/>
        <v>1.6456759163927872</v>
      </c>
      <c r="P136" s="8">
        <f t="shared" si="87"/>
        <v>1.4582968232732663</v>
      </c>
      <c r="Q136" s="8">
        <f t="shared" si="87"/>
        <v>0.69228103246668482</v>
      </c>
      <c r="R136" s="8">
        <f t="shared" si="87"/>
        <v>1.7574916360932571</v>
      </c>
      <c r="S136" s="8">
        <f t="shared" si="87"/>
        <v>1.7569951964465691</v>
      </c>
      <c r="T136" s="8">
        <f t="shared" si="87"/>
        <v>1.8052572988819229</v>
      </c>
      <c r="U136" s="8">
        <f t="shared" si="87"/>
        <v>1.4953097584602659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s="5" customFormat="1">
      <c r="A137" s="4" t="s">
        <v>75</v>
      </c>
      <c r="B137" s="8">
        <f t="shared" ref="B137:U137" si="88">B99-B136</f>
        <v>0.43462992073993023</v>
      </c>
      <c r="C137" s="8">
        <f t="shared" si="88"/>
        <v>0.41178176912956488</v>
      </c>
      <c r="D137" s="8">
        <f t="shared" si="88"/>
        <v>0.44938245758688011</v>
      </c>
      <c r="E137" s="8">
        <f t="shared" si="88"/>
        <v>0.45577352804712934</v>
      </c>
      <c r="F137" s="8">
        <f t="shared" si="88"/>
        <v>0.44318107762741321</v>
      </c>
      <c r="G137" s="8">
        <f t="shared" si="88"/>
        <v>0.40264875281359513</v>
      </c>
      <c r="H137" s="8">
        <f t="shared" si="88"/>
        <v>0.45014050895080859</v>
      </c>
      <c r="I137" s="8">
        <f t="shared" si="88"/>
        <v>0.42961328678049182</v>
      </c>
      <c r="J137" s="8">
        <f t="shared" si="88"/>
        <v>0.44823410535333608</v>
      </c>
      <c r="K137" s="8">
        <f t="shared" si="88"/>
        <v>0.38981762270246145</v>
      </c>
      <c r="L137" s="8">
        <f t="shared" si="88"/>
        <v>0.42606125623356861</v>
      </c>
      <c r="M137" s="8">
        <f t="shared" si="88"/>
        <v>0.45661011559189779</v>
      </c>
      <c r="N137" s="8">
        <f t="shared" si="88"/>
        <v>0.56701448722254866</v>
      </c>
      <c r="O137" s="8">
        <f t="shared" si="88"/>
        <v>0.42165194841224496</v>
      </c>
      <c r="P137" s="8">
        <f t="shared" si="88"/>
        <v>0.17876399544756438</v>
      </c>
      <c r="Q137" s="8">
        <f t="shared" si="88"/>
        <v>0.11869179224374726</v>
      </c>
      <c r="R137" s="8">
        <f t="shared" si="88"/>
        <v>0.18195803324389503</v>
      </c>
      <c r="S137" s="8">
        <f t="shared" si="88"/>
        <v>0.207533603469364</v>
      </c>
      <c r="T137" s="8">
        <f t="shared" si="88"/>
        <v>0.12947539580387368</v>
      </c>
      <c r="U137" s="8">
        <f t="shared" si="88"/>
        <v>0.43460602774834434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s="5" customFormat="1">
      <c r="A138" s="4" t="s">
        <v>76</v>
      </c>
      <c r="B138" s="8">
        <f>B104/(B104+B101)</f>
        <v>0.80176788916452058</v>
      </c>
      <c r="C138" s="8">
        <f t="shared" ref="C138:U138" si="89">C104/(C104+C101)</f>
        <v>0.90351942486992531</v>
      </c>
      <c r="D138" s="8">
        <f t="shared" si="89"/>
        <v>0.86527173455519535</v>
      </c>
      <c r="E138" s="8">
        <f t="shared" si="89"/>
        <v>0.86121495135302095</v>
      </c>
      <c r="F138" s="8">
        <f t="shared" si="89"/>
        <v>0.86179285942361983</v>
      </c>
      <c r="G138" s="8">
        <f t="shared" si="89"/>
        <v>0.89134273264670461</v>
      </c>
      <c r="H138" s="8">
        <f t="shared" si="89"/>
        <v>0.88168323113829083</v>
      </c>
      <c r="I138" s="8">
        <f t="shared" si="89"/>
        <v>0.86757013529977811</v>
      </c>
      <c r="J138" s="8">
        <f t="shared" si="89"/>
        <v>0.85608999958046184</v>
      </c>
      <c r="K138" s="8">
        <f t="shared" si="89"/>
        <v>0.77120602877301059</v>
      </c>
      <c r="L138" s="8">
        <f t="shared" si="89"/>
        <v>0.89712499219325048</v>
      </c>
      <c r="M138" s="8">
        <f t="shared" si="89"/>
        <v>0.87684503320729823</v>
      </c>
      <c r="N138" s="8">
        <f t="shared" si="89"/>
        <v>0.81632708762333805</v>
      </c>
      <c r="O138" s="8">
        <f t="shared" si="89"/>
        <v>0.89301471060807425</v>
      </c>
      <c r="P138" s="8">
        <f t="shared" si="89"/>
        <v>0.86503792164069593</v>
      </c>
      <c r="Q138" s="8">
        <f t="shared" si="89"/>
        <v>0.87711095734301781</v>
      </c>
      <c r="R138" s="8">
        <f t="shared" si="89"/>
        <v>0.91012252149288597</v>
      </c>
      <c r="S138" s="8">
        <f t="shared" si="89"/>
        <v>0.89556885064009228</v>
      </c>
      <c r="T138" s="8">
        <f t="shared" si="89"/>
        <v>0.93005314832578578</v>
      </c>
      <c r="U138" s="8">
        <f t="shared" si="89"/>
        <v>0.8658851535167903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s="5" customFormat="1">
      <c r="A139" s="4" t="s">
        <v>77</v>
      </c>
      <c r="B139" s="8">
        <f>B104/(B104+B101+B100)</f>
        <v>0.61710686562587969</v>
      </c>
      <c r="C139" s="8">
        <f t="shared" ref="C139:U139" si="90">C104/(C104+C101+C100)</f>
        <v>0.63290393032629255</v>
      </c>
      <c r="D139" s="8">
        <f t="shared" si="90"/>
        <v>0.59717947410279493</v>
      </c>
      <c r="E139" s="8">
        <f t="shared" si="90"/>
        <v>0.59375573613183097</v>
      </c>
      <c r="F139" s="8">
        <f t="shared" si="90"/>
        <v>0.61082977427378171</v>
      </c>
      <c r="G139" s="8">
        <f t="shared" si="90"/>
        <v>0.5918837921524871</v>
      </c>
      <c r="H139" s="8">
        <f t="shared" si="90"/>
        <v>0.62096910833514751</v>
      </c>
      <c r="I139" s="8">
        <f t="shared" si="90"/>
        <v>0.61073560427802442</v>
      </c>
      <c r="J139" s="8">
        <f t="shared" si="90"/>
        <v>0.62383962478496535</v>
      </c>
      <c r="K139" s="8">
        <f t="shared" si="90"/>
        <v>0.57556414176976867</v>
      </c>
      <c r="L139" s="8">
        <f t="shared" si="90"/>
        <v>0.62520296729373503</v>
      </c>
      <c r="M139" s="8">
        <f t="shared" si="90"/>
        <v>0.60983224914669554</v>
      </c>
      <c r="N139" s="8">
        <f t="shared" si="90"/>
        <v>0.6022649560901302</v>
      </c>
      <c r="O139" s="8">
        <f t="shared" si="90"/>
        <v>0.59860723869272969</v>
      </c>
      <c r="P139" s="8">
        <f t="shared" si="90"/>
        <v>0.62127311927914164</v>
      </c>
      <c r="Q139" s="8">
        <f t="shared" si="90"/>
        <v>0.74427335633585712</v>
      </c>
      <c r="R139" s="8">
        <f t="shared" si="90"/>
        <v>0.59189142846121334</v>
      </c>
      <c r="S139" s="8">
        <f t="shared" si="90"/>
        <v>0.59249012633348253</v>
      </c>
      <c r="T139" s="8">
        <f t="shared" si="90"/>
        <v>0.5877076212430582</v>
      </c>
      <c r="U139" s="8">
        <f t="shared" si="90"/>
        <v>0.60946083945475815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1:34" s="5" customFormat="1">
      <c r="A140" s="4" t="s">
        <v>91</v>
      </c>
      <c r="B140" s="8">
        <f>B100/(B100+B101)</f>
        <v>0.60151851626608721</v>
      </c>
      <c r="C140" s="8">
        <f t="shared" ref="C140:U140" si="91">C100/(C100+C101)</f>
        <v>0.81589717713277388</v>
      </c>
      <c r="D140" s="8">
        <f t="shared" si="91"/>
        <v>0.7691661572993318</v>
      </c>
      <c r="E140" s="8">
        <f t="shared" si="91"/>
        <v>0.76446703592945808</v>
      </c>
      <c r="F140" s="8">
        <f t="shared" si="91"/>
        <v>0.7482855298255765</v>
      </c>
      <c r="G140" s="8">
        <f t="shared" si="91"/>
        <v>0.82320635259433061</v>
      </c>
      <c r="H140" s="8">
        <f t="shared" si="91"/>
        <v>0.78014866433276797</v>
      </c>
      <c r="I140" s="8">
        <f t="shared" si="91"/>
        <v>0.76050861363621458</v>
      </c>
      <c r="J140" s="8">
        <f t="shared" si="91"/>
        <v>0.72121367804523639</v>
      </c>
      <c r="K140" s="8">
        <f t="shared" si="91"/>
        <v>0.5976946372353058</v>
      </c>
      <c r="L140" s="8">
        <f t="shared" si="91"/>
        <v>0.80871460486638125</v>
      </c>
      <c r="M140" s="8">
        <f t="shared" si="91"/>
        <v>0.7804729193532618</v>
      </c>
      <c r="N140" s="8">
        <f t="shared" si="91"/>
        <v>0.65929803324227476</v>
      </c>
      <c r="O140" s="8">
        <f t="shared" si="91"/>
        <v>0.82133565942429521</v>
      </c>
      <c r="P140" s="8">
        <f t="shared" si="91"/>
        <v>0.74406301859455504</v>
      </c>
      <c r="Q140" s="8">
        <f t="shared" si="91"/>
        <v>0.59223014375433736</v>
      </c>
      <c r="R140" s="8">
        <f t="shared" si="91"/>
        <v>0.8567754874446426</v>
      </c>
      <c r="S140" s="8">
        <f t="shared" si="91"/>
        <v>0.83045926575576701</v>
      </c>
      <c r="T140" s="8">
        <f t="shared" si="91"/>
        <v>0.89279465963783822</v>
      </c>
      <c r="U140" s="8">
        <f t="shared" si="91"/>
        <v>0.75828824001311124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1:34" s="5" customFormat="1">
      <c r="A141" s="4" t="s">
        <v>92</v>
      </c>
      <c r="B141" s="8">
        <f>B106</f>
        <v>0.38251896093843518</v>
      </c>
      <c r="C141" s="8">
        <f t="shared" ref="C141:U141" si="92">C106</f>
        <v>0.39070393073805332</v>
      </c>
      <c r="D141" s="8">
        <f t="shared" si="92"/>
        <v>0.42018024978440771</v>
      </c>
      <c r="E141" s="8">
        <f t="shared" si="92"/>
        <v>0.39383115544927538</v>
      </c>
      <c r="F141" s="8">
        <f t="shared" si="92"/>
        <v>0.38903989057408855</v>
      </c>
      <c r="G141" s="8">
        <f t="shared" si="92"/>
        <v>0.41095333688297603</v>
      </c>
      <c r="H141" s="8">
        <f t="shared" si="92"/>
        <v>0.38322927194721002</v>
      </c>
      <c r="I141" s="8">
        <f t="shared" si="92"/>
        <v>0.39177363499433754</v>
      </c>
      <c r="J141" s="8">
        <f t="shared" si="92"/>
        <v>0.39298568727118754</v>
      </c>
      <c r="K141" s="8">
        <f t="shared" si="92"/>
        <v>0.38067308076574757</v>
      </c>
      <c r="L141" s="8">
        <f t="shared" si="92"/>
        <v>0.42337136920266</v>
      </c>
      <c r="M141" s="8">
        <f t="shared" si="92"/>
        <v>0.40587833812336171</v>
      </c>
      <c r="N141" s="8">
        <f t="shared" si="92"/>
        <v>0.45579966120025744</v>
      </c>
      <c r="O141" s="8">
        <f t="shared" si="92"/>
        <v>0.41979657617571681</v>
      </c>
      <c r="P141" s="8">
        <f t="shared" si="92"/>
        <v>0.39152250600263333</v>
      </c>
      <c r="Q141" s="8">
        <f t="shared" si="92"/>
        <v>0.2051974636581376</v>
      </c>
      <c r="R141" s="8">
        <f t="shared" si="92"/>
        <v>0.47098971493138903</v>
      </c>
      <c r="S141" s="8">
        <f t="shared" si="92"/>
        <v>0.4430284428337139</v>
      </c>
      <c r="T141" s="8">
        <f t="shared" si="92"/>
        <v>0.45094757421649834</v>
      </c>
      <c r="U141" s="8">
        <f t="shared" si="92"/>
        <v>0.39531522017922532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1:34" s="5" customFormat="1">
      <c r="A142" s="4" t="s">
        <v>93</v>
      </c>
      <c r="B142" s="8">
        <f t="shared" ref="B142:U142" si="93">B106-B141</f>
        <v>0</v>
      </c>
      <c r="C142" s="8">
        <f t="shared" si="93"/>
        <v>0</v>
      </c>
      <c r="D142" s="8">
        <f t="shared" si="93"/>
        <v>0</v>
      </c>
      <c r="E142" s="8">
        <f t="shared" si="93"/>
        <v>0</v>
      </c>
      <c r="F142" s="8">
        <f t="shared" si="93"/>
        <v>0</v>
      </c>
      <c r="G142" s="8">
        <f t="shared" si="93"/>
        <v>0</v>
      </c>
      <c r="H142" s="8">
        <f t="shared" si="93"/>
        <v>0</v>
      </c>
      <c r="I142" s="8">
        <f t="shared" si="93"/>
        <v>0</v>
      </c>
      <c r="J142" s="8">
        <f t="shared" si="93"/>
        <v>0</v>
      </c>
      <c r="K142" s="8">
        <f t="shared" si="93"/>
        <v>0</v>
      </c>
      <c r="L142" s="8">
        <f t="shared" si="93"/>
        <v>0</v>
      </c>
      <c r="M142" s="8">
        <f t="shared" si="93"/>
        <v>0</v>
      </c>
      <c r="N142" s="8">
        <f t="shared" si="93"/>
        <v>0</v>
      </c>
      <c r="O142" s="8">
        <f t="shared" si="93"/>
        <v>0</v>
      </c>
      <c r="P142" s="8">
        <f t="shared" si="93"/>
        <v>0</v>
      </c>
      <c r="Q142" s="8">
        <f t="shared" si="93"/>
        <v>0</v>
      </c>
      <c r="R142" s="8">
        <f t="shared" si="93"/>
        <v>0</v>
      </c>
      <c r="S142" s="8">
        <f t="shared" si="93"/>
        <v>0</v>
      </c>
      <c r="T142" s="8">
        <f t="shared" si="93"/>
        <v>0</v>
      </c>
      <c r="U142" s="8">
        <f t="shared" si="93"/>
        <v>0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1:34" s="5" customFormat="1">
      <c r="A143" s="4" t="s">
        <v>159</v>
      </c>
      <c r="B143" s="8">
        <f>B142+B107</f>
        <v>4.474506296180436E-2</v>
      </c>
      <c r="C143" s="8">
        <f t="shared" ref="C143:U143" si="94">C142+C107</f>
        <v>2.5707655026545675E-2</v>
      </c>
      <c r="D143" s="8">
        <f t="shared" si="94"/>
        <v>4.943529552014899E-2</v>
      </c>
      <c r="E143" s="8">
        <f t="shared" si="94"/>
        <v>4.6606872483650634E-2</v>
      </c>
      <c r="F143" s="8">
        <f t="shared" si="94"/>
        <v>6.2614214125551584E-2</v>
      </c>
      <c r="G143" s="8">
        <f t="shared" si="94"/>
        <v>4.7825906155212969E-2</v>
      </c>
      <c r="H143" s="8">
        <f t="shared" si="94"/>
        <v>3.8652010120606213E-2</v>
      </c>
      <c r="I143" s="8">
        <f t="shared" si="94"/>
        <v>4.2049284698095019E-2</v>
      </c>
      <c r="J143" s="8">
        <f t="shared" si="94"/>
        <v>2.9342173878957097E-2</v>
      </c>
      <c r="K143" s="8">
        <f t="shared" si="94"/>
        <v>5.2425297493754783E-2</v>
      </c>
      <c r="L143" s="8">
        <f t="shared" si="94"/>
        <v>2.5490172410451262E-2</v>
      </c>
      <c r="M143" s="8">
        <f t="shared" si="94"/>
        <v>4.0519607978502716E-2</v>
      </c>
      <c r="N143" s="8">
        <f t="shared" si="94"/>
        <v>4.5998226265279385E-2</v>
      </c>
      <c r="O143" s="8">
        <f t="shared" si="94"/>
        <v>4.5731625301463838E-2</v>
      </c>
      <c r="P143" s="8">
        <f t="shared" si="94"/>
        <v>0.13627468549763308</v>
      </c>
      <c r="Q143" s="8">
        <f t="shared" si="94"/>
        <v>4.7438210679394875E-2</v>
      </c>
      <c r="R143" s="8">
        <f t="shared" si="94"/>
        <v>0.18371508998416278</v>
      </c>
      <c r="S143" s="8">
        <f t="shared" si="94"/>
        <v>0.1893855377675473</v>
      </c>
      <c r="T143" s="8">
        <f t="shared" si="94"/>
        <v>0.17432055860125914</v>
      </c>
      <c r="U143" s="8">
        <f t="shared" si="94"/>
        <v>4.4695727082821886E-2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1:34" s="5" customFormat="1">
      <c r="A144" s="4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1:34" s="5" customFormat="1">
      <c r="A145" s="4" t="s">
        <v>237</v>
      </c>
      <c r="B145" s="8">
        <f>B111</f>
        <v>15.044745062961804</v>
      </c>
      <c r="C145" s="8">
        <f t="shared" ref="C145:U145" si="95">C111</f>
        <v>15.025707655026547</v>
      </c>
      <c r="D145" s="8">
        <f t="shared" si="95"/>
        <v>15.049435295520146</v>
      </c>
      <c r="E145" s="8">
        <f t="shared" si="95"/>
        <v>15.046606872483649</v>
      </c>
      <c r="F145" s="8">
        <f t="shared" si="95"/>
        <v>15.062614214125546</v>
      </c>
      <c r="G145" s="8">
        <f t="shared" si="95"/>
        <v>15.047825906155213</v>
      </c>
      <c r="H145" s="8">
        <f t="shared" si="95"/>
        <v>15.038652010120606</v>
      </c>
      <c r="I145" s="8">
        <f t="shared" si="95"/>
        <v>15.042049284698091</v>
      </c>
      <c r="J145" s="8">
        <f t="shared" si="95"/>
        <v>15.029342173878955</v>
      </c>
      <c r="K145" s="8">
        <f t="shared" si="95"/>
        <v>15.052425297493752</v>
      </c>
      <c r="L145" s="8">
        <f t="shared" si="95"/>
        <v>15.025490172410452</v>
      </c>
      <c r="M145" s="8">
        <f t="shared" si="95"/>
        <v>15.040519607978505</v>
      </c>
      <c r="N145" s="8">
        <f t="shared" si="95"/>
        <v>15.045998226265279</v>
      </c>
      <c r="O145" s="8">
        <f t="shared" si="95"/>
        <v>15.045731625301464</v>
      </c>
      <c r="P145" s="8">
        <f t="shared" si="95"/>
        <v>15.136274685497632</v>
      </c>
      <c r="Q145" s="8">
        <f t="shared" si="95"/>
        <v>15.047438210679392</v>
      </c>
      <c r="R145" s="8">
        <f t="shared" si="95"/>
        <v>15.183715089984162</v>
      </c>
      <c r="S145" s="8">
        <f t="shared" si="95"/>
        <v>15.189385537767544</v>
      </c>
      <c r="T145" s="8">
        <f t="shared" si="95"/>
        <v>15.174320558601261</v>
      </c>
      <c r="U145" s="8">
        <f t="shared" si="95"/>
        <v>15.044695727082823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1:34" s="5" customFormat="1">
      <c r="A146" s="4" t="s">
        <v>128</v>
      </c>
      <c r="B146" s="8">
        <f>B92-B100</f>
        <v>0</v>
      </c>
      <c r="C146" s="8">
        <f t="shared" ref="C146:U146" si="96">C92-C100</f>
        <v>0</v>
      </c>
      <c r="D146" s="8">
        <f t="shared" si="96"/>
        <v>0</v>
      </c>
      <c r="E146" s="8">
        <f t="shared" si="96"/>
        <v>0</v>
      </c>
      <c r="F146" s="8">
        <f t="shared" si="96"/>
        <v>0</v>
      </c>
      <c r="G146" s="8">
        <f t="shared" si="96"/>
        <v>0</v>
      </c>
      <c r="H146" s="8">
        <f t="shared" si="96"/>
        <v>0</v>
      </c>
      <c r="I146" s="8">
        <f t="shared" si="96"/>
        <v>0</v>
      </c>
      <c r="J146" s="8">
        <f t="shared" si="96"/>
        <v>0</v>
      </c>
      <c r="K146" s="8">
        <f t="shared" si="96"/>
        <v>0</v>
      </c>
      <c r="L146" s="8">
        <f t="shared" si="96"/>
        <v>0</v>
      </c>
      <c r="M146" s="8">
        <f t="shared" si="96"/>
        <v>0</v>
      </c>
      <c r="N146" s="8">
        <f t="shared" si="96"/>
        <v>0</v>
      </c>
      <c r="O146" s="8">
        <f t="shared" si="96"/>
        <v>0</v>
      </c>
      <c r="P146" s="8">
        <f t="shared" si="96"/>
        <v>0</v>
      </c>
      <c r="Q146" s="8">
        <f t="shared" si="96"/>
        <v>0</v>
      </c>
      <c r="R146" s="8">
        <f t="shared" si="96"/>
        <v>0</v>
      </c>
      <c r="S146" s="8">
        <f t="shared" si="96"/>
        <v>0</v>
      </c>
      <c r="T146" s="8">
        <f t="shared" si="96"/>
        <v>0</v>
      </c>
      <c r="U146" s="8">
        <f t="shared" si="96"/>
        <v>0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1:34" s="5" customFormat="1">
      <c r="A147" s="4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s="5" customFormat="1">
      <c r="A148" s="4" t="s">
        <v>94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1:34" s="5" customFormat="1">
      <c r="A149" s="4" t="s">
        <v>21</v>
      </c>
      <c r="B149" s="8">
        <f t="shared" ref="B149:U149" si="97">IF(B111-15&lt;0, 0, IF(B111-15&gt;B106+B107, B106+B107,  B111-15))</f>
        <v>4.4745062961803583E-2</v>
      </c>
      <c r="C149" s="8">
        <f>IF(C111-15&lt;0, 0, IF(C111-15&gt;C106+C107, C106+C107,  C111-15))</f>
        <v>2.5707655026547371E-2</v>
      </c>
      <c r="D149" s="8">
        <f t="shared" si="97"/>
        <v>4.9435295520146028E-2</v>
      </c>
      <c r="E149" s="8">
        <f t="shared" si="97"/>
        <v>4.6606872483648587E-2</v>
      </c>
      <c r="F149" s="8">
        <f t="shared" si="97"/>
        <v>6.2614214125545686E-2</v>
      </c>
      <c r="G149" s="8">
        <f t="shared" si="97"/>
        <v>4.782590615521265E-2</v>
      </c>
      <c r="H149" s="8">
        <f t="shared" si="97"/>
        <v>3.8652010120605595E-2</v>
      </c>
      <c r="I149" s="8">
        <f t="shared" si="97"/>
        <v>4.2049284698091327E-2</v>
      </c>
      <c r="J149" s="8">
        <f t="shared" si="97"/>
        <v>2.9342173878955435E-2</v>
      </c>
      <c r="K149" s="8">
        <f t="shared" si="97"/>
        <v>5.2425297493751799E-2</v>
      </c>
      <c r="L149" s="8">
        <f t="shared" si="97"/>
        <v>2.5490172410451706E-2</v>
      </c>
      <c r="M149" s="8">
        <f t="shared" si="97"/>
        <v>4.0519607978504624E-2</v>
      </c>
      <c r="N149" s="8">
        <f t="shared" si="97"/>
        <v>4.5998226265279385E-2</v>
      </c>
      <c r="O149" s="8">
        <f t="shared" si="97"/>
        <v>4.5731625301463907E-2</v>
      </c>
      <c r="P149" s="8">
        <f t="shared" si="97"/>
        <v>0.13627468549763222</v>
      </c>
      <c r="Q149" s="8">
        <f t="shared" si="97"/>
        <v>4.7438210679391801E-2</v>
      </c>
      <c r="R149" s="8">
        <f t="shared" si="97"/>
        <v>0.18371508998416175</v>
      </c>
      <c r="S149" s="8">
        <f t="shared" si="97"/>
        <v>0.18938553776754397</v>
      </c>
      <c r="T149" s="8">
        <f t="shared" si="97"/>
        <v>0.17432055860126106</v>
      </c>
      <c r="U149" s="8">
        <f t="shared" si="97"/>
        <v>4.4695727082823211E-2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1:34" s="5" customFormat="1">
      <c r="A150" s="4" t="s">
        <v>211</v>
      </c>
      <c r="B150" s="8">
        <f t="shared" ref="B150:U150" si="98">IF(B182&gt;2, IF(B105&gt;2, 0, 2-B105), B181)</f>
        <v>0.35743610592714736</v>
      </c>
      <c r="C150" s="8">
        <f t="shared" si="98"/>
        <v>0.37603860429862035</v>
      </c>
      <c r="D150" s="8">
        <f t="shared" si="98"/>
        <v>0.37767174404028414</v>
      </c>
      <c r="E150" s="8">
        <f t="shared" si="98"/>
        <v>0.39383115544927744</v>
      </c>
      <c r="F150" s="8">
        <f t="shared" si="98"/>
        <v>0.31873387254775087</v>
      </c>
      <c r="G150" s="8">
        <f t="shared" si="98"/>
        <v>0.30987010532884285</v>
      </c>
      <c r="H150" s="8">
        <f t="shared" si="98"/>
        <v>0.296479804614183</v>
      </c>
      <c r="I150" s="8">
        <f t="shared" si="98"/>
        <v>0.34014797546053943</v>
      </c>
      <c r="J150" s="8">
        <f t="shared" si="98"/>
        <v>0.39298568727118921</v>
      </c>
      <c r="K150" s="8">
        <f t="shared" si="98"/>
        <v>0.31216343393412527</v>
      </c>
      <c r="L150" s="8">
        <f t="shared" si="98"/>
        <v>0.39742293876375245</v>
      </c>
      <c r="M150" s="8">
        <f t="shared" si="98"/>
        <v>0.32782721746023258</v>
      </c>
      <c r="N150" s="8">
        <f t="shared" si="98"/>
        <v>0.3944289593998922</v>
      </c>
      <c r="O150" s="8">
        <f t="shared" si="98"/>
        <v>0.33306268645266979</v>
      </c>
      <c r="P150" s="8">
        <f t="shared" si="98"/>
        <v>9.8194796509774696E-2</v>
      </c>
      <c r="Q150" s="8">
        <f t="shared" si="98"/>
        <v>6.3065531471958591E-2</v>
      </c>
      <c r="R150" s="8">
        <f t="shared" si="98"/>
        <v>0.13752503958745632</v>
      </c>
      <c r="S150" s="8">
        <f t="shared" si="98"/>
        <v>0.12403310901997</v>
      </c>
      <c r="T150" s="8">
        <f t="shared" si="98"/>
        <v>0.12007325016048465</v>
      </c>
      <c r="U150" s="8">
        <f t="shared" si="98"/>
        <v>0.35120089109948238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1:34" s="5" customFormat="1">
      <c r="A151" s="4" t="s">
        <v>12</v>
      </c>
      <c r="B151" s="8">
        <f t="shared" ref="B151:U151" si="99">IF(B137+B98+2*B97+B185&gt;B184, B184, B137+B98+2*B97+B185)</f>
        <v>1.1676418865315261</v>
      </c>
      <c r="C151" s="8">
        <f t="shared" si="99"/>
        <v>1.4646673746780587</v>
      </c>
      <c r="D151" s="8">
        <f t="shared" si="99"/>
        <v>1.4942631801804138</v>
      </c>
      <c r="E151" s="8">
        <f t="shared" si="99"/>
        <v>1.5183772789186829</v>
      </c>
      <c r="F151" s="8">
        <f t="shared" si="99"/>
        <v>1.4478340918174659</v>
      </c>
      <c r="G151" s="8">
        <f t="shared" si="99"/>
        <v>1.5739792537954447</v>
      </c>
      <c r="H151" s="8">
        <f t="shared" si="99"/>
        <v>1.4739569665170809</v>
      </c>
      <c r="I151" s="8">
        <f t="shared" si="99"/>
        <v>1.4610313216184947</v>
      </c>
      <c r="J151" s="8">
        <f t="shared" si="99"/>
        <v>1.3645021683872418</v>
      </c>
      <c r="K151" s="8">
        <f t="shared" si="99"/>
        <v>1.2210285841622497</v>
      </c>
      <c r="L151" s="8">
        <f t="shared" si="99"/>
        <v>1.4614331786111903</v>
      </c>
      <c r="M151" s="8">
        <f t="shared" si="99"/>
        <v>1.5009689182460839</v>
      </c>
      <c r="N151" s="8">
        <f t="shared" si="99"/>
        <v>1.3592526113933214</v>
      </c>
      <c r="O151" s="8">
        <f t="shared" si="99"/>
        <v>1.5999442910913233</v>
      </c>
      <c r="P151" s="8">
        <f t="shared" si="99"/>
        <v>1.322022137775634</v>
      </c>
      <c r="Q151" s="8">
        <f t="shared" si="99"/>
        <v>0.64484282178729302</v>
      </c>
      <c r="R151" s="8">
        <f t="shared" si="99"/>
        <v>1.5737765461090953</v>
      </c>
      <c r="S151" s="8">
        <f t="shared" si="99"/>
        <v>1.5676096586790251</v>
      </c>
      <c r="T151" s="8">
        <f t="shared" si="99"/>
        <v>1.6309367402806618</v>
      </c>
      <c r="U151" s="8">
        <f t="shared" si="99"/>
        <v>1.4506140313774427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1:34" s="5" customFormat="1">
      <c r="A152" s="4" t="s">
        <v>251</v>
      </c>
      <c r="B152" s="8">
        <f t="shared" ref="B152:U152" si="100">B98/2</f>
        <v>2.888733596459163E-3</v>
      </c>
      <c r="C152" s="8">
        <f t="shared" si="100"/>
        <v>2.2761350437945703E-3</v>
      </c>
      <c r="D152" s="8">
        <f t="shared" si="100"/>
        <v>1.7021515768637291E-3</v>
      </c>
      <c r="E152" s="8">
        <f t="shared" si="100"/>
        <v>2.8885744321102921E-3</v>
      </c>
      <c r="F152" s="8">
        <f t="shared" si="100"/>
        <v>1.7120595952364219E-3</v>
      </c>
      <c r="G152" s="8">
        <f t="shared" si="100"/>
        <v>1.1400488510896363E-3</v>
      </c>
      <c r="H152" s="8">
        <f t="shared" si="100"/>
        <v>3.9925874388023327E-3</v>
      </c>
      <c r="I152" s="8">
        <f t="shared" si="100"/>
        <v>2.8327248143512856E-3</v>
      </c>
      <c r="J152" s="8">
        <f t="shared" si="100"/>
        <v>3.4097862905983762E-3</v>
      </c>
      <c r="K152" s="8">
        <f t="shared" si="100"/>
        <v>6.0170101717556441E-4</v>
      </c>
      <c r="L152" s="8">
        <f t="shared" si="100"/>
        <v>2.8210991354463894E-3</v>
      </c>
      <c r="M152" s="8">
        <f t="shared" si="100"/>
        <v>2.2830012627408761E-3</v>
      </c>
      <c r="N152" s="8">
        <f t="shared" si="100"/>
        <v>3.4210225204599105E-3</v>
      </c>
      <c r="O152" s="8">
        <f t="shared" si="100"/>
        <v>2.2674630850803568E-3</v>
      </c>
      <c r="P152" s="8">
        <f t="shared" si="100"/>
        <v>5.2064109416037349E-3</v>
      </c>
      <c r="Q152" s="8">
        <f t="shared" si="100"/>
        <v>1.130807169806178E-3</v>
      </c>
      <c r="R152" s="8">
        <f t="shared" si="100"/>
        <v>6.3256611864037282E-3</v>
      </c>
      <c r="S152" s="8">
        <f t="shared" si="100"/>
        <v>6.3291141871852112E-3</v>
      </c>
      <c r="T152" s="8">
        <f t="shared" si="100"/>
        <v>5.7467772196341405E-3</v>
      </c>
      <c r="U152" s="8">
        <f t="shared" si="100"/>
        <v>2.4274304743740374E-3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1:34" s="5" customFormat="1">
      <c r="A153" s="4" t="s">
        <v>252</v>
      </c>
      <c r="B153" s="8">
        <f t="shared" ref="B153:U153" si="101">B185/2</f>
        <v>0.50651958099819439</v>
      </c>
      <c r="C153" s="8">
        <f t="shared" si="101"/>
        <v>0.65998378565958404</v>
      </c>
      <c r="D153" s="8">
        <f t="shared" si="101"/>
        <v>0.66930748082128844</v>
      </c>
      <c r="E153" s="8">
        <f t="shared" si="101"/>
        <v>0.68246922212493999</v>
      </c>
      <c r="F153" s="8">
        <f t="shared" si="101"/>
        <v>0.62782745466953571</v>
      </c>
      <c r="G153" s="8">
        <f t="shared" si="101"/>
        <v>0.72711036606919066</v>
      </c>
      <c r="H153" s="8">
        <f t="shared" si="101"/>
        <v>0.63443070010783131</v>
      </c>
      <c r="I153" s="8">
        <f t="shared" si="101"/>
        <v>0.64302234726452667</v>
      </c>
      <c r="J153" s="8">
        <f t="shared" si="101"/>
        <v>0.59824555953212766</v>
      </c>
      <c r="K153" s="8">
        <f t="shared" si="101"/>
        <v>0.55497820702552403</v>
      </c>
      <c r="L153" s="8">
        <f t="shared" si="101"/>
        <v>0.66215288240301362</v>
      </c>
      <c r="M153" s="8">
        <f t="shared" si="101"/>
        <v>0.65443539120214567</v>
      </c>
      <c r="N153" s="8">
        <f t="shared" si="101"/>
        <v>0.55226718841439038</v>
      </c>
      <c r="O153" s="8">
        <f t="shared" si="101"/>
        <v>0.71158910919126939</v>
      </c>
      <c r="P153" s="8">
        <f t="shared" si="101"/>
        <v>0.6114236027139377</v>
      </c>
      <c r="Q153" s="8">
        <f t="shared" si="101"/>
        <v>0.35593906964957966</v>
      </c>
      <c r="R153" s="8">
        <f t="shared" si="101"/>
        <v>0.74677023153448374</v>
      </c>
      <c r="S153" s="8">
        <f t="shared" si="101"/>
        <v>0.72119563062735637</v>
      </c>
      <c r="T153" s="8">
        <f t="shared" si="101"/>
        <v>0.79664077917531628</v>
      </c>
      <c r="U153" s="8">
        <f t="shared" si="101"/>
        <v>0.64402011403355175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1:34" s="5" customFormat="1">
      <c r="A154" s="4" t="s">
        <v>253</v>
      </c>
      <c r="B154" s="8">
        <f t="shared" ref="B154:U154" si="102">B97</f>
        <v>4.8357148770360535E-2</v>
      </c>
      <c r="C154" s="8">
        <f t="shared" si="102"/>
        <v>5.9534847439895025E-2</v>
      </c>
      <c r="D154" s="8">
        <f t="shared" si="102"/>
        <v>6.1520853790823699E-2</v>
      </c>
      <c r="E154" s="8">
        <f t="shared" si="102"/>
        <v>4.2859656603363126E-2</v>
      </c>
      <c r="F154" s="8">
        <f t="shared" si="102"/>
        <v>6.7306938117292103E-2</v>
      </c>
      <c r="G154" s="8">
        <f t="shared" si="102"/>
        <v>6.2891504012135738E-2</v>
      </c>
      <c r="H154" s="8">
        <f t="shared" si="102"/>
        <v>6.5099577210103787E-2</v>
      </c>
      <c r="I154" s="8">
        <f t="shared" si="102"/>
        <v>6.574076283729488E-2</v>
      </c>
      <c r="J154" s="8">
        <f t="shared" si="102"/>
        <v>5.2971529329822499E-2</v>
      </c>
      <c r="K154" s="8">
        <f t="shared" si="102"/>
        <v>5.0362113070067861E-2</v>
      </c>
      <c r="L154" s="8">
        <f t="shared" si="102"/>
        <v>6.439766425168536E-2</v>
      </c>
      <c r="M154" s="8">
        <f t="shared" si="102"/>
        <v>6.8400177923888431E-2</v>
      </c>
      <c r="N154" s="8">
        <f t="shared" si="102"/>
        <v>6.8330681750670086E-2</v>
      </c>
      <c r="O154" s="8">
        <f t="shared" si="102"/>
        <v>8.5187887151047206E-2</v>
      </c>
      <c r="P154" s="8">
        <f t="shared" si="102"/>
        <v>0.1507603105098114</v>
      </c>
      <c r="Q154" s="8">
        <f t="shared" si="102"/>
        <v>8.6043697814556612E-3</v>
      </c>
      <c r="R154" s="8">
        <f t="shared" si="102"/>
        <v>0.17830822117740772</v>
      </c>
      <c r="S154" s="8">
        <f t="shared" si="102"/>
        <v>0.17402750420714436</v>
      </c>
      <c r="T154" s="8">
        <f t="shared" si="102"/>
        <v>0.17381690295169089</v>
      </c>
      <c r="U154" s="8">
        <f t="shared" si="102"/>
        <v>5.9214067396229635E-2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34" s="5" customFormat="1">
      <c r="A155" s="4" t="s">
        <v>57</v>
      </c>
      <c r="B155" s="8">
        <f t="shared" ref="B155:U155" si="103">B101/B187</f>
        <v>0.56265884662252597</v>
      </c>
      <c r="C155" s="8">
        <f t="shared" si="103"/>
        <v>0.20133645668219805</v>
      </c>
      <c r="D155" s="8">
        <f t="shared" si="103"/>
        <v>0.26141207141741352</v>
      </c>
      <c r="E155" s="8">
        <f t="shared" si="103"/>
        <v>0.27696590124124809</v>
      </c>
      <c r="F155" s="8">
        <f t="shared" si="103"/>
        <v>0.27822700427643127</v>
      </c>
      <c r="G155" s="8">
        <f t="shared" si="103"/>
        <v>0.18644779954990029</v>
      </c>
      <c r="H155" s="8">
        <f t="shared" si="103"/>
        <v>0.22911034771276145</v>
      </c>
      <c r="I155" s="8">
        <f t="shared" si="103"/>
        <v>0.26773266857753097</v>
      </c>
      <c r="J155" s="8">
        <f t="shared" si="103"/>
        <v>0.33895555582367154</v>
      </c>
      <c r="K155" s="8">
        <f t="shared" si="103"/>
        <v>0.57935954389995681</v>
      </c>
      <c r="L155" s="8">
        <f t="shared" si="103"/>
        <v>0.21059710093384204</v>
      </c>
      <c r="M155" s="8">
        <f t="shared" si="103"/>
        <v>0.23315213410074212</v>
      </c>
      <c r="N155" s="8">
        <f t="shared" si="103"/>
        <v>0.40178448294746694</v>
      </c>
      <c r="O155" s="8">
        <f t="shared" si="103"/>
        <v>0.18354572067628422</v>
      </c>
      <c r="P155" s="8">
        <f t="shared" si="103"/>
        <v>0.2603927715349737</v>
      </c>
      <c r="Q155" s="8">
        <f t="shared" si="103"/>
        <v>0.62282991739660576</v>
      </c>
      <c r="R155" s="8">
        <f t="shared" si="103"/>
        <v>0.13090664380732686</v>
      </c>
      <c r="S155" s="8">
        <f t="shared" si="103"/>
        <v>0.15608379927343038</v>
      </c>
      <c r="T155" s="8">
        <f t="shared" si="103"/>
        <v>9.7521458083263471E-2</v>
      </c>
      <c r="U155" s="8">
        <f t="shared" si="103"/>
        <v>0.27468226017312547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1:34" s="5" customFormat="1">
      <c r="A156" s="4" t="s">
        <v>58</v>
      </c>
      <c r="B156" s="8">
        <f t="shared" ref="B156:U156" si="104">B102/B187</f>
        <v>7.0574962436026553E-2</v>
      </c>
      <c r="C156" s="8">
        <f t="shared" si="104"/>
        <v>6.9230257286533328E-2</v>
      </c>
      <c r="D156" s="8">
        <f t="shared" si="104"/>
        <v>7.9897553892868345E-2</v>
      </c>
      <c r="E156" s="8">
        <f t="shared" si="104"/>
        <v>9.0490153328926112E-2</v>
      </c>
      <c r="F156" s="8">
        <f t="shared" si="104"/>
        <v>6.8461936209847002E-2</v>
      </c>
      <c r="G156" s="8">
        <f t="shared" si="104"/>
        <v>6.1247197657227186E-2</v>
      </c>
      <c r="H156" s="8">
        <f t="shared" si="104"/>
        <v>6.3425613595351343E-2</v>
      </c>
      <c r="I156" s="8">
        <f t="shared" si="104"/>
        <v>6.8211458449266668E-2</v>
      </c>
      <c r="J156" s="8">
        <f t="shared" si="104"/>
        <v>7.942114968830849E-2</v>
      </c>
      <c r="K156" s="8">
        <f t="shared" si="104"/>
        <v>8.8977666777920697E-2</v>
      </c>
      <c r="L156" s="8">
        <f t="shared" si="104"/>
        <v>7.3149763914221552E-2</v>
      </c>
      <c r="M156" s="8">
        <f t="shared" si="104"/>
        <v>5.9633970636235746E-2</v>
      </c>
      <c r="N156" s="8">
        <f t="shared" si="104"/>
        <v>5.9336143899755535E-2</v>
      </c>
      <c r="O156" s="8">
        <f t="shared" si="104"/>
        <v>5.0406962789647632E-2</v>
      </c>
      <c r="P156" s="8">
        <f t="shared" si="104"/>
        <v>1.6880935229524132E-2</v>
      </c>
      <c r="Q156" s="8">
        <f t="shared" si="104"/>
        <v>3.5405446564458778E-2</v>
      </c>
      <c r="R156" s="8">
        <f t="shared" si="104"/>
        <v>1.1628524309087953E-2</v>
      </c>
      <c r="S156" s="8">
        <f t="shared" si="104"/>
        <v>1.3069041751024862E-2</v>
      </c>
      <c r="T156" s="8">
        <f t="shared" si="104"/>
        <v>1.3180471908810047E-2</v>
      </c>
      <c r="U156" s="8">
        <f t="shared" si="104"/>
        <v>7.1536430642865509E-2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4" s="5" customFormat="1">
      <c r="A157" s="4" t="s">
        <v>59</v>
      </c>
      <c r="B157" s="8">
        <f t="shared" ref="B157:U157" si="105">B106/((B107+B150)+B106)</f>
        <v>0.48747151478435352</v>
      </c>
      <c r="C157" s="8">
        <f t="shared" si="105"/>
        <v>0.49303279327484817</v>
      </c>
      <c r="D157" s="8">
        <f t="shared" si="105"/>
        <v>0.49591237242483505</v>
      </c>
      <c r="E157" s="8">
        <f t="shared" si="105"/>
        <v>0.47206724555334517</v>
      </c>
      <c r="F157" s="8">
        <f t="shared" si="105"/>
        <v>0.50499216247394529</v>
      </c>
      <c r="G157" s="8">
        <f t="shared" si="105"/>
        <v>0.53464344665878116</v>
      </c>
      <c r="H157" s="8">
        <f t="shared" si="105"/>
        <v>0.53347721508313861</v>
      </c>
      <c r="I157" s="8">
        <f t="shared" si="105"/>
        <v>0.50618652128631425</v>
      </c>
      <c r="J157" s="8">
        <f t="shared" si="105"/>
        <v>0.48200558917745628</v>
      </c>
      <c r="K157" s="8">
        <f t="shared" si="105"/>
        <v>0.5107910730663392</v>
      </c>
      <c r="L157" s="8">
        <f t="shared" si="105"/>
        <v>0.50027074703547225</v>
      </c>
      <c r="M157" s="8">
        <f t="shared" si="105"/>
        <v>0.52423811214811811</v>
      </c>
      <c r="N157" s="8">
        <f t="shared" si="105"/>
        <v>0.50857621906153072</v>
      </c>
      <c r="O157" s="8">
        <f t="shared" si="105"/>
        <v>0.52567163302343167</v>
      </c>
      <c r="P157" s="8">
        <f t="shared" si="105"/>
        <v>0.62544331796839736</v>
      </c>
      <c r="Q157" s="8">
        <f t="shared" si="105"/>
        <v>0.64997364559311621</v>
      </c>
      <c r="R157" s="8">
        <f t="shared" si="105"/>
        <v>0.59451145169474962</v>
      </c>
      <c r="S157" s="8">
        <f t="shared" si="105"/>
        <v>0.58567010027832545</v>
      </c>
      <c r="T157" s="8">
        <f t="shared" si="105"/>
        <v>0.60502151700553342</v>
      </c>
      <c r="U157" s="8">
        <f t="shared" si="105"/>
        <v>0.49963259017693479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1:34" s="5" customFormat="1">
      <c r="A158" s="4" t="s">
        <v>60</v>
      </c>
      <c r="B158" s="8">
        <f t="shared" ref="B158:U158" si="106">IF(2-B150-B105&lt;0, 0, 2-B150-B105)</f>
        <v>0</v>
      </c>
      <c r="C158" s="8">
        <f t="shared" si="106"/>
        <v>0</v>
      </c>
      <c r="D158" s="8">
        <f t="shared" si="106"/>
        <v>0</v>
      </c>
      <c r="E158" s="8">
        <f t="shared" si="106"/>
        <v>4.041727965775177E-2</v>
      </c>
      <c r="F158" s="8">
        <f t="shared" si="106"/>
        <v>0</v>
      </c>
      <c r="G158" s="8">
        <f t="shared" si="106"/>
        <v>0</v>
      </c>
      <c r="H158" s="8">
        <f t="shared" si="106"/>
        <v>0</v>
      </c>
      <c r="I158" s="8">
        <f t="shared" si="106"/>
        <v>0</v>
      </c>
      <c r="J158" s="8">
        <f t="shared" si="106"/>
        <v>2.6739687382151711E-2</v>
      </c>
      <c r="K158" s="8">
        <f t="shared" si="106"/>
        <v>0</v>
      </c>
      <c r="L158" s="8">
        <f t="shared" si="106"/>
        <v>0</v>
      </c>
      <c r="M158" s="8">
        <f t="shared" si="106"/>
        <v>0</v>
      </c>
      <c r="N158" s="8">
        <f t="shared" si="106"/>
        <v>0</v>
      </c>
      <c r="O158" s="8">
        <f t="shared" si="106"/>
        <v>0</v>
      </c>
      <c r="P158" s="8">
        <f t="shared" si="106"/>
        <v>0</v>
      </c>
      <c r="Q158" s="8">
        <f t="shared" si="106"/>
        <v>0</v>
      </c>
      <c r="R158" s="8">
        <f t="shared" si="106"/>
        <v>0</v>
      </c>
      <c r="S158" s="8">
        <f t="shared" si="106"/>
        <v>0</v>
      </c>
      <c r="T158" s="8">
        <f t="shared" si="106"/>
        <v>0</v>
      </c>
      <c r="U158" s="8">
        <f t="shared" si="106"/>
        <v>0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1:34" s="26" customFormat="1">
      <c r="A159" s="24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</row>
    <row r="160" spans="1:34" s="5" customFormat="1">
      <c r="A160" s="4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1:34" s="5" customFormat="1">
      <c r="A161" s="4" t="s">
        <v>95</v>
      </c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34" s="5" customFormat="1">
      <c r="A162" s="4" t="s">
        <v>20</v>
      </c>
      <c r="B162" s="41" t="str">
        <f>IF(8-B96&gt;B99, "X", " ")</f>
        <v xml:space="preserve"> </v>
      </c>
      <c r="C162" s="41" t="str">
        <f t="shared" ref="C162:U162" si="107">IF(8-C96&gt;C99, "X", " ")</f>
        <v xml:space="preserve"> </v>
      </c>
      <c r="D162" s="41" t="str">
        <f t="shared" si="107"/>
        <v xml:space="preserve"> </v>
      </c>
      <c r="E162" s="41" t="str">
        <f t="shared" si="107"/>
        <v xml:space="preserve"> </v>
      </c>
      <c r="F162" s="41" t="str">
        <f t="shared" si="107"/>
        <v xml:space="preserve"> </v>
      </c>
      <c r="G162" s="41" t="str">
        <f t="shared" si="107"/>
        <v xml:space="preserve"> </v>
      </c>
      <c r="H162" s="41" t="str">
        <f t="shared" si="107"/>
        <v xml:space="preserve"> </v>
      </c>
      <c r="I162" s="41" t="str">
        <f t="shared" si="107"/>
        <v xml:space="preserve"> </v>
      </c>
      <c r="J162" s="41" t="str">
        <f t="shared" si="107"/>
        <v xml:space="preserve"> </v>
      </c>
      <c r="K162" s="41" t="str">
        <f t="shared" si="107"/>
        <v xml:space="preserve"> </v>
      </c>
      <c r="L162" s="41" t="str">
        <f t="shared" si="107"/>
        <v xml:space="preserve"> </v>
      </c>
      <c r="M162" s="41" t="str">
        <f t="shared" si="107"/>
        <v xml:space="preserve"> </v>
      </c>
      <c r="N162" s="41" t="str">
        <f t="shared" si="107"/>
        <v xml:space="preserve"> </v>
      </c>
      <c r="O162" s="41" t="str">
        <f t="shared" si="107"/>
        <v xml:space="preserve"> </v>
      </c>
      <c r="P162" s="41" t="str">
        <f t="shared" si="107"/>
        <v xml:space="preserve"> </v>
      </c>
      <c r="Q162" s="41" t="str">
        <f t="shared" si="107"/>
        <v xml:space="preserve"> </v>
      </c>
      <c r="R162" s="41" t="str">
        <f t="shared" si="107"/>
        <v xml:space="preserve"> </v>
      </c>
      <c r="S162" s="41" t="str">
        <f t="shared" si="107"/>
        <v xml:space="preserve"> </v>
      </c>
      <c r="T162" s="41" t="str">
        <f t="shared" si="107"/>
        <v xml:space="preserve"> </v>
      </c>
      <c r="U162" s="41" t="str">
        <f t="shared" si="107"/>
        <v xml:space="preserve"> 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spans="1:34" s="5" customFormat="1">
      <c r="A163" s="4" t="s">
        <v>22</v>
      </c>
      <c r="B163" s="41" t="str">
        <f>IF(B111-15&lt;0, "X", " ")</f>
        <v xml:space="preserve"> </v>
      </c>
      <c r="C163" s="41" t="str">
        <f t="shared" ref="C163:U163" si="108">IF(C111-15&lt;0, "X", " ")</f>
        <v xml:space="preserve"> </v>
      </c>
      <c r="D163" s="41" t="str">
        <f t="shared" si="108"/>
        <v xml:space="preserve"> </v>
      </c>
      <c r="E163" s="41" t="str">
        <f t="shared" si="108"/>
        <v xml:space="preserve"> </v>
      </c>
      <c r="F163" s="41" t="str">
        <f t="shared" si="108"/>
        <v xml:space="preserve"> </v>
      </c>
      <c r="G163" s="41" t="str">
        <f t="shared" si="108"/>
        <v xml:space="preserve"> </v>
      </c>
      <c r="H163" s="41" t="str">
        <f t="shared" si="108"/>
        <v xml:space="preserve"> </v>
      </c>
      <c r="I163" s="41" t="str">
        <f t="shared" si="108"/>
        <v xml:space="preserve"> </v>
      </c>
      <c r="J163" s="41" t="str">
        <f t="shared" si="108"/>
        <v xml:space="preserve"> </v>
      </c>
      <c r="K163" s="41" t="str">
        <f t="shared" si="108"/>
        <v xml:space="preserve"> </v>
      </c>
      <c r="L163" s="41" t="str">
        <f t="shared" si="108"/>
        <v xml:space="preserve"> </v>
      </c>
      <c r="M163" s="41" t="str">
        <f t="shared" si="108"/>
        <v xml:space="preserve"> </v>
      </c>
      <c r="N163" s="41" t="str">
        <f t="shared" si="108"/>
        <v xml:space="preserve"> </v>
      </c>
      <c r="O163" s="41" t="str">
        <f t="shared" si="108"/>
        <v xml:space="preserve"> </v>
      </c>
      <c r="P163" s="41" t="str">
        <f t="shared" si="108"/>
        <v xml:space="preserve"> </v>
      </c>
      <c r="Q163" s="41" t="str">
        <f t="shared" si="108"/>
        <v xml:space="preserve"> </v>
      </c>
      <c r="R163" s="41" t="str">
        <f t="shared" si="108"/>
        <v xml:space="preserve"> </v>
      </c>
      <c r="S163" s="41" t="str">
        <f t="shared" si="108"/>
        <v xml:space="preserve"> </v>
      </c>
      <c r="T163" s="41" t="str">
        <f t="shared" si="108"/>
        <v xml:space="preserve"> </v>
      </c>
      <c r="U163" s="41" t="str">
        <f t="shared" si="108"/>
        <v xml:space="preserve"> 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spans="1:34" s="5" customFormat="1">
      <c r="A164" s="4" t="s">
        <v>209</v>
      </c>
      <c r="B164" s="41" t="str">
        <f>IF(B111-15&gt;B106+B107+0.001, "X", " ")</f>
        <v xml:space="preserve"> </v>
      </c>
      <c r="C164" s="41" t="str">
        <f t="shared" ref="C164:U164" si="109">IF(C111-15&gt;C106+C107+0.001, "X", " ")</f>
        <v xml:space="preserve"> </v>
      </c>
      <c r="D164" s="41" t="str">
        <f t="shared" si="109"/>
        <v xml:space="preserve"> </v>
      </c>
      <c r="E164" s="41" t="str">
        <f t="shared" si="109"/>
        <v xml:space="preserve"> </v>
      </c>
      <c r="F164" s="41" t="str">
        <f t="shared" si="109"/>
        <v xml:space="preserve"> </v>
      </c>
      <c r="G164" s="41" t="str">
        <f t="shared" si="109"/>
        <v xml:space="preserve"> </v>
      </c>
      <c r="H164" s="41" t="str">
        <f t="shared" si="109"/>
        <v xml:space="preserve"> </v>
      </c>
      <c r="I164" s="41" t="str">
        <f t="shared" si="109"/>
        <v xml:space="preserve"> </v>
      </c>
      <c r="J164" s="41" t="str">
        <f t="shared" si="109"/>
        <v xml:space="preserve"> </v>
      </c>
      <c r="K164" s="41" t="str">
        <f t="shared" si="109"/>
        <v xml:space="preserve"> </v>
      </c>
      <c r="L164" s="41" t="str">
        <f t="shared" si="109"/>
        <v xml:space="preserve"> </v>
      </c>
      <c r="M164" s="41" t="str">
        <f t="shared" si="109"/>
        <v xml:space="preserve"> </v>
      </c>
      <c r="N164" s="41" t="str">
        <f t="shared" si="109"/>
        <v xml:space="preserve"> </v>
      </c>
      <c r="O164" s="41" t="str">
        <f t="shared" si="109"/>
        <v xml:space="preserve"> </v>
      </c>
      <c r="P164" s="41" t="str">
        <f t="shared" si="109"/>
        <v xml:space="preserve"> </v>
      </c>
      <c r="Q164" s="41" t="str">
        <f t="shared" si="109"/>
        <v xml:space="preserve"> </v>
      </c>
      <c r="R164" s="41" t="str">
        <f t="shared" si="109"/>
        <v xml:space="preserve"> </v>
      </c>
      <c r="S164" s="41" t="str">
        <f t="shared" si="109"/>
        <v xml:space="preserve"> </v>
      </c>
      <c r="T164" s="41" t="str">
        <f t="shared" si="109"/>
        <v xml:space="preserve"> </v>
      </c>
      <c r="U164" s="41" t="str">
        <f t="shared" si="109"/>
        <v xml:space="preserve"> 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spans="1:34" s="5" customFormat="1">
      <c r="A165" s="4" t="s">
        <v>210</v>
      </c>
      <c r="B165" s="41" t="str">
        <f>IF(B149&lt;B107,  "X", " ")</f>
        <v>X</v>
      </c>
      <c r="C165" s="41" t="str">
        <f>IF(C149+0.001&lt;C107,  "X", " ")</f>
        <v xml:space="preserve"> </v>
      </c>
      <c r="D165" s="41" t="str">
        <f t="shared" ref="D165:U165" si="110">IF(D149&lt;D107,  "X", " ")</f>
        <v>X</v>
      </c>
      <c r="E165" s="41" t="str">
        <f t="shared" si="110"/>
        <v>X</v>
      </c>
      <c r="F165" s="41" t="str">
        <f t="shared" si="110"/>
        <v>X</v>
      </c>
      <c r="G165" s="41" t="str">
        <f t="shared" si="110"/>
        <v>X</v>
      </c>
      <c r="H165" s="41" t="str">
        <f t="shared" si="110"/>
        <v>X</v>
      </c>
      <c r="I165" s="41" t="str">
        <f t="shared" si="110"/>
        <v>X</v>
      </c>
      <c r="J165" s="41" t="str">
        <f t="shared" si="110"/>
        <v>X</v>
      </c>
      <c r="K165" s="41" t="str">
        <f t="shared" si="110"/>
        <v>X</v>
      </c>
      <c r="L165" s="41" t="str">
        <f t="shared" si="110"/>
        <v xml:space="preserve"> </v>
      </c>
      <c r="M165" s="41" t="str">
        <f t="shared" si="110"/>
        <v xml:space="preserve"> </v>
      </c>
      <c r="N165" s="41" t="str">
        <f t="shared" si="110"/>
        <v xml:space="preserve"> </v>
      </c>
      <c r="O165" s="41" t="str">
        <f t="shared" si="110"/>
        <v xml:space="preserve"> </v>
      </c>
      <c r="P165" s="41" t="str">
        <f t="shared" si="110"/>
        <v>X</v>
      </c>
      <c r="Q165" s="41" t="str">
        <f t="shared" si="110"/>
        <v>X</v>
      </c>
      <c r="R165" s="41" t="str">
        <f t="shared" si="110"/>
        <v>X</v>
      </c>
      <c r="S165" s="41" t="str">
        <f t="shared" si="110"/>
        <v>X</v>
      </c>
      <c r="T165" s="41" t="str">
        <f t="shared" si="110"/>
        <v xml:space="preserve"> </v>
      </c>
      <c r="U165" s="41" t="str">
        <f t="shared" si="110"/>
        <v xml:space="preserve"> 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spans="1:34" s="5" customFormat="1">
      <c r="A166" s="4" t="s">
        <v>215</v>
      </c>
      <c r="B166" s="41" t="str">
        <f>IF(B105+B181&gt;2.001, "X", " ")</f>
        <v>X</v>
      </c>
      <c r="C166" s="41" t="str">
        <f t="shared" ref="C166:U166" si="111">IF(C105+C181&gt;2.001, "X", " ")</f>
        <v>X</v>
      </c>
      <c r="D166" s="41" t="str">
        <f t="shared" si="111"/>
        <v>X</v>
      </c>
      <c r="E166" s="41" t="str">
        <f t="shared" si="111"/>
        <v xml:space="preserve"> </v>
      </c>
      <c r="F166" s="41" t="str">
        <f t="shared" si="111"/>
        <v>X</v>
      </c>
      <c r="G166" s="41" t="str">
        <f t="shared" si="111"/>
        <v>X</v>
      </c>
      <c r="H166" s="41" t="str">
        <f t="shared" si="111"/>
        <v>X</v>
      </c>
      <c r="I166" s="41" t="str">
        <f t="shared" si="111"/>
        <v>X</v>
      </c>
      <c r="J166" s="41" t="str">
        <f t="shared" si="111"/>
        <v xml:space="preserve"> </v>
      </c>
      <c r="K166" s="41" t="str">
        <f t="shared" si="111"/>
        <v>X</v>
      </c>
      <c r="L166" s="41" t="str">
        <f t="shared" si="111"/>
        <v>X</v>
      </c>
      <c r="M166" s="41" t="str">
        <f t="shared" si="111"/>
        <v>X</v>
      </c>
      <c r="N166" s="41" t="str">
        <f t="shared" si="111"/>
        <v>X</v>
      </c>
      <c r="O166" s="41" t="str">
        <f t="shared" si="111"/>
        <v>X</v>
      </c>
      <c r="P166" s="41" t="str">
        <f t="shared" si="111"/>
        <v>X</v>
      </c>
      <c r="Q166" s="41" t="str">
        <f t="shared" si="111"/>
        <v>X</v>
      </c>
      <c r="R166" s="41" t="str">
        <f t="shared" si="111"/>
        <v>X</v>
      </c>
      <c r="S166" s="41" t="str">
        <f t="shared" si="111"/>
        <v>X</v>
      </c>
      <c r="T166" s="41" t="str">
        <f t="shared" si="111"/>
        <v>X</v>
      </c>
      <c r="U166" s="41" t="str">
        <f t="shared" si="111"/>
        <v>X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spans="1:34" s="5" customFormat="1">
      <c r="A167" s="4" t="s">
        <v>10</v>
      </c>
      <c r="B167" s="41" t="str">
        <f>IF(B105&gt;2.001,  "X", " ")</f>
        <v xml:space="preserve"> </v>
      </c>
      <c r="C167" s="41" t="str">
        <f t="shared" ref="C167:U167" si="112">IF(C105&gt;2.001,  "X", " ")</f>
        <v xml:space="preserve"> </v>
      </c>
      <c r="D167" s="41" t="str">
        <f t="shared" si="112"/>
        <v xml:space="preserve"> </v>
      </c>
      <c r="E167" s="41" t="str">
        <f t="shared" si="112"/>
        <v xml:space="preserve"> </v>
      </c>
      <c r="F167" s="41" t="str">
        <f t="shared" si="112"/>
        <v xml:space="preserve"> </v>
      </c>
      <c r="G167" s="41" t="str">
        <f t="shared" si="112"/>
        <v xml:space="preserve"> </v>
      </c>
      <c r="H167" s="41" t="str">
        <f t="shared" si="112"/>
        <v xml:space="preserve"> </v>
      </c>
      <c r="I167" s="41" t="str">
        <f t="shared" si="112"/>
        <v xml:space="preserve"> </v>
      </c>
      <c r="J167" s="41" t="str">
        <f t="shared" si="112"/>
        <v xml:space="preserve"> </v>
      </c>
      <c r="K167" s="41" t="str">
        <f t="shared" si="112"/>
        <v xml:space="preserve"> </v>
      </c>
      <c r="L167" s="41" t="str">
        <f t="shared" si="112"/>
        <v xml:space="preserve"> </v>
      </c>
      <c r="M167" s="41" t="str">
        <f t="shared" si="112"/>
        <v xml:space="preserve"> </v>
      </c>
      <c r="N167" s="41" t="str">
        <f t="shared" si="112"/>
        <v xml:space="preserve"> </v>
      </c>
      <c r="O167" s="41" t="str">
        <f t="shared" si="112"/>
        <v xml:space="preserve"> </v>
      </c>
      <c r="P167" s="41" t="str">
        <f t="shared" si="112"/>
        <v xml:space="preserve"> </v>
      </c>
      <c r="Q167" s="41" t="str">
        <f t="shared" si="112"/>
        <v xml:space="preserve"> </v>
      </c>
      <c r="R167" s="41" t="str">
        <f t="shared" si="112"/>
        <v xml:space="preserve"> </v>
      </c>
      <c r="S167" s="41" t="str">
        <f t="shared" si="112"/>
        <v xml:space="preserve"> </v>
      </c>
      <c r="T167" s="41" t="str">
        <f t="shared" si="112"/>
        <v xml:space="preserve"> </v>
      </c>
      <c r="U167" s="41" t="str">
        <f t="shared" si="112"/>
        <v xml:space="preserve"> 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spans="1:34" s="5" customFormat="1">
      <c r="A168" s="4" t="s">
        <v>11</v>
      </c>
      <c r="B168" s="41" t="str">
        <f>IF(B184=0,  "X", " ")</f>
        <v xml:space="preserve"> </v>
      </c>
      <c r="C168" s="41" t="str">
        <f t="shared" ref="C168:U168" si="113">IF(C184=0,  "X", " ")</f>
        <v xml:space="preserve"> </v>
      </c>
      <c r="D168" s="41" t="str">
        <f t="shared" si="113"/>
        <v xml:space="preserve"> </v>
      </c>
      <c r="E168" s="41" t="str">
        <f t="shared" si="113"/>
        <v xml:space="preserve"> </v>
      </c>
      <c r="F168" s="41" t="str">
        <f t="shared" si="113"/>
        <v xml:space="preserve"> </v>
      </c>
      <c r="G168" s="41" t="str">
        <f t="shared" si="113"/>
        <v xml:space="preserve"> </v>
      </c>
      <c r="H168" s="41" t="str">
        <f t="shared" si="113"/>
        <v xml:space="preserve"> </v>
      </c>
      <c r="I168" s="41" t="str">
        <f t="shared" si="113"/>
        <v xml:space="preserve"> </v>
      </c>
      <c r="J168" s="41" t="str">
        <f t="shared" si="113"/>
        <v xml:space="preserve"> </v>
      </c>
      <c r="K168" s="41" t="str">
        <f t="shared" si="113"/>
        <v xml:space="preserve"> </v>
      </c>
      <c r="L168" s="41" t="str">
        <f t="shared" si="113"/>
        <v xml:space="preserve"> </v>
      </c>
      <c r="M168" s="41" t="str">
        <f t="shared" si="113"/>
        <v xml:space="preserve"> </v>
      </c>
      <c r="N168" s="41" t="str">
        <f t="shared" si="113"/>
        <v xml:space="preserve"> </v>
      </c>
      <c r="O168" s="41" t="str">
        <f t="shared" si="113"/>
        <v xml:space="preserve"> </v>
      </c>
      <c r="P168" s="41" t="str">
        <f t="shared" si="113"/>
        <v xml:space="preserve"> </v>
      </c>
      <c r="Q168" s="41" t="str">
        <f t="shared" si="113"/>
        <v xml:space="preserve"> </v>
      </c>
      <c r="R168" s="41" t="str">
        <f t="shared" si="113"/>
        <v xml:space="preserve"> </v>
      </c>
      <c r="S168" s="41" t="str">
        <f t="shared" si="113"/>
        <v xml:space="preserve"> </v>
      </c>
      <c r="T168" s="41" t="str">
        <f t="shared" si="113"/>
        <v xml:space="preserve"> </v>
      </c>
      <c r="U168" s="41" t="str">
        <f t="shared" si="113"/>
        <v xml:space="preserve"> 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spans="1:34" s="5" customFormat="1">
      <c r="A169" s="4" t="s">
        <v>250</v>
      </c>
      <c r="B169" s="41" t="str">
        <f>IF(B137+2*B97+B98+B185-B150&gt;B184+0.001,  "X", " ")</f>
        <v>X</v>
      </c>
      <c r="C169" s="41" t="str">
        <f t="shared" ref="C169:U169" si="114">IF(C137+2*C97+C98+C185-C150&gt;C184+0.001,  "X", " ")</f>
        <v>X</v>
      </c>
      <c r="D169" s="41" t="str">
        <f t="shared" si="114"/>
        <v>X</v>
      </c>
      <c r="E169" s="41" t="str">
        <f t="shared" si="114"/>
        <v xml:space="preserve"> </v>
      </c>
      <c r="F169" s="41" t="str">
        <f t="shared" si="114"/>
        <v>X</v>
      </c>
      <c r="G169" s="41" t="str">
        <f t="shared" si="114"/>
        <v>X</v>
      </c>
      <c r="H169" s="41" t="str">
        <f t="shared" si="114"/>
        <v>X</v>
      </c>
      <c r="I169" s="41" t="str">
        <f t="shared" si="114"/>
        <v>X</v>
      </c>
      <c r="J169" s="41" t="str">
        <f t="shared" si="114"/>
        <v xml:space="preserve"> </v>
      </c>
      <c r="K169" s="41" t="str">
        <f t="shared" si="114"/>
        <v>X</v>
      </c>
      <c r="L169" s="41" t="str">
        <f t="shared" si="114"/>
        <v>X</v>
      </c>
      <c r="M169" s="41" t="str">
        <f t="shared" si="114"/>
        <v>X</v>
      </c>
      <c r="N169" s="41" t="str">
        <f t="shared" si="114"/>
        <v>X</v>
      </c>
      <c r="O169" s="41" t="str">
        <f t="shared" si="114"/>
        <v>X</v>
      </c>
      <c r="P169" s="41" t="str">
        <f t="shared" si="114"/>
        <v>X</v>
      </c>
      <c r="Q169" s="41" t="str">
        <f t="shared" si="114"/>
        <v>X</v>
      </c>
      <c r="R169" s="41" t="str">
        <f t="shared" si="114"/>
        <v>X</v>
      </c>
      <c r="S169" s="41" t="str">
        <f t="shared" si="114"/>
        <v>X</v>
      </c>
      <c r="T169" s="41" t="str">
        <f t="shared" si="114"/>
        <v>X</v>
      </c>
      <c r="U169" s="41" t="str">
        <f t="shared" si="114"/>
        <v>X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spans="1:34" s="5" customFormat="1">
      <c r="A170" s="4" t="s">
        <v>55</v>
      </c>
      <c r="B170" s="41" t="str">
        <f>IF(B154&gt;B136/2,  "X", " ")</f>
        <v xml:space="preserve"> </v>
      </c>
      <c r="C170" s="41" t="str">
        <f t="shared" ref="C170:U170" si="115">IF(C154&gt;C136/2,  "X", " ")</f>
        <v xml:space="preserve"> </v>
      </c>
      <c r="D170" s="41" t="str">
        <f t="shared" si="115"/>
        <v xml:space="preserve"> </v>
      </c>
      <c r="E170" s="41" t="str">
        <f t="shared" si="115"/>
        <v xml:space="preserve"> </v>
      </c>
      <c r="F170" s="41" t="str">
        <f t="shared" si="115"/>
        <v xml:space="preserve"> </v>
      </c>
      <c r="G170" s="41" t="str">
        <f t="shared" si="115"/>
        <v xml:space="preserve"> </v>
      </c>
      <c r="H170" s="41" t="str">
        <f t="shared" si="115"/>
        <v xml:space="preserve"> </v>
      </c>
      <c r="I170" s="41" t="str">
        <f t="shared" si="115"/>
        <v xml:space="preserve"> </v>
      </c>
      <c r="J170" s="41" t="str">
        <f t="shared" si="115"/>
        <v xml:space="preserve"> </v>
      </c>
      <c r="K170" s="41" t="str">
        <f t="shared" si="115"/>
        <v xml:space="preserve"> </v>
      </c>
      <c r="L170" s="41" t="str">
        <f t="shared" si="115"/>
        <v xml:space="preserve"> </v>
      </c>
      <c r="M170" s="41" t="str">
        <f t="shared" si="115"/>
        <v xml:space="preserve"> </v>
      </c>
      <c r="N170" s="41" t="str">
        <f t="shared" si="115"/>
        <v xml:space="preserve"> </v>
      </c>
      <c r="O170" s="41" t="str">
        <f t="shared" si="115"/>
        <v xml:space="preserve"> </v>
      </c>
      <c r="P170" s="41" t="str">
        <f t="shared" si="115"/>
        <v xml:space="preserve"> </v>
      </c>
      <c r="Q170" s="41" t="str">
        <f t="shared" si="115"/>
        <v xml:space="preserve"> </v>
      </c>
      <c r="R170" s="41" t="str">
        <f t="shared" si="115"/>
        <v xml:space="preserve"> </v>
      </c>
      <c r="S170" s="41" t="str">
        <f t="shared" si="115"/>
        <v xml:space="preserve"> </v>
      </c>
      <c r="T170" s="41" t="str">
        <f t="shared" si="115"/>
        <v xml:space="preserve"> </v>
      </c>
      <c r="U170" s="41" t="str">
        <f t="shared" si="115"/>
        <v xml:space="preserve"> 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spans="1:34" s="5" customFormat="1">
      <c r="A171" s="4" t="s">
        <v>260</v>
      </c>
      <c r="B171" s="41" t="str">
        <f>IF(5-B191&gt;0.01, "X", IF(5-B191&lt;-0.01,  "X", " "))</f>
        <v>X</v>
      </c>
      <c r="C171" s="41" t="str">
        <f t="shared" ref="C171:U171" si="116">IF(5-C191&gt;0.01, "X", IF(5-C191&lt;-0.01,  "X", " "))</f>
        <v>X</v>
      </c>
      <c r="D171" s="41" t="str">
        <f t="shared" si="116"/>
        <v>X</v>
      </c>
      <c r="E171" s="41" t="str">
        <f t="shared" si="116"/>
        <v xml:space="preserve"> </v>
      </c>
      <c r="F171" s="41" t="str">
        <f t="shared" si="116"/>
        <v>X</v>
      </c>
      <c r="G171" s="41" t="str">
        <f t="shared" si="116"/>
        <v>X</v>
      </c>
      <c r="H171" s="41" t="str">
        <f t="shared" si="116"/>
        <v>X</v>
      </c>
      <c r="I171" s="41" t="str">
        <f t="shared" si="116"/>
        <v>X</v>
      </c>
      <c r="J171" s="41" t="str">
        <f t="shared" si="116"/>
        <v xml:space="preserve"> </v>
      </c>
      <c r="K171" s="41" t="str">
        <f t="shared" si="116"/>
        <v>X</v>
      </c>
      <c r="L171" s="41" t="str">
        <f t="shared" si="116"/>
        <v>X</v>
      </c>
      <c r="M171" s="41" t="str">
        <f t="shared" si="116"/>
        <v>X</v>
      </c>
      <c r="N171" s="41" t="str">
        <f t="shared" si="116"/>
        <v>X</v>
      </c>
      <c r="O171" s="41" t="str">
        <f t="shared" si="116"/>
        <v>X</v>
      </c>
      <c r="P171" s="41" t="str">
        <f t="shared" si="116"/>
        <v>X</v>
      </c>
      <c r="Q171" s="41" t="str">
        <f t="shared" si="116"/>
        <v>X</v>
      </c>
      <c r="R171" s="41" t="str">
        <f t="shared" si="116"/>
        <v>X</v>
      </c>
      <c r="S171" s="41" t="str">
        <f t="shared" si="116"/>
        <v>X</v>
      </c>
      <c r="T171" s="41" t="str">
        <f t="shared" si="116"/>
        <v>X</v>
      </c>
      <c r="U171" s="41" t="str">
        <f t="shared" si="116"/>
        <v>X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spans="1:34" s="5" customFormat="1">
      <c r="A172" s="4" t="s">
        <v>262</v>
      </c>
      <c r="B172" s="41" t="str">
        <f>IF(B97+B98+B100+B137&gt;2.001,  "X", " ")</f>
        <v xml:space="preserve"> </v>
      </c>
      <c r="C172" s="41" t="str">
        <f t="shared" ref="C172:U172" si="117">IF(C97+C98+C100+C137&gt;2.001,  "X", " ")</f>
        <v xml:space="preserve"> </v>
      </c>
      <c r="D172" s="41" t="str">
        <f t="shared" si="117"/>
        <v xml:space="preserve"> </v>
      </c>
      <c r="E172" s="41" t="str">
        <f t="shared" si="117"/>
        <v xml:space="preserve"> </v>
      </c>
      <c r="F172" s="41" t="str">
        <f t="shared" si="117"/>
        <v xml:space="preserve"> </v>
      </c>
      <c r="G172" s="41" t="str">
        <f t="shared" si="117"/>
        <v xml:space="preserve"> </v>
      </c>
      <c r="H172" s="41" t="str">
        <f t="shared" si="117"/>
        <v xml:space="preserve"> </v>
      </c>
      <c r="I172" s="41" t="str">
        <f t="shared" si="117"/>
        <v xml:space="preserve"> </v>
      </c>
      <c r="J172" s="41" t="str">
        <f t="shared" si="117"/>
        <v xml:space="preserve"> </v>
      </c>
      <c r="K172" s="41" t="str">
        <f t="shared" si="117"/>
        <v xml:space="preserve"> </v>
      </c>
      <c r="L172" s="41" t="str">
        <f t="shared" si="117"/>
        <v xml:space="preserve"> </v>
      </c>
      <c r="M172" s="41" t="str">
        <f t="shared" si="117"/>
        <v xml:space="preserve"> </v>
      </c>
      <c r="N172" s="41" t="str">
        <f t="shared" si="117"/>
        <v xml:space="preserve"> </v>
      </c>
      <c r="O172" s="41" t="str">
        <f t="shared" si="117"/>
        <v xml:space="preserve"> </v>
      </c>
      <c r="P172" s="41" t="str">
        <f t="shared" si="117"/>
        <v xml:space="preserve"> </v>
      </c>
      <c r="Q172" s="41" t="str">
        <f t="shared" si="117"/>
        <v xml:space="preserve"> </v>
      </c>
      <c r="R172" s="41" t="str">
        <f t="shared" si="117"/>
        <v xml:space="preserve"> </v>
      </c>
      <c r="S172" s="41" t="str">
        <f t="shared" si="117"/>
        <v xml:space="preserve"> </v>
      </c>
      <c r="T172" s="41" t="str">
        <f t="shared" si="117"/>
        <v xml:space="preserve"> </v>
      </c>
      <c r="U172" s="41" t="str">
        <f t="shared" si="117"/>
        <v xml:space="preserve"> 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spans="1:34" s="5" customFormat="1">
      <c r="A173" s="4" t="s">
        <v>261</v>
      </c>
      <c r="B173" s="41" t="str">
        <f>IF(B111&gt;16.001,  "X", " ")</f>
        <v xml:space="preserve"> </v>
      </c>
      <c r="C173" s="41" t="str">
        <f t="shared" ref="C173:U173" si="118">IF(C111&gt;16.001,  "X", " ")</f>
        <v xml:space="preserve"> </v>
      </c>
      <c r="D173" s="41" t="str">
        <f t="shared" si="118"/>
        <v xml:space="preserve"> </v>
      </c>
      <c r="E173" s="41" t="str">
        <f t="shared" si="118"/>
        <v xml:space="preserve"> </v>
      </c>
      <c r="F173" s="41" t="str">
        <f t="shared" si="118"/>
        <v xml:space="preserve"> </v>
      </c>
      <c r="G173" s="41" t="str">
        <f t="shared" si="118"/>
        <v xml:space="preserve"> </v>
      </c>
      <c r="H173" s="41" t="str">
        <f t="shared" si="118"/>
        <v xml:space="preserve"> </v>
      </c>
      <c r="I173" s="41" t="str">
        <f t="shared" si="118"/>
        <v xml:space="preserve"> </v>
      </c>
      <c r="J173" s="41" t="str">
        <f t="shared" si="118"/>
        <v xml:space="preserve"> </v>
      </c>
      <c r="K173" s="41" t="str">
        <f t="shared" si="118"/>
        <v xml:space="preserve"> </v>
      </c>
      <c r="L173" s="41" t="str">
        <f t="shared" si="118"/>
        <v xml:space="preserve"> </v>
      </c>
      <c r="M173" s="41" t="str">
        <f t="shared" si="118"/>
        <v xml:space="preserve"> </v>
      </c>
      <c r="N173" s="41" t="str">
        <f t="shared" si="118"/>
        <v xml:space="preserve"> </v>
      </c>
      <c r="O173" s="41" t="str">
        <f t="shared" si="118"/>
        <v xml:space="preserve"> </v>
      </c>
      <c r="P173" s="41" t="str">
        <f t="shared" si="118"/>
        <v xml:space="preserve"> </v>
      </c>
      <c r="Q173" s="41" t="str">
        <f t="shared" si="118"/>
        <v xml:space="preserve"> </v>
      </c>
      <c r="R173" s="41" t="str">
        <f t="shared" si="118"/>
        <v xml:space="preserve"> </v>
      </c>
      <c r="S173" s="41" t="str">
        <f t="shared" si="118"/>
        <v xml:space="preserve"> </v>
      </c>
      <c r="T173" s="41" t="str">
        <f t="shared" si="118"/>
        <v xml:space="preserve"> </v>
      </c>
      <c r="U173" s="41" t="str">
        <f t="shared" si="118"/>
        <v xml:space="preserve"> 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spans="1:34" s="5" customFormat="1">
      <c r="A174" s="4" t="s">
        <v>263</v>
      </c>
      <c r="B174" s="41" t="str">
        <f>IF(B96&lt;5,  "X", " ")</f>
        <v xml:space="preserve"> </v>
      </c>
      <c r="C174" s="41" t="str">
        <f t="shared" ref="C174:U174" si="119">IF(C96&lt;5,  "X", " ")</f>
        <v xml:space="preserve"> </v>
      </c>
      <c r="D174" s="41" t="str">
        <f t="shared" si="119"/>
        <v xml:space="preserve"> </v>
      </c>
      <c r="E174" s="41" t="str">
        <f t="shared" si="119"/>
        <v xml:space="preserve"> </v>
      </c>
      <c r="F174" s="41" t="str">
        <f t="shared" si="119"/>
        <v xml:space="preserve"> </v>
      </c>
      <c r="G174" s="41" t="str">
        <f t="shared" si="119"/>
        <v xml:space="preserve"> </v>
      </c>
      <c r="H174" s="41" t="str">
        <f t="shared" si="119"/>
        <v xml:space="preserve"> </v>
      </c>
      <c r="I174" s="41" t="str">
        <f t="shared" si="119"/>
        <v xml:space="preserve"> </v>
      </c>
      <c r="J174" s="41" t="str">
        <f t="shared" si="119"/>
        <v xml:space="preserve"> </v>
      </c>
      <c r="K174" s="41" t="str">
        <f t="shared" si="119"/>
        <v xml:space="preserve"> </v>
      </c>
      <c r="L174" s="41" t="str">
        <f t="shared" si="119"/>
        <v xml:space="preserve"> </v>
      </c>
      <c r="M174" s="41" t="str">
        <f t="shared" si="119"/>
        <v xml:space="preserve"> </v>
      </c>
      <c r="N174" s="41" t="str">
        <f t="shared" si="119"/>
        <v xml:space="preserve"> </v>
      </c>
      <c r="O174" s="41" t="str">
        <f t="shared" si="119"/>
        <v xml:space="preserve"> </v>
      </c>
      <c r="P174" s="41" t="str">
        <f t="shared" si="119"/>
        <v xml:space="preserve"> </v>
      </c>
      <c r="Q174" s="41" t="str">
        <f t="shared" si="119"/>
        <v xml:space="preserve"> </v>
      </c>
      <c r="R174" s="41" t="str">
        <f t="shared" si="119"/>
        <v xml:space="preserve"> </v>
      </c>
      <c r="S174" s="41" t="str">
        <f t="shared" si="119"/>
        <v xml:space="preserve"> </v>
      </c>
      <c r="T174" s="41" t="str">
        <f t="shared" si="119"/>
        <v xml:space="preserve"> </v>
      </c>
      <c r="U174" s="41" t="str">
        <f t="shared" si="119"/>
        <v xml:space="preserve"> 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spans="1:34" s="5" customFormat="1">
      <c r="A175" s="4" t="s">
        <v>18</v>
      </c>
      <c r="B175" s="41" t="str">
        <f>IF(B146&lt;&gt;0,  "X", " ")</f>
        <v xml:space="preserve"> </v>
      </c>
      <c r="C175" s="41" t="str">
        <f t="shared" ref="C175:U175" si="120">IF(C146&lt;&gt;0,  "X", " ")</f>
        <v xml:space="preserve"> </v>
      </c>
      <c r="D175" s="41" t="str">
        <f t="shared" si="120"/>
        <v xml:space="preserve"> </v>
      </c>
      <c r="E175" s="41" t="str">
        <f t="shared" si="120"/>
        <v xml:space="preserve"> </v>
      </c>
      <c r="F175" s="41" t="str">
        <f t="shared" si="120"/>
        <v xml:space="preserve"> </v>
      </c>
      <c r="G175" s="41" t="str">
        <f t="shared" si="120"/>
        <v xml:space="preserve"> </v>
      </c>
      <c r="H175" s="41" t="str">
        <f t="shared" si="120"/>
        <v xml:space="preserve"> </v>
      </c>
      <c r="I175" s="41" t="str">
        <f t="shared" si="120"/>
        <v xml:space="preserve"> </v>
      </c>
      <c r="J175" s="41" t="str">
        <f t="shared" si="120"/>
        <v xml:space="preserve"> </v>
      </c>
      <c r="K175" s="41" t="str">
        <f t="shared" si="120"/>
        <v xml:space="preserve"> </v>
      </c>
      <c r="L175" s="41" t="str">
        <f t="shared" si="120"/>
        <v xml:space="preserve"> </v>
      </c>
      <c r="M175" s="41" t="str">
        <f t="shared" si="120"/>
        <v xml:space="preserve"> </v>
      </c>
      <c r="N175" s="41" t="str">
        <f t="shared" si="120"/>
        <v xml:space="preserve"> </v>
      </c>
      <c r="O175" s="41" t="str">
        <f t="shared" si="120"/>
        <v xml:space="preserve"> </v>
      </c>
      <c r="P175" s="41" t="str">
        <f t="shared" si="120"/>
        <v xml:space="preserve"> </v>
      </c>
      <c r="Q175" s="41" t="str">
        <f t="shared" si="120"/>
        <v xml:space="preserve"> </v>
      </c>
      <c r="R175" s="41" t="str">
        <f t="shared" si="120"/>
        <v xml:space="preserve"> </v>
      </c>
      <c r="S175" s="41" t="str">
        <f t="shared" si="120"/>
        <v xml:space="preserve"> </v>
      </c>
      <c r="T175" s="41" t="str">
        <f t="shared" si="120"/>
        <v xml:space="preserve"> </v>
      </c>
      <c r="U175" s="41" t="str">
        <f t="shared" si="120"/>
        <v xml:space="preserve"> 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spans="1:34" s="5" customFormat="1">
      <c r="A176" s="4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34" s="5" customFormat="1">
      <c r="A177" s="4" t="s">
        <v>180</v>
      </c>
      <c r="B177" s="41" t="str">
        <f ca="1">B280</f>
        <v xml:space="preserve">Magnesio-Hbl </v>
      </c>
      <c r="C177" s="41" t="str">
        <f t="shared" ref="C177:U177" ca="1" si="121">C280</f>
        <v xml:space="preserve">Magnesio-Hbl </v>
      </c>
      <c r="D177" s="41" t="str">
        <f t="shared" ca="1" si="121"/>
        <v>Tschermakitic Hbl</v>
      </c>
      <c r="E177" s="41" t="str">
        <f t="shared" ca="1" si="121"/>
        <v>Tschermakitic Hbl</v>
      </c>
      <c r="F177" s="41" t="str">
        <f t="shared" ca="1" si="121"/>
        <v>Tschermakitic Hbl</v>
      </c>
      <c r="G177" s="41" t="str">
        <f t="shared" ca="1" si="121"/>
        <v>Tschermakitic Hbl</v>
      </c>
      <c r="H177" s="41" t="str">
        <f t="shared" ca="1" si="121"/>
        <v>Tschermakitic Hbl</v>
      </c>
      <c r="I177" s="41" t="str">
        <f t="shared" ca="1" si="121"/>
        <v>Tschermakitic Hbl</v>
      </c>
      <c r="J177" s="41" t="str">
        <f t="shared" ca="1" si="121"/>
        <v xml:space="preserve">Magnesio-Hbl </v>
      </c>
      <c r="K177" s="41" t="str">
        <f t="shared" ca="1" si="121"/>
        <v xml:space="preserve">Magnesio-Hbl </v>
      </c>
      <c r="L177" s="41" t="str">
        <f t="shared" ca="1" si="121"/>
        <v xml:space="preserve">Magnesio-Hbl </v>
      </c>
      <c r="M177" s="41" t="str">
        <f t="shared" ca="1" si="121"/>
        <v>Tschermakitic Hbl</v>
      </c>
      <c r="N177" s="41" t="str">
        <f t="shared" ca="1" si="121"/>
        <v xml:space="preserve">Magnesio-Hbl </v>
      </c>
      <c r="O177" s="41" t="str">
        <f t="shared" ca="1" si="121"/>
        <v>Tschermakitic Hbl</v>
      </c>
      <c r="P177" s="41" t="str">
        <f t="shared" ca="1" si="121"/>
        <v xml:space="preserve">Magnesio-Hbl </v>
      </c>
      <c r="Q177" s="41" t="str">
        <f t="shared" ca="1" si="121"/>
        <v>Actinolitic Hbl</v>
      </c>
      <c r="R177" s="41" t="str">
        <f t="shared" ca="1" si="121"/>
        <v>Tschermakite</v>
      </c>
      <c r="S177" s="41" t="str">
        <f t="shared" ca="1" si="121"/>
        <v>Tschermakite</v>
      </c>
      <c r="T177" s="41" t="str">
        <f t="shared" ca="1" si="121"/>
        <v>Tschermakite</v>
      </c>
      <c r="U177" s="41" t="str">
        <f t="shared" ca="1" si="121"/>
        <v xml:space="preserve">Magnesio-Hbl 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spans="1:34" s="26" customFormat="1">
      <c r="A178" s="24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</row>
    <row r="179" spans="1:34">
      <c r="AB179" s="2"/>
      <c r="AC179" s="2"/>
      <c r="AD179" s="2"/>
      <c r="AE179" s="2"/>
      <c r="AF179" s="2"/>
      <c r="AG179" s="2"/>
      <c r="AH179" s="2"/>
    </row>
    <row r="180" spans="1:34" s="11" customFormat="1">
      <c r="A180" s="9" t="s">
        <v>213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s="11" customFormat="1">
      <c r="A181" s="9" t="s">
        <v>212</v>
      </c>
      <c r="B181" s="10">
        <f t="shared" ref="B181:U181" si="122">B106+B107-B149</f>
        <v>0.38251896093843596</v>
      </c>
      <c r="C181" s="10">
        <f t="shared" si="122"/>
        <v>0.3907039307380516</v>
      </c>
      <c r="D181" s="10">
        <f t="shared" si="122"/>
        <v>0.42018024978441065</v>
      </c>
      <c r="E181" s="10">
        <f t="shared" si="122"/>
        <v>0.39383115544927744</v>
      </c>
      <c r="F181" s="10">
        <f t="shared" si="122"/>
        <v>0.38903989057409444</v>
      </c>
      <c r="G181" s="10">
        <f t="shared" si="122"/>
        <v>0.41095333688297636</v>
      </c>
      <c r="H181" s="10">
        <f t="shared" si="122"/>
        <v>0.38322927194721063</v>
      </c>
      <c r="I181" s="10">
        <f t="shared" si="122"/>
        <v>0.39177363499434126</v>
      </c>
      <c r="J181" s="10">
        <f t="shared" si="122"/>
        <v>0.39298568727118921</v>
      </c>
      <c r="K181" s="10">
        <f t="shared" si="122"/>
        <v>0.38067308076575057</v>
      </c>
      <c r="L181" s="10">
        <f t="shared" si="122"/>
        <v>0.42337136920265955</v>
      </c>
      <c r="M181" s="10">
        <f t="shared" si="122"/>
        <v>0.40587833812335983</v>
      </c>
      <c r="N181" s="10">
        <f t="shared" si="122"/>
        <v>0.4557996612002575</v>
      </c>
      <c r="O181" s="10">
        <f t="shared" si="122"/>
        <v>0.41979657617571675</v>
      </c>
      <c r="P181" s="10">
        <f t="shared" si="122"/>
        <v>0.39152250600263416</v>
      </c>
      <c r="Q181" s="10">
        <f t="shared" si="122"/>
        <v>0.20519746365814068</v>
      </c>
      <c r="R181" s="10">
        <f t="shared" si="122"/>
        <v>0.47098971493139008</v>
      </c>
      <c r="S181" s="10">
        <f t="shared" si="122"/>
        <v>0.44302844283371723</v>
      </c>
      <c r="T181" s="10">
        <f t="shared" si="122"/>
        <v>0.45094757421649645</v>
      </c>
      <c r="U181" s="10">
        <f t="shared" si="122"/>
        <v>0.39531522017922399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s="11" customFormat="1">
      <c r="A182" s="9" t="s">
        <v>214</v>
      </c>
      <c r="B182" s="10">
        <f>B105+B181</f>
        <v>2.0250828550112887</v>
      </c>
      <c r="C182" s="10">
        <f t="shared" ref="C182:U182" si="123">C105+C181</f>
        <v>2.0146653264394314</v>
      </c>
      <c r="D182" s="10">
        <f t="shared" si="123"/>
        <v>2.0425085057441263</v>
      </c>
      <c r="E182" s="10">
        <f t="shared" si="123"/>
        <v>1.9595827203422482</v>
      </c>
      <c r="F182" s="10">
        <f t="shared" si="123"/>
        <v>2.0703060180263435</v>
      </c>
      <c r="G182" s="10">
        <f t="shared" si="123"/>
        <v>2.1010832315541337</v>
      </c>
      <c r="H182" s="10">
        <f t="shared" si="123"/>
        <v>2.0867494673330276</v>
      </c>
      <c r="I182" s="10">
        <f t="shared" si="123"/>
        <v>2.0516256595338018</v>
      </c>
      <c r="J182" s="10">
        <f t="shared" si="123"/>
        <v>1.9732603126178483</v>
      </c>
      <c r="K182" s="10">
        <f t="shared" si="123"/>
        <v>2.0685096468316253</v>
      </c>
      <c r="L182" s="10">
        <f t="shared" si="123"/>
        <v>2.0259484304389073</v>
      </c>
      <c r="M182" s="10">
        <f t="shared" si="123"/>
        <v>2.0780511206631274</v>
      </c>
      <c r="N182" s="10">
        <f t="shared" si="123"/>
        <v>2.0613707018003655</v>
      </c>
      <c r="O182" s="10">
        <f t="shared" si="123"/>
        <v>2.086733889723047</v>
      </c>
      <c r="P182" s="10">
        <f t="shared" si="123"/>
        <v>2.2933277094928597</v>
      </c>
      <c r="Q182" s="10">
        <f t="shared" si="123"/>
        <v>2.142131932186182</v>
      </c>
      <c r="R182" s="10">
        <f t="shared" si="123"/>
        <v>2.3334646753439339</v>
      </c>
      <c r="S182" s="10">
        <f t="shared" si="123"/>
        <v>2.3189953338137475</v>
      </c>
      <c r="T182" s="10">
        <f t="shared" si="123"/>
        <v>2.3308743240560119</v>
      </c>
      <c r="U182" s="10">
        <f t="shared" si="123"/>
        <v>2.0441143290797417</v>
      </c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s="11" customFormat="1">
      <c r="A183" s="9" t="s">
        <v>212</v>
      </c>
      <c r="B183" s="10">
        <f>B181-B150</f>
        <v>2.5082855011288596E-2</v>
      </c>
      <c r="C183" s="10">
        <f t="shared" ref="C183:U183" si="124">C181-C150</f>
        <v>1.4665326439431248E-2</v>
      </c>
      <c r="D183" s="10">
        <f t="shared" si="124"/>
        <v>4.2508505744126512E-2</v>
      </c>
      <c r="E183" s="10">
        <f t="shared" si="124"/>
        <v>0</v>
      </c>
      <c r="F183" s="10">
        <f t="shared" si="124"/>
        <v>7.0306018026343564E-2</v>
      </c>
      <c r="G183" s="10">
        <f t="shared" si="124"/>
        <v>0.10108323155413351</v>
      </c>
      <c r="H183" s="10">
        <f t="shared" si="124"/>
        <v>8.674946733302763E-2</v>
      </c>
      <c r="I183" s="10">
        <f t="shared" si="124"/>
        <v>5.1625659533801826E-2</v>
      </c>
      <c r="J183" s="10">
        <f t="shared" si="124"/>
        <v>0</v>
      </c>
      <c r="K183" s="10">
        <f t="shared" si="124"/>
        <v>6.8509646831625304E-2</v>
      </c>
      <c r="L183" s="10">
        <f t="shared" si="124"/>
        <v>2.59484304389071E-2</v>
      </c>
      <c r="M183" s="10">
        <f t="shared" si="124"/>
        <v>7.8051120663127249E-2</v>
      </c>
      <c r="N183" s="10">
        <f t="shared" si="124"/>
        <v>6.1370701800365302E-2</v>
      </c>
      <c r="O183" s="10">
        <f t="shared" si="124"/>
        <v>8.6733889723046964E-2</v>
      </c>
      <c r="P183" s="10">
        <f t="shared" si="124"/>
        <v>0.29332770949285947</v>
      </c>
      <c r="Q183" s="10">
        <f t="shared" si="124"/>
        <v>0.14213193218618209</v>
      </c>
      <c r="R183" s="10">
        <f t="shared" si="124"/>
        <v>0.33346467534393376</v>
      </c>
      <c r="S183" s="10">
        <f t="shared" si="124"/>
        <v>0.31899533381374723</v>
      </c>
      <c r="T183" s="10">
        <f t="shared" si="124"/>
        <v>0.3308743240560118</v>
      </c>
      <c r="U183" s="10">
        <f t="shared" si="124"/>
        <v>4.411432907974161E-2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s="11" customFormat="1">
      <c r="A184" s="9" t="s">
        <v>78</v>
      </c>
      <c r="B184" s="10">
        <f>IF(B136-B149&lt;0, 0, B136-B149)</f>
        <v>1.1676418865315261</v>
      </c>
      <c r="C184" s="10">
        <f t="shared" ref="C184:U184" si="125">IF(C136-C149&lt;0, 0, C136-C149)</f>
        <v>1.4646673746780587</v>
      </c>
      <c r="D184" s="10">
        <f t="shared" si="125"/>
        <v>1.4942631801804138</v>
      </c>
      <c r="E184" s="10">
        <f t="shared" si="125"/>
        <v>1.5183772789186829</v>
      </c>
      <c r="F184" s="10">
        <f t="shared" si="125"/>
        <v>1.4478340918174659</v>
      </c>
      <c r="G184" s="10">
        <f t="shared" si="125"/>
        <v>1.5739792537954447</v>
      </c>
      <c r="H184" s="10">
        <f t="shared" si="125"/>
        <v>1.4739569665170809</v>
      </c>
      <c r="I184" s="10">
        <f t="shared" si="125"/>
        <v>1.4610313216184947</v>
      </c>
      <c r="J184" s="10">
        <f t="shared" si="125"/>
        <v>1.3645021683872418</v>
      </c>
      <c r="K184" s="10">
        <f t="shared" si="125"/>
        <v>1.2210285841622497</v>
      </c>
      <c r="L184" s="10">
        <f t="shared" si="125"/>
        <v>1.4614331786111903</v>
      </c>
      <c r="M184" s="10">
        <f t="shared" si="125"/>
        <v>1.5009689182460839</v>
      </c>
      <c r="N184" s="10">
        <f t="shared" si="125"/>
        <v>1.3592526113933214</v>
      </c>
      <c r="O184" s="10">
        <f t="shared" si="125"/>
        <v>1.5999442910913233</v>
      </c>
      <c r="P184" s="10">
        <f t="shared" si="125"/>
        <v>1.322022137775634</v>
      </c>
      <c r="Q184" s="10">
        <f t="shared" si="125"/>
        <v>0.64484282178729302</v>
      </c>
      <c r="R184" s="10">
        <f t="shared" si="125"/>
        <v>1.5737765461090953</v>
      </c>
      <c r="S184" s="10">
        <f t="shared" si="125"/>
        <v>1.5676096586790251</v>
      </c>
      <c r="T184" s="10">
        <f t="shared" si="125"/>
        <v>1.6309367402806618</v>
      </c>
      <c r="U184" s="10">
        <f t="shared" si="125"/>
        <v>1.4506140313774427</v>
      </c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 s="11" customFormat="1">
      <c r="A185" s="9" t="s">
        <v>26</v>
      </c>
      <c r="B185" s="10">
        <f>B100</f>
        <v>1.0130391619963888</v>
      </c>
      <c r="C185" s="10">
        <f t="shared" ref="C185:U185" si="126">C100</f>
        <v>1.3199675713191681</v>
      </c>
      <c r="D185" s="10">
        <f t="shared" si="126"/>
        <v>1.3386149616425769</v>
      </c>
      <c r="E185" s="10">
        <f t="shared" si="126"/>
        <v>1.36493844424988</v>
      </c>
      <c r="F185" s="10">
        <f t="shared" si="126"/>
        <v>1.2556549093390714</v>
      </c>
      <c r="G185" s="10">
        <f t="shared" si="126"/>
        <v>1.4542207321383813</v>
      </c>
      <c r="H185" s="10">
        <f t="shared" si="126"/>
        <v>1.2688614002156626</v>
      </c>
      <c r="I185" s="10">
        <f t="shared" si="126"/>
        <v>1.2860446945290533</v>
      </c>
      <c r="J185" s="10">
        <f t="shared" si="126"/>
        <v>1.1964911190642553</v>
      </c>
      <c r="K185" s="10">
        <f t="shared" si="126"/>
        <v>1.1099564140510481</v>
      </c>
      <c r="L185" s="10">
        <f t="shared" si="126"/>
        <v>1.3243057648060272</v>
      </c>
      <c r="M185" s="10">
        <f t="shared" si="126"/>
        <v>1.3088707824042913</v>
      </c>
      <c r="N185" s="10">
        <f t="shared" si="126"/>
        <v>1.1045343768287808</v>
      </c>
      <c r="O185" s="10">
        <f t="shared" si="126"/>
        <v>1.4231782183825388</v>
      </c>
      <c r="P185" s="10">
        <f t="shared" si="126"/>
        <v>1.2228472054278754</v>
      </c>
      <c r="Q185" s="10">
        <f t="shared" si="126"/>
        <v>0.71187813929915933</v>
      </c>
      <c r="R185" s="10">
        <f t="shared" si="126"/>
        <v>1.4935404630689675</v>
      </c>
      <c r="S185" s="10">
        <f t="shared" si="126"/>
        <v>1.4423912612547127</v>
      </c>
      <c r="T185" s="10">
        <f t="shared" si="126"/>
        <v>1.5932815583506326</v>
      </c>
      <c r="U185" s="10">
        <f t="shared" si="126"/>
        <v>1.2880402280671035</v>
      </c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s="11" customFormat="1">
      <c r="A186" s="9" t="s">
        <v>236</v>
      </c>
      <c r="B186" s="10">
        <f>B137+B185+B98-B150</f>
        <v>1.0960104440020899</v>
      </c>
      <c r="C186" s="10">
        <f t="shared" ref="C186:U186" si="127">C137+C185+C98-C150</f>
        <v>1.3602630062377017</v>
      </c>
      <c r="D186" s="10">
        <f t="shared" si="127"/>
        <v>1.4137299783429003</v>
      </c>
      <c r="E186" s="10">
        <f t="shared" si="127"/>
        <v>1.4326579657119525</v>
      </c>
      <c r="F186" s="10">
        <f t="shared" si="127"/>
        <v>1.3835262336092067</v>
      </c>
      <c r="G186" s="10">
        <f t="shared" si="127"/>
        <v>1.5492794773253129</v>
      </c>
      <c r="H186" s="10">
        <f t="shared" si="127"/>
        <v>1.430507279429893</v>
      </c>
      <c r="I186" s="10">
        <f t="shared" si="127"/>
        <v>1.3811754554777083</v>
      </c>
      <c r="J186" s="10">
        <f t="shared" si="127"/>
        <v>1.258559109727599</v>
      </c>
      <c r="K186" s="10">
        <f t="shared" si="127"/>
        <v>1.1888140048537355</v>
      </c>
      <c r="L186" s="10">
        <f t="shared" si="127"/>
        <v>1.3585862805467361</v>
      </c>
      <c r="M186" s="10">
        <f t="shared" si="127"/>
        <v>1.4422196830614382</v>
      </c>
      <c r="N186" s="10">
        <f t="shared" si="127"/>
        <v>1.2839619496923571</v>
      </c>
      <c r="O186" s="10">
        <f t="shared" si="127"/>
        <v>1.5163024065122745</v>
      </c>
      <c r="P186" s="10">
        <f t="shared" si="127"/>
        <v>1.3138292262488727</v>
      </c>
      <c r="Q186" s="10">
        <f t="shared" si="127"/>
        <v>0.76976601441056036</v>
      </c>
      <c r="R186" s="10">
        <f t="shared" si="127"/>
        <v>1.5506247790982137</v>
      </c>
      <c r="S186" s="10">
        <f t="shared" si="127"/>
        <v>1.5385499840784771</v>
      </c>
      <c r="T186" s="10">
        <f t="shared" si="127"/>
        <v>1.6141772584332899</v>
      </c>
      <c r="U186" s="10">
        <f t="shared" si="127"/>
        <v>1.3763002256647134</v>
      </c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s="11" customFormat="1">
      <c r="A187" s="9" t="s">
        <v>235</v>
      </c>
      <c r="B187" s="10">
        <f>B186+2*B97</f>
        <v>1.1927247415428111</v>
      </c>
      <c r="C187" s="10">
        <f t="shared" ref="C187:U187" si="128">C186+2*C97</f>
        <v>1.4793327011174917</v>
      </c>
      <c r="D187" s="10">
        <f t="shared" si="128"/>
        <v>1.5367716859245477</v>
      </c>
      <c r="E187" s="10">
        <f t="shared" si="128"/>
        <v>1.5183772789186787</v>
      </c>
      <c r="F187" s="10">
        <f t="shared" si="128"/>
        <v>1.5181401098437908</v>
      </c>
      <c r="G187" s="10">
        <f t="shared" si="128"/>
        <v>1.6750624853495844</v>
      </c>
      <c r="H187" s="10">
        <f t="shared" si="128"/>
        <v>1.5607064338501004</v>
      </c>
      <c r="I187" s="10">
        <f t="shared" si="128"/>
        <v>1.5126569811522981</v>
      </c>
      <c r="J187" s="10">
        <f t="shared" si="128"/>
        <v>1.364502168387244</v>
      </c>
      <c r="K187" s="10">
        <f t="shared" si="128"/>
        <v>1.2895382309938712</v>
      </c>
      <c r="L187" s="10">
        <f t="shared" si="128"/>
        <v>1.4873816090501069</v>
      </c>
      <c r="M187" s="10">
        <f t="shared" si="128"/>
        <v>1.5790200389092151</v>
      </c>
      <c r="N187" s="10">
        <f t="shared" si="128"/>
        <v>1.4206233131936972</v>
      </c>
      <c r="O187" s="10">
        <f t="shared" si="128"/>
        <v>1.6866781808143689</v>
      </c>
      <c r="P187" s="10">
        <f t="shared" si="128"/>
        <v>1.6153498472684955</v>
      </c>
      <c r="Q187" s="10">
        <f t="shared" si="128"/>
        <v>0.78697475397347172</v>
      </c>
      <c r="R187" s="10">
        <f t="shared" si="128"/>
        <v>1.9072412214530292</v>
      </c>
      <c r="S187" s="10">
        <f t="shared" si="128"/>
        <v>1.8866049924927659</v>
      </c>
      <c r="T187" s="10">
        <f t="shared" si="128"/>
        <v>1.9618110643366715</v>
      </c>
      <c r="U187" s="10">
        <f t="shared" si="128"/>
        <v>1.4947283604571726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s="11" customFormat="1">
      <c r="A188" s="9" t="s">
        <v>78</v>
      </c>
      <c r="B188" s="10">
        <f>B184-B151</f>
        <v>0</v>
      </c>
      <c r="C188" s="10">
        <f t="shared" ref="C188:U188" si="129">C184-C151</f>
        <v>0</v>
      </c>
      <c r="D188" s="10">
        <f t="shared" si="129"/>
        <v>0</v>
      </c>
      <c r="E188" s="10">
        <f t="shared" si="129"/>
        <v>0</v>
      </c>
      <c r="F188" s="10">
        <f t="shared" si="129"/>
        <v>0</v>
      </c>
      <c r="G188" s="10">
        <f t="shared" si="129"/>
        <v>0</v>
      </c>
      <c r="H188" s="10">
        <f t="shared" si="129"/>
        <v>0</v>
      </c>
      <c r="I188" s="10">
        <f t="shared" si="129"/>
        <v>0</v>
      </c>
      <c r="J188" s="10">
        <f t="shared" si="129"/>
        <v>0</v>
      </c>
      <c r="K188" s="10">
        <f t="shared" si="129"/>
        <v>0</v>
      </c>
      <c r="L188" s="10">
        <f t="shared" si="129"/>
        <v>0</v>
      </c>
      <c r="M188" s="10">
        <f t="shared" si="129"/>
        <v>0</v>
      </c>
      <c r="N188" s="10">
        <f t="shared" si="129"/>
        <v>0</v>
      </c>
      <c r="O188" s="10">
        <f t="shared" si="129"/>
        <v>0</v>
      </c>
      <c r="P188" s="10">
        <f t="shared" si="129"/>
        <v>0</v>
      </c>
      <c r="Q188" s="10">
        <f t="shared" si="129"/>
        <v>0</v>
      </c>
      <c r="R188" s="10">
        <f t="shared" si="129"/>
        <v>0</v>
      </c>
      <c r="S188" s="10">
        <f t="shared" si="129"/>
        <v>0</v>
      </c>
      <c r="T188" s="10">
        <f t="shared" si="129"/>
        <v>0</v>
      </c>
      <c r="U188" s="10">
        <f t="shared" si="129"/>
        <v>0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s="11" customFormat="1">
      <c r="A189" s="9" t="s">
        <v>56</v>
      </c>
      <c r="B189" s="10">
        <f t="shared" ref="B189:U189" si="130">B101+B102+B103+B104</f>
        <v>3.4731134462891142</v>
      </c>
      <c r="C189" s="10">
        <f t="shared" si="130"/>
        <v>3.1894982155843499</v>
      </c>
      <c r="D189" s="10">
        <f t="shared" si="130"/>
        <v>3.1045689180818643</v>
      </c>
      <c r="E189" s="10">
        <f t="shared" si="130"/>
        <v>3.1710685018931604</v>
      </c>
      <c r="F189" s="10">
        <f t="shared" si="130"/>
        <v>3.160126937699411</v>
      </c>
      <c r="G189" s="10">
        <f t="shared" si="130"/>
        <v>2.9768756817795738</v>
      </c>
      <c r="H189" s="10">
        <f t="shared" si="130"/>
        <v>3.1211638714127936</v>
      </c>
      <c r="I189" s="10">
        <f t="shared" si="130"/>
        <v>3.1613101466906572</v>
      </c>
      <c r="J189" s="10">
        <f t="shared" si="130"/>
        <v>3.322223361053541</v>
      </c>
      <c r="K189" s="10">
        <f t="shared" si="130"/>
        <v>3.380150801310446</v>
      </c>
      <c r="L189" s="10">
        <f t="shared" si="130"/>
        <v>3.1536446859989176</v>
      </c>
      <c r="M189" s="10">
        <f t="shared" si="130"/>
        <v>3.0835018008913115</v>
      </c>
      <c r="N189" s="10">
        <f t="shared" si="130"/>
        <v>3.1919077073567146</v>
      </c>
      <c r="O189" s="10">
        <f t="shared" si="130"/>
        <v>2.9787131301609602</v>
      </c>
      <c r="P189" s="10">
        <f t="shared" si="130"/>
        <v>3.143887957238682</v>
      </c>
      <c r="Q189" s="10">
        <f t="shared" si="130"/>
        <v>4.0164321521498447</v>
      </c>
      <c r="R189" s="10">
        <f t="shared" si="130"/>
        <v>2.8000772847929873</v>
      </c>
      <c r="S189" s="10">
        <f t="shared" si="130"/>
        <v>2.8443940688806624</v>
      </c>
      <c r="T189" s="10">
        <f t="shared" si="130"/>
        <v>2.761058264398522</v>
      </c>
      <c r="U189" s="10">
        <f t="shared" si="130"/>
        <v>3.1691704867598349</v>
      </c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s="11" customFormat="1">
      <c r="A190" s="9" t="s">
        <v>258</v>
      </c>
      <c r="B190" s="10">
        <f>B189-B158</f>
        <v>3.4731134462891142</v>
      </c>
      <c r="C190" s="10">
        <f t="shared" ref="C190:U190" si="131">C189-C158</f>
        <v>3.1894982155843499</v>
      </c>
      <c r="D190" s="10">
        <f t="shared" si="131"/>
        <v>3.1045689180818643</v>
      </c>
      <c r="E190" s="10">
        <f t="shared" si="131"/>
        <v>3.1306512222354086</v>
      </c>
      <c r="F190" s="10">
        <f t="shared" si="131"/>
        <v>3.160126937699411</v>
      </c>
      <c r="G190" s="10">
        <f t="shared" si="131"/>
        <v>2.9768756817795738</v>
      </c>
      <c r="H190" s="10">
        <f t="shared" si="131"/>
        <v>3.1211638714127936</v>
      </c>
      <c r="I190" s="10">
        <f t="shared" si="131"/>
        <v>3.1613101466906572</v>
      </c>
      <c r="J190" s="10">
        <f t="shared" si="131"/>
        <v>3.2954836736713893</v>
      </c>
      <c r="K190" s="10">
        <f t="shared" si="131"/>
        <v>3.380150801310446</v>
      </c>
      <c r="L190" s="10">
        <f t="shared" si="131"/>
        <v>3.1536446859989176</v>
      </c>
      <c r="M190" s="10">
        <f t="shared" si="131"/>
        <v>3.0835018008913115</v>
      </c>
      <c r="N190" s="10">
        <f t="shared" si="131"/>
        <v>3.1919077073567146</v>
      </c>
      <c r="O190" s="10">
        <f t="shared" si="131"/>
        <v>2.9787131301609602</v>
      </c>
      <c r="P190" s="10">
        <f t="shared" si="131"/>
        <v>3.143887957238682</v>
      </c>
      <c r="Q190" s="10">
        <f t="shared" si="131"/>
        <v>4.0164321521498447</v>
      </c>
      <c r="R190" s="10">
        <f t="shared" si="131"/>
        <v>2.8000772847929873</v>
      </c>
      <c r="S190" s="10">
        <f t="shared" si="131"/>
        <v>2.8443940688806624</v>
      </c>
      <c r="T190" s="10">
        <f t="shared" si="131"/>
        <v>2.761058264398522</v>
      </c>
      <c r="U190" s="10">
        <f t="shared" si="131"/>
        <v>3.1691704867598349</v>
      </c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34" s="11" customFormat="1">
      <c r="A191" s="9" t="s">
        <v>259</v>
      </c>
      <c r="B191" s="10">
        <f>B190+B97+B98+B100+B137</f>
        <v>4.9749171449887122</v>
      </c>
      <c r="C191" s="10">
        <f t="shared" ref="C191:U191" si="132">C190+C97+C98+C100+C137</f>
        <v>4.9853346735605673</v>
      </c>
      <c r="D191" s="10">
        <f t="shared" si="132"/>
        <v>4.9574914942558728</v>
      </c>
      <c r="E191" s="10">
        <f t="shared" si="132"/>
        <v>5.0000000000000018</v>
      </c>
      <c r="F191" s="10">
        <f t="shared" si="132"/>
        <v>4.92969398197366</v>
      </c>
      <c r="G191" s="10">
        <f t="shared" si="132"/>
        <v>4.898916768445865</v>
      </c>
      <c r="H191" s="10">
        <f t="shared" si="132"/>
        <v>4.9132505326669733</v>
      </c>
      <c r="I191" s="10">
        <f t="shared" si="132"/>
        <v>4.9483743404661995</v>
      </c>
      <c r="J191" s="10">
        <f t="shared" si="132"/>
        <v>5</v>
      </c>
      <c r="K191" s="10">
        <f t="shared" si="132"/>
        <v>4.9314903531683747</v>
      </c>
      <c r="L191" s="10">
        <f t="shared" si="132"/>
        <v>4.974051569561091</v>
      </c>
      <c r="M191" s="10">
        <f t="shared" si="132"/>
        <v>4.9219488793368704</v>
      </c>
      <c r="N191" s="10">
        <f t="shared" si="132"/>
        <v>4.9386292981996345</v>
      </c>
      <c r="O191" s="10">
        <f t="shared" si="132"/>
        <v>4.9132661102769521</v>
      </c>
      <c r="P191" s="10">
        <f t="shared" si="132"/>
        <v>4.7066722905071403</v>
      </c>
      <c r="Q191" s="10">
        <f t="shared" si="132"/>
        <v>4.8578680678138184</v>
      </c>
      <c r="R191" s="10">
        <f t="shared" si="132"/>
        <v>4.6665353246560652</v>
      </c>
      <c r="S191" s="10">
        <f t="shared" si="132"/>
        <v>4.6810046661862534</v>
      </c>
      <c r="T191" s="10">
        <f t="shared" si="132"/>
        <v>4.6691256759439872</v>
      </c>
      <c r="U191" s="10">
        <f t="shared" si="132"/>
        <v>4.955885670920261</v>
      </c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3" spans="1:30">
      <c r="A193" s="1" t="s">
        <v>238</v>
      </c>
    </row>
    <row r="194" spans="1:30">
      <c r="A194" s="1" t="s">
        <v>239</v>
      </c>
    </row>
    <row r="195" spans="1:30">
      <c r="A195" s="1" t="s">
        <v>240</v>
      </c>
    </row>
    <row r="196" spans="1:30">
      <c r="A196" s="1" t="s">
        <v>241</v>
      </c>
      <c r="B196" s="2">
        <f>B105+B141</f>
        <v>2.0250828550112878</v>
      </c>
      <c r="C196" s="2">
        <f t="shared" ref="C196:U196" si="133">C105+C141</f>
        <v>2.0146653264394327</v>
      </c>
      <c r="D196" s="2">
        <f t="shared" si="133"/>
        <v>2.0425085057441237</v>
      </c>
      <c r="E196" s="2">
        <f t="shared" si="133"/>
        <v>1.959582720342246</v>
      </c>
      <c r="F196" s="2">
        <f t="shared" si="133"/>
        <v>2.0703060180263377</v>
      </c>
      <c r="G196" s="2">
        <f t="shared" si="133"/>
        <v>2.1010832315541332</v>
      </c>
      <c r="H196" s="2">
        <f t="shared" si="133"/>
        <v>2.0867494673330271</v>
      </c>
      <c r="I196" s="2">
        <f t="shared" si="133"/>
        <v>2.0516256595337983</v>
      </c>
      <c r="J196" s="2">
        <f t="shared" si="133"/>
        <v>1.9732603126178465</v>
      </c>
      <c r="K196" s="2">
        <f t="shared" si="133"/>
        <v>2.0685096468316222</v>
      </c>
      <c r="L196" s="2">
        <f t="shared" si="133"/>
        <v>2.0259484304389077</v>
      </c>
      <c r="M196" s="2">
        <f t="shared" si="133"/>
        <v>2.0780511206631291</v>
      </c>
      <c r="N196" s="2">
        <f t="shared" si="133"/>
        <v>2.0613707018003651</v>
      </c>
      <c r="O196" s="2">
        <f t="shared" si="133"/>
        <v>2.086733889723047</v>
      </c>
      <c r="P196" s="2">
        <f t="shared" si="133"/>
        <v>2.2933277094928588</v>
      </c>
      <c r="Q196" s="2">
        <f t="shared" si="133"/>
        <v>2.1421319321861789</v>
      </c>
      <c r="R196" s="2">
        <f t="shared" si="133"/>
        <v>2.3334646753439325</v>
      </c>
      <c r="S196" s="2">
        <f t="shared" si="133"/>
        <v>2.3189953338137439</v>
      </c>
      <c r="T196" s="2">
        <f t="shared" si="133"/>
        <v>2.3308743240560137</v>
      </c>
      <c r="U196" s="2">
        <f t="shared" si="133"/>
        <v>2.044114329079743</v>
      </c>
    </row>
    <row r="197" spans="1:30">
      <c r="A197" s="1" t="s">
        <v>181</v>
      </c>
      <c r="B197" s="2">
        <f>B141</f>
        <v>0.38251896093843518</v>
      </c>
      <c r="C197" s="2">
        <f t="shared" ref="C197:U197" si="134">C141</f>
        <v>0.39070393073805332</v>
      </c>
      <c r="D197" s="2">
        <f t="shared" si="134"/>
        <v>0.42018024978440771</v>
      </c>
      <c r="E197" s="2">
        <f t="shared" si="134"/>
        <v>0.39383115544927538</v>
      </c>
      <c r="F197" s="2">
        <f t="shared" si="134"/>
        <v>0.38903989057408855</v>
      </c>
      <c r="G197" s="2">
        <f t="shared" si="134"/>
        <v>0.41095333688297603</v>
      </c>
      <c r="H197" s="2">
        <f t="shared" si="134"/>
        <v>0.38322927194721002</v>
      </c>
      <c r="I197" s="2">
        <f t="shared" si="134"/>
        <v>0.39177363499433754</v>
      </c>
      <c r="J197" s="2">
        <f t="shared" si="134"/>
        <v>0.39298568727118754</v>
      </c>
      <c r="K197" s="2">
        <f t="shared" si="134"/>
        <v>0.38067308076574757</v>
      </c>
      <c r="L197" s="2">
        <f t="shared" si="134"/>
        <v>0.42337136920266</v>
      </c>
      <c r="M197" s="2">
        <f t="shared" si="134"/>
        <v>0.40587833812336171</v>
      </c>
      <c r="N197" s="2">
        <f t="shared" si="134"/>
        <v>0.45579966120025744</v>
      </c>
      <c r="O197" s="2">
        <f t="shared" si="134"/>
        <v>0.41979657617571681</v>
      </c>
      <c r="P197" s="2">
        <f t="shared" si="134"/>
        <v>0.39152250600263333</v>
      </c>
      <c r="Q197" s="2">
        <f t="shared" si="134"/>
        <v>0.2051974636581376</v>
      </c>
      <c r="R197" s="2">
        <f t="shared" si="134"/>
        <v>0.47098971493138903</v>
      </c>
      <c r="S197" s="2">
        <f t="shared" si="134"/>
        <v>0.4430284428337139</v>
      </c>
      <c r="T197" s="2">
        <f t="shared" si="134"/>
        <v>0.45094757421649834</v>
      </c>
      <c r="U197" s="2">
        <f t="shared" si="134"/>
        <v>0.39531522017922532</v>
      </c>
    </row>
    <row r="198" spans="1:30">
      <c r="A198" s="1" t="s">
        <v>158</v>
      </c>
      <c r="B198" s="2">
        <f>B143</f>
        <v>4.474506296180436E-2</v>
      </c>
      <c r="C198" s="2">
        <f t="shared" ref="C198:U198" si="135">C143</f>
        <v>2.5707655026545675E-2</v>
      </c>
      <c r="D198" s="2">
        <f t="shared" si="135"/>
        <v>4.943529552014899E-2</v>
      </c>
      <c r="E198" s="2">
        <f t="shared" si="135"/>
        <v>4.6606872483650634E-2</v>
      </c>
      <c r="F198" s="2">
        <f t="shared" si="135"/>
        <v>6.2614214125551584E-2</v>
      </c>
      <c r="G198" s="2">
        <f t="shared" si="135"/>
        <v>4.7825906155212969E-2</v>
      </c>
      <c r="H198" s="2">
        <f t="shared" si="135"/>
        <v>3.8652010120606213E-2</v>
      </c>
      <c r="I198" s="2">
        <f t="shared" si="135"/>
        <v>4.2049284698095019E-2</v>
      </c>
      <c r="J198" s="2">
        <f t="shared" si="135"/>
        <v>2.9342173878957097E-2</v>
      </c>
      <c r="K198" s="2">
        <f t="shared" si="135"/>
        <v>5.2425297493754783E-2</v>
      </c>
      <c r="L198" s="2">
        <f t="shared" si="135"/>
        <v>2.5490172410451262E-2</v>
      </c>
      <c r="M198" s="2">
        <f t="shared" si="135"/>
        <v>4.0519607978502716E-2</v>
      </c>
      <c r="N198" s="2">
        <f t="shared" si="135"/>
        <v>4.5998226265279385E-2</v>
      </c>
      <c r="O198" s="2">
        <f t="shared" si="135"/>
        <v>4.5731625301463838E-2</v>
      </c>
      <c r="P198" s="2">
        <f t="shared" si="135"/>
        <v>0.13627468549763308</v>
      </c>
      <c r="Q198" s="2">
        <f t="shared" si="135"/>
        <v>4.7438210679394875E-2</v>
      </c>
      <c r="R198" s="2">
        <f t="shared" si="135"/>
        <v>0.18371508998416278</v>
      </c>
      <c r="S198" s="2">
        <f t="shared" si="135"/>
        <v>0.1893855377675473</v>
      </c>
      <c r="T198" s="2">
        <f t="shared" si="135"/>
        <v>0.17432055860125914</v>
      </c>
      <c r="U198" s="2">
        <f t="shared" si="135"/>
        <v>4.4695727082821886E-2</v>
      </c>
    </row>
    <row r="199" spans="1:30">
      <c r="A199" s="1" t="s">
        <v>242</v>
      </c>
      <c r="B199" s="2">
        <f>B138</f>
        <v>0.80176788916452058</v>
      </c>
      <c r="C199" s="2">
        <f t="shared" ref="C199:U199" si="136">C138</f>
        <v>0.90351942486992531</v>
      </c>
      <c r="D199" s="2">
        <f t="shared" si="136"/>
        <v>0.86527173455519535</v>
      </c>
      <c r="E199" s="2">
        <f t="shared" si="136"/>
        <v>0.86121495135302095</v>
      </c>
      <c r="F199" s="2">
        <f t="shared" si="136"/>
        <v>0.86179285942361983</v>
      </c>
      <c r="G199" s="2">
        <f t="shared" si="136"/>
        <v>0.89134273264670461</v>
      </c>
      <c r="H199" s="2">
        <f t="shared" si="136"/>
        <v>0.88168323113829083</v>
      </c>
      <c r="I199" s="2">
        <f t="shared" si="136"/>
        <v>0.86757013529977811</v>
      </c>
      <c r="J199" s="2">
        <f t="shared" si="136"/>
        <v>0.85608999958046184</v>
      </c>
      <c r="K199" s="2">
        <f t="shared" si="136"/>
        <v>0.77120602877301059</v>
      </c>
      <c r="L199" s="2">
        <f t="shared" si="136"/>
        <v>0.89712499219325048</v>
      </c>
      <c r="M199" s="2">
        <f t="shared" si="136"/>
        <v>0.87684503320729823</v>
      </c>
      <c r="N199" s="2">
        <f t="shared" si="136"/>
        <v>0.81632708762333805</v>
      </c>
      <c r="O199" s="2">
        <f t="shared" si="136"/>
        <v>0.89301471060807425</v>
      </c>
      <c r="P199" s="2">
        <f t="shared" si="136"/>
        <v>0.86503792164069593</v>
      </c>
      <c r="Q199" s="2">
        <f t="shared" si="136"/>
        <v>0.87711095734301781</v>
      </c>
      <c r="R199" s="2">
        <f t="shared" si="136"/>
        <v>0.91012252149288597</v>
      </c>
      <c r="S199" s="2">
        <f t="shared" si="136"/>
        <v>0.89556885064009228</v>
      </c>
      <c r="T199" s="2">
        <f t="shared" si="136"/>
        <v>0.93005314832578578</v>
      </c>
      <c r="U199" s="2">
        <f t="shared" si="136"/>
        <v>0.8658851535167903</v>
      </c>
    </row>
    <row r="200" spans="1:30">
      <c r="A200" s="1" t="s">
        <v>116</v>
      </c>
      <c r="B200" s="2">
        <f>B96</f>
        <v>6.7876130505066703</v>
      </c>
      <c r="C200" s="2">
        <f t="shared" ref="C200:U201" si="137">C96</f>
        <v>6.5096249702953939</v>
      </c>
      <c r="D200" s="2">
        <f t="shared" si="137"/>
        <v>6.4563015242994402</v>
      </c>
      <c r="E200" s="2">
        <f t="shared" si="137"/>
        <v>6.4350158485976685</v>
      </c>
      <c r="F200" s="2">
        <f t="shared" si="137"/>
        <v>6.4895516940569884</v>
      </c>
      <c r="G200" s="2">
        <f t="shared" si="137"/>
        <v>6.3781948400493427</v>
      </c>
      <c r="H200" s="2">
        <f t="shared" si="137"/>
        <v>6.4873910233623135</v>
      </c>
      <c r="I200" s="2">
        <f t="shared" si="137"/>
        <v>6.496919393683414</v>
      </c>
      <c r="J200" s="2">
        <f t="shared" si="137"/>
        <v>6.6061556577338028</v>
      </c>
      <c r="K200" s="2">
        <f t="shared" si="137"/>
        <v>6.7265461183439985</v>
      </c>
      <c r="L200" s="2">
        <f t="shared" si="137"/>
        <v>6.513076648978358</v>
      </c>
      <c r="M200" s="2">
        <f t="shared" si="137"/>
        <v>6.4585114737754115</v>
      </c>
      <c r="N200" s="2">
        <f t="shared" si="137"/>
        <v>6.5947491623413992</v>
      </c>
      <c r="O200" s="2">
        <f t="shared" si="137"/>
        <v>6.3543240836072128</v>
      </c>
      <c r="P200" s="2">
        <f t="shared" si="137"/>
        <v>6.5417031767267337</v>
      </c>
      <c r="Q200" s="2">
        <f t="shared" si="137"/>
        <v>7.3077189675333152</v>
      </c>
      <c r="R200" s="2">
        <f t="shared" si="137"/>
        <v>6.2425083639067429</v>
      </c>
      <c r="S200" s="2">
        <f t="shared" si="137"/>
        <v>6.2430048035534309</v>
      </c>
      <c r="T200" s="2">
        <f t="shared" si="137"/>
        <v>6.1947427011180771</v>
      </c>
      <c r="U200" s="2">
        <f t="shared" si="137"/>
        <v>6.5046902415397341</v>
      </c>
    </row>
    <row r="201" spans="1:30">
      <c r="A201" s="1" t="s">
        <v>117</v>
      </c>
      <c r="B201" s="2">
        <f>B97</f>
        <v>4.8357148770360535E-2</v>
      </c>
      <c r="C201" s="2">
        <f t="shared" si="137"/>
        <v>5.9534847439895025E-2</v>
      </c>
      <c r="D201" s="2">
        <f t="shared" si="137"/>
        <v>6.1520853790823699E-2</v>
      </c>
      <c r="E201" s="2">
        <f t="shared" si="137"/>
        <v>4.2859656603363126E-2</v>
      </c>
      <c r="F201" s="2">
        <f t="shared" si="137"/>
        <v>6.7306938117292103E-2</v>
      </c>
      <c r="G201" s="2">
        <f t="shared" si="137"/>
        <v>6.2891504012135738E-2</v>
      </c>
      <c r="H201" s="2">
        <f t="shared" si="137"/>
        <v>6.5099577210103787E-2</v>
      </c>
      <c r="I201" s="2">
        <f t="shared" si="137"/>
        <v>6.574076283729488E-2</v>
      </c>
      <c r="J201" s="2">
        <f t="shared" si="137"/>
        <v>5.2971529329822499E-2</v>
      </c>
      <c r="K201" s="2">
        <f t="shared" si="137"/>
        <v>5.0362113070067861E-2</v>
      </c>
      <c r="L201" s="2">
        <f t="shared" si="137"/>
        <v>6.439766425168536E-2</v>
      </c>
      <c r="M201" s="2">
        <f t="shared" si="137"/>
        <v>6.8400177923888431E-2</v>
      </c>
      <c r="N201" s="2">
        <f t="shared" si="137"/>
        <v>6.8330681750670086E-2</v>
      </c>
      <c r="O201" s="2">
        <f t="shared" si="137"/>
        <v>8.5187887151047206E-2</v>
      </c>
      <c r="P201" s="2">
        <f t="shared" si="137"/>
        <v>0.1507603105098114</v>
      </c>
      <c r="Q201" s="2">
        <f t="shared" si="137"/>
        <v>8.6043697814556612E-3</v>
      </c>
      <c r="R201" s="2">
        <f t="shared" si="137"/>
        <v>0.17830822117740772</v>
      </c>
      <c r="S201" s="2">
        <f t="shared" si="137"/>
        <v>0.17402750420714436</v>
      </c>
      <c r="T201" s="2">
        <f t="shared" si="137"/>
        <v>0.17381690295169089</v>
      </c>
      <c r="U201" s="2">
        <f t="shared" si="137"/>
        <v>5.9214067396229635E-2</v>
      </c>
    </row>
    <row r="202" spans="1:30">
      <c r="A202" s="1" t="s">
        <v>243</v>
      </c>
      <c r="B202" s="2">
        <f>B100/(B100+B136)</f>
        <v>0.45521132189747343</v>
      </c>
      <c r="C202" s="2">
        <f t="shared" ref="C202:U202" si="138">C100/(C100+C136)</f>
        <v>0.46968208461072314</v>
      </c>
      <c r="D202" s="2">
        <f t="shared" si="138"/>
        <v>0.46442380079124479</v>
      </c>
      <c r="E202" s="2">
        <f t="shared" si="138"/>
        <v>0.46586160544833088</v>
      </c>
      <c r="F202" s="2">
        <f t="shared" si="138"/>
        <v>0.45394362090390095</v>
      </c>
      <c r="G202" s="2">
        <f t="shared" si="138"/>
        <v>0.47275958758291475</v>
      </c>
      <c r="H202" s="2">
        <f t="shared" si="138"/>
        <v>0.45618368283724575</v>
      </c>
      <c r="I202" s="2">
        <f t="shared" si="138"/>
        <v>0.46109247732223985</v>
      </c>
      <c r="J202" s="2">
        <f t="shared" si="138"/>
        <v>0.46190585618192925</v>
      </c>
      <c r="K202" s="2">
        <f t="shared" si="138"/>
        <v>0.46570093955299224</v>
      </c>
      <c r="L202" s="2">
        <f t="shared" si="138"/>
        <v>0.47107713752321861</v>
      </c>
      <c r="M202" s="2">
        <f t="shared" si="138"/>
        <v>0.45919501392050915</v>
      </c>
      <c r="N202" s="2">
        <f t="shared" si="138"/>
        <v>0.44009119603263724</v>
      </c>
      <c r="O202" s="2">
        <f t="shared" si="138"/>
        <v>0.46374905938197392</v>
      </c>
      <c r="P202" s="2">
        <f t="shared" si="138"/>
        <v>0.45609157596068189</v>
      </c>
      <c r="Q202" s="2">
        <f t="shared" si="138"/>
        <v>0.50697823552575938</v>
      </c>
      <c r="R202" s="2">
        <f t="shared" si="138"/>
        <v>0.45940501893347829</v>
      </c>
      <c r="S202" s="2">
        <f t="shared" si="138"/>
        <v>0.45083370837640302</v>
      </c>
      <c r="T202" s="2">
        <f t="shared" si="138"/>
        <v>0.46881369473234402</v>
      </c>
      <c r="U202" s="2">
        <f t="shared" si="138"/>
        <v>0.46276617540078724</v>
      </c>
    </row>
    <row r="203" spans="1:30" s="45" customFormat="1">
      <c r="A203" s="43" t="s">
        <v>172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3"/>
      <c r="AC203" s="43"/>
      <c r="AD203" s="43"/>
    </row>
    <row r="204" spans="1:30">
      <c r="A204" s="48" t="s">
        <v>171</v>
      </c>
      <c r="B204" s="2">
        <f>IF(B196&lt;1.34, 1, 0)</f>
        <v>0</v>
      </c>
      <c r="C204" s="2">
        <f t="shared" ref="C204:U204" si="139">IF(C196&lt;1.34, 1, 0)</f>
        <v>0</v>
      </c>
      <c r="D204" s="2">
        <f t="shared" si="139"/>
        <v>0</v>
      </c>
      <c r="E204" s="2">
        <f t="shared" si="139"/>
        <v>0</v>
      </c>
      <c r="F204" s="2">
        <f t="shared" si="139"/>
        <v>0</v>
      </c>
      <c r="G204" s="2">
        <f t="shared" si="139"/>
        <v>0</v>
      </c>
      <c r="H204" s="2">
        <f t="shared" si="139"/>
        <v>0</v>
      </c>
      <c r="I204" s="2">
        <f t="shared" si="139"/>
        <v>0</v>
      </c>
      <c r="J204" s="2">
        <f t="shared" si="139"/>
        <v>0</v>
      </c>
      <c r="K204" s="2">
        <f t="shared" si="139"/>
        <v>0</v>
      </c>
      <c r="L204" s="2">
        <f t="shared" si="139"/>
        <v>0</v>
      </c>
      <c r="M204" s="2">
        <f t="shared" si="139"/>
        <v>0</v>
      </c>
      <c r="N204" s="2">
        <f t="shared" si="139"/>
        <v>0</v>
      </c>
      <c r="O204" s="2">
        <f t="shared" si="139"/>
        <v>0</v>
      </c>
      <c r="P204" s="2">
        <f t="shared" si="139"/>
        <v>0</v>
      </c>
      <c r="Q204" s="2">
        <f t="shared" si="139"/>
        <v>0</v>
      </c>
      <c r="R204" s="2">
        <f t="shared" si="139"/>
        <v>0</v>
      </c>
      <c r="S204" s="2">
        <f t="shared" si="139"/>
        <v>0</v>
      </c>
      <c r="T204" s="2">
        <f t="shared" si="139"/>
        <v>0</v>
      </c>
      <c r="U204" s="2">
        <f t="shared" si="139"/>
        <v>0</v>
      </c>
    </row>
    <row r="205" spans="1:30">
      <c r="A205" s="1" t="s">
        <v>183</v>
      </c>
      <c r="B205" s="2">
        <f>IF(B204=1, IF(B200&gt;=7, 1, 0), 0)</f>
        <v>0</v>
      </c>
      <c r="C205" s="2">
        <f t="shared" ref="C205:U205" si="140">IF(C204=1, IF(C200&gt;=7, 1, 0), 0)</f>
        <v>0</v>
      </c>
      <c r="D205" s="2">
        <f t="shared" si="140"/>
        <v>0</v>
      </c>
      <c r="E205" s="2">
        <f t="shared" si="140"/>
        <v>0</v>
      </c>
      <c r="F205" s="2">
        <f t="shared" si="140"/>
        <v>0</v>
      </c>
      <c r="G205" s="2">
        <f t="shared" si="140"/>
        <v>0</v>
      </c>
      <c r="H205" s="2">
        <f t="shared" si="140"/>
        <v>0</v>
      </c>
      <c r="I205" s="2">
        <f t="shared" si="140"/>
        <v>0</v>
      </c>
      <c r="J205" s="2">
        <f t="shared" si="140"/>
        <v>0</v>
      </c>
      <c r="K205" s="2">
        <f t="shared" si="140"/>
        <v>0</v>
      </c>
      <c r="L205" s="2">
        <f t="shared" si="140"/>
        <v>0</v>
      </c>
      <c r="M205" s="2">
        <f t="shared" si="140"/>
        <v>0</v>
      </c>
      <c r="N205" s="2">
        <f t="shared" si="140"/>
        <v>0</v>
      </c>
      <c r="O205" s="2">
        <f t="shared" si="140"/>
        <v>0</v>
      </c>
      <c r="P205" s="2">
        <f t="shared" si="140"/>
        <v>0</v>
      </c>
      <c r="Q205" s="2">
        <f t="shared" si="140"/>
        <v>0</v>
      </c>
      <c r="R205" s="2">
        <f t="shared" si="140"/>
        <v>0</v>
      </c>
      <c r="S205" s="2">
        <f t="shared" si="140"/>
        <v>0</v>
      </c>
      <c r="T205" s="2">
        <f t="shared" si="140"/>
        <v>0</v>
      </c>
      <c r="U205" s="2">
        <f t="shared" si="140"/>
        <v>0</v>
      </c>
    </row>
    <row r="206" spans="1:30">
      <c r="A206" s="37" t="s">
        <v>184</v>
      </c>
      <c r="B206" s="2">
        <f>IF(B205=1, IF(B199&gt;0.9, 3, IF(B199&gt;0.3, 4, 5)), 0)</f>
        <v>0</v>
      </c>
      <c r="C206" s="2">
        <f t="shared" ref="C206:U206" si="141">IF(C205=1, IF(C199&gt;0.9, 3, IF(C199&gt;0.3, 4, 5)), 0)</f>
        <v>0</v>
      </c>
      <c r="D206" s="2">
        <f t="shared" si="141"/>
        <v>0</v>
      </c>
      <c r="E206" s="2">
        <f t="shared" si="141"/>
        <v>0</v>
      </c>
      <c r="F206" s="2">
        <f t="shared" si="141"/>
        <v>0</v>
      </c>
      <c r="G206" s="2">
        <f t="shared" si="141"/>
        <v>0</v>
      </c>
      <c r="H206" s="2">
        <f t="shared" si="141"/>
        <v>0</v>
      </c>
      <c r="I206" s="2">
        <f t="shared" si="141"/>
        <v>0</v>
      </c>
      <c r="J206" s="2">
        <f t="shared" si="141"/>
        <v>0</v>
      </c>
      <c r="K206" s="2">
        <f t="shared" si="141"/>
        <v>0</v>
      </c>
      <c r="L206" s="2">
        <f t="shared" si="141"/>
        <v>0</v>
      </c>
      <c r="M206" s="2">
        <f t="shared" si="141"/>
        <v>0</v>
      </c>
      <c r="N206" s="2">
        <f t="shared" si="141"/>
        <v>0</v>
      </c>
      <c r="O206" s="2">
        <f t="shared" si="141"/>
        <v>0</v>
      </c>
      <c r="P206" s="2">
        <f t="shared" si="141"/>
        <v>0</v>
      </c>
      <c r="Q206" s="2">
        <f t="shared" si="141"/>
        <v>0</v>
      </c>
      <c r="R206" s="2">
        <f t="shared" si="141"/>
        <v>0</v>
      </c>
      <c r="S206" s="2">
        <f t="shared" si="141"/>
        <v>0</v>
      </c>
      <c r="T206" s="2">
        <f t="shared" si="141"/>
        <v>0</v>
      </c>
      <c r="U206" s="2">
        <f t="shared" si="141"/>
        <v>0</v>
      </c>
    </row>
    <row r="207" spans="1:30">
      <c r="A207" s="38" t="s">
        <v>185</v>
      </c>
      <c r="B207" s="2">
        <f>IF(B204=1, IF(B200&lt;7, 1, 0), 0)</f>
        <v>0</v>
      </c>
      <c r="C207" s="2">
        <f t="shared" ref="C207:U207" si="142">IF(C204=1, IF(C200&lt;7, 1, 0), 0)</f>
        <v>0</v>
      </c>
      <c r="D207" s="2">
        <f t="shared" si="142"/>
        <v>0</v>
      </c>
      <c r="E207" s="2">
        <f t="shared" si="142"/>
        <v>0</v>
      </c>
      <c r="F207" s="2">
        <f t="shared" si="142"/>
        <v>0</v>
      </c>
      <c r="G207" s="2">
        <f t="shared" si="142"/>
        <v>0</v>
      </c>
      <c r="H207" s="2">
        <f t="shared" si="142"/>
        <v>0</v>
      </c>
      <c r="I207" s="2">
        <f t="shared" si="142"/>
        <v>0</v>
      </c>
      <c r="J207" s="2">
        <f t="shared" si="142"/>
        <v>0</v>
      </c>
      <c r="K207" s="2">
        <f t="shared" si="142"/>
        <v>0</v>
      </c>
      <c r="L207" s="2">
        <f t="shared" si="142"/>
        <v>0</v>
      </c>
      <c r="M207" s="2">
        <f t="shared" si="142"/>
        <v>0</v>
      </c>
      <c r="N207" s="2">
        <f t="shared" si="142"/>
        <v>0</v>
      </c>
      <c r="O207" s="2">
        <f t="shared" si="142"/>
        <v>0</v>
      </c>
      <c r="P207" s="2">
        <f t="shared" si="142"/>
        <v>0</v>
      </c>
      <c r="Q207" s="2">
        <f t="shared" si="142"/>
        <v>0</v>
      </c>
      <c r="R207" s="2">
        <f t="shared" si="142"/>
        <v>0</v>
      </c>
      <c r="S207" s="2">
        <f t="shared" si="142"/>
        <v>0</v>
      </c>
      <c r="T207" s="2">
        <f t="shared" si="142"/>
        <v>0</v>
      </c>
      <c r="U207" s="2">
        <f t="shared" si="142"/>
        <v>0</v>
      </c>
    </row>
    <row r="208" spans="1:30">
      <c r="A208" s="37" t="s">
        <v>186</v>
      </c>
      <c r="B208" s="2">
        <f>IF(B207=1, IF(B199&gt;0.9, 6, IF(B199&gt;0.3, 7, 8)), 0)</f>
        <v>0</v>
      </c>
      <c r="C208" s="2">
        <f t="shared" ref="C208:U208" si="143">IF(C207=1, IF(C199&gt;0.9, 6, IF(C199&gt;0.3, 7, 8)), 0)</f>
        <v>0</v>
      </c>
      <c r="D208" s="2">
        <f t="shared" si="143"/>
        <v>0</v>
      </c>
      <c r="E208" s="2">
        <f t="shared" si="143"/>
        <v>0</v>
      </c>
      <c r="F208" s="2">
        <f t="shared" si="143"/>
        <v>0</v>
      </c>
      <c r="G208" s="2">
        <f t="shared" si="143"/>
        <v>0</v>
      </c>
      <c r="H208" s="2">
        <f t="shared" si="143"/>
        <v>0</v>
      </c>
      <c r="I208" s="2">
        <f t="shared" si="143"/>
        <v>0</v>
      </c>
      <c r="J208" s="2">
        <f t="shared" si="143"/>
        <v>0</v>
      </c>
      <c r="K208" s="2">
        <f t="shared" si="143"/>
        <v>0</v>
      </c>
      <c r="L208" s="2">
        <f t="shared" si="143"/>
        <v>0</v>
      </c>
      <c r="M208" s="2">
        <f t="shared" si="143"/>
        <v>0</v>
      </c>
      <c r="N208" s="2">
        <f t="shared" si="143"/>
        <v>0</v>
      </c>
      <c r="O208" s="2">
        <f t="shared" si="143"/>
        <v>0</v>
      </c>
      <c r="P208" s="2">
        <f t="shared" si="143"/>
        <v>0</v>
      </c>
      <c r="Q208" s="2">
        <f t="shared" si="143"/>
        <v>0</v>
      </c>
      <c r="R208" s="2">
        <f t="shared" si="143"/>
        <v>0</v>
      </c>
      <c r="S208" s="2">
        <f t="shared" si="143"/>
        <v>0</v>
      </c>
      <c r="T208" s="2">
        <f t="shared" si="143"/>
        <v>0</v>
      </c>
      <c r="U208" s="2">
        <f t="shared" si="143"/>
        <v>0</v>
      </c>
    </row>
    <row r="209" spans="1:21">
      <c r="A209" s="46" t="s">
        <v>254</v>
      </c>
    </row>
    <row r="210" spans="1:21">
      <c r="A210" s="48" t="s">
        <v>182</v>
      </c>
      <c r="B210" s="2">
        <f>IF(B204=0, IF(B197&lt;0.67, 1, 0), 0)</f>
        <v>1</v>
      </c>
      <c r="C210" s="2">
        <f t="shared" ref="C210:U210" si="144">IF(C204=0, IF(C197&lt;0.67, 1, 0), 0)</f>
        <v>1</v>
      </c>
      <c r="D210" s="2">
        <f t="shared" si="144"/>
        <v>1</v>
      </c>
      <c r="E210" s="2">
        <f t="shared" si="144"/>
        <v>1</v>
      </c>
      <c r="F210" s="2">
        <f>IF(F204=0, IF(F197&lt;0.67, 1, 0), 0)</f>
        <v>1</v>
      </c>
      <c r="G210" s="2">
        <f t="shared" si="144"/>
        <v>1</v>
      </c>
      <c r="H210" s="2">
        <f t="shared" si="144"/>
        <v>1</v>
      </c>
      <c r="I210" s="2">
        <f t="shared" si="144"/>
        <v>1</v>
      </c>
      <c r="J210" s="2">
        <f t="shared" si="144"/>
        <v>1</v>
      </c>
      <c r="K210" s="2">
        <f t="shared" si="144"/>
        <v>1</v>
      </c>
      <c r="L210" s="2">
        <f t="shared" si="144"/>
        <v>1</v>
      </c>
      <c r="M210" s="2">
        <f t="shared" si="144"/>
        <v>1</v>
      </c>
      <c r="N210" s="2">
        <f t="shared" si="144"/>
        <v>1</v>
      </c>
      <c r="O210" s="2">
        <f t="shared" si="144"/>
        <v>1</v>
      </c>
      <c r="P210" s="2">
        <f t="shared" si="144"/>
        <v>1</v>
      </c>
      <c r="Q210" s="2">
        <f t="shared" si="144"/>
        <v>1</v>
      </c>
      <c r="R210" s="2">
        <f t="shared" si="144"/>
        <v>1</v>
      </c>
      <c r="S210" s="2">
        <f t="shared" si="144"/>
        <v>1</v>
      </c>
      <c r="T210" s="2">
        <f t="shared" si="144"/>
        <v>1</v>
      </c>
      <c r="U210" s="2">
        <f t="shared" si="144"/>
        <v>1</v>
      </c>
    </row>
    <row r="211" spans="1:21">
      <c r="A211" s="38" t="s">
        <v>255</v>
      </c>
      <c r="B211" s="2">
        <f>IF(B210=1, IF(B201&gt;0.5, 1, 0), 0)</f>
        <v>0</v>
      </c>
      <c r="C211" s="2">
        <f t="shared" ref="C211:U211" si="145">IF(C210=1, IF(C201&gt;0.5, 1, 0), 0)</f>
        <v>0</v>
      </c>
      <c r="D211" s="2">
        <f t="shared" si="145"/>
        <v>0</v>
      </c>
      <c r="E211" s="2">
        <f t="shared" si="145"/>
        <v>0</v>
      </c>
      <c r="F211" s="2">
        <f t="shared" si="145"/>
        <v>0</v>
      </c>
      <c r="G211" s="2">
        <f t="shared" si="145"/>
        <v>0</v>
      </c>
      <c r="H211" s="2">
        <f t="shared" si="145"/>
        <v>0</v>
      </c>
      <c r="I211" s="2">
        <f t="shared" si="145"/>
        <v>0</v>
      </c>
      <c r="J211" s="2">
        <f t="shared" si="145"/>
        <v>0</v>
      </c>
      <c r="K211" s="2">
        <f t="shared" si="145"/>
        <v>0</v>
      </c>
      <c r="L211" s="2">
        <f t="shared" si="145"/>
        <v>0</v>
      </c>
      <c r="M211" s="2">
        <f t="shared" si="145"/>
        <v>0</v>
      </c>
      <c r="N211" s="2">
        <f t="shared" si="145"/>
        <v>0</v>
      </c>
      <c r="O211" s="2">
        <f t="shared" si="145"/>
        <v>0</v>
      </c>
      <c r="P211" s="2">
        <f t="shared" si="145"/>
        <v>0</v>
      </c>
      <c r="Q211" s="2">
        <f t="shared" si="145"/>
        <v>0</v>
      </c>
      <c r="R211" s="2">
        <f t="shared" si="145"/>
        <v>0</v>
      </c>
      <c r="S211" s="2">
        <f t="shared" si="145"/>
        <v>0</v>
      </c>
      <c r="T211" s="2">
        <f t="shared" si="145"/>
        <v>0</v>
      </c>
      <c r="U211" s="2">
        <f t="shared" si="145"/>
        <v>0</v>
      </c>
    </row>
    <row r="212" spans="1:21">
      <c r="A212" s="37" t="s">
        <v>32</v>
      </c>
      <c r="B212" s="2">
        <f>IF(B211=1, IF(B199&gt;0.5, 9, 10), 0)</f>
        <v>0</v>
      </c>
      <c r="C212" s="2">
        <f t="shared" ref="C212:U212" si="146">IF(C211=1, IF(C199&gt;0.5, 9, 10), 0)</f>
        <v>0</v>
      </c>
      <c r="D212" s="2">
        <f t="shared" si="146"/>
        <v>0</v>
      </c>
      <c r="E212" s="2">
        <f t="shared" si="146"/>
        <v>0</v>
      </c>
      <c r="F212" s="2">
        <f t="shared" si="146"/>
        <v>0</v>
      </c>
      <c r="G212" s="2">
        <f t="shared" si="146"/>
        <v>0</v>
      </c>
      <c r="H212" s="2">
        <f t="shared" si="146"/>
        <v>0</v>
      </c>
      <c r="I212" s="2">
        <f t="shared" si="146"/>
        <v>0</v>
      </c>
      <c r="J212" s="2">
        <f t="shared" si="146"/>
        <v>0</v>
      </c>
      <c r="K212" s="2">
        <f t="shared" si="146"/>
        <v>0</v>
      </c>
      <c r="L212" s="2">
        <f t="shared" si="146"/>
        <v>0</v>
      </c>
      <c r="M212" s="2">
        <f t="shared" si="146"/>
        <v>0</v>
      </c>
      <c r="N212" s="2">
        <f t="shared" si="146"/>
        <v>0</v>
      </c>
      <c r="O212" s="2">
        <f t="shared" si="146"/>
        <v>0</v>
      </c>
      <c r="P212" s="2">
        <f t="shared" si="146"/>
        <v>0</v>
      </c>
      <c r="Q212" s="2">
        <f t="shared" si="146"/>
        <v>0</v>
      </c>
      <c r="R212" s="2">
        <f t="shared" si="146"/>
        <v>0</v>
      </c>
      <c r="S212" s="2">
        <f t="shared" si="146"/>
        <v>0</v>
      </c>
      <c r="T212" s="2">
        <f t="shared" si="146"/>
        <v>0</v>
      </c>
      <c r="U212" s="2">
        <f t="shared" si="146"/>
        <v>0</v>
      </c>
    </row>
    <row r="213" spans="1:21">
      <c r="A213" s="38" t="s">
        <v>256</v>
      </c>
      <c r="B213" s="2">
        <f>IF(B210=1, IF(B211=0, IF(B198&lt;0.5, 1, 0), 0), 0)</f>
        <v>1</v>
      </c>
      <c r="C213" s="2">
        <f t="shared" ref="C213:U213" si="147">IF(C210=1, IF(C211=0, IF(C198&lt;0.5, 1, 0), 0), 0)</f>
        <v>1</v>
      </c>
      <c r="D213" s="2">
        <f t="shared" si="147"/>
        <v>1</v>
      </c>
      <c r="E213" s="2">
        <f t="shared" si="147"/>
        <v>1</v>
      </c>
      <c r="F213" s="2">
        <f t="shared" si="147"/>
        <v>1</v>
      </c>
      <c r="G213" s="2">
        <f t="shared" si="147"/>
        <v>1</v>
      </c>
      <c r="H213" s="2">
        <f t="shared" si="147"/>
        <v>1</v>
      </c>
      <c r="I213" s="2">
        <f t="shared" si="147"/>
        <v>1</v>
      </c>
      <c r="J213" s="2">
        <f t="shared" si="147"/>
        <v>1</v>
      </c>
      <c r="K213" s="2">
        <f t="shared" si="147"/>
        <v>1</v>
      </c>
      <c r="L213" s="2">
        <f t="shared" si="147"/>
        <v>1</v>
      </c>
      <c r="M213" s="2">
        <f t="shared" si="147"/>
        <v>1</v>
      </c>
      <c r="N213" s="2">
        <f t="shared" si="147"/>
        <v>1</v>
      </c>
      <c r="O213" s="2">
        <f t="shared" si="147"/>
        <v>1</v>
      </c>
      <c r="P213" s="2">
        <f t="shared" si="147"/>
        <v>1</v>
      </c>
      <c r="Q213" s="2">
        <f t="shared" si="147"/>
        <v>1</v>
      </c>
      <c r="R213" s="2">
        <f t="shared" si="147"/>
        <v>1</v>
      </c>
      <c r="S213" s="2">
        <f t="shared" si="147"/>
        <v>1</v>
      </c>
      <c r="T213" s="2">
        <f t="shared" si="147"/>
        <v>1</v>
      </c>
      <c r="U213" s="2">
        <f t="shared" si="147"/>
        <v>1</v>
      </c>
    </row>
    <row r="214" spans="1:21">
      <c r="A214" s="47" t="s">
        <v>257</v>
      </c>
      <c r="B214" s="2">
        <f>IF(B213=1, IF(B200&gt;7.5, 1, 0), 0)</f>
        <v>0</v>
      </c>
      <c r="C214" s="2">
        <f t="shared" ref="C214:U214" si="148">IF(C213=1, IF(C200&gt;7.5, 1, 0), 0)</f>
        <v>0</v>
      </c>
      <c r="D214" s="2">
        <f t="shared" si="148"/>
        <v>0</v>
      </c>
      <c r="E214" s="2">
        <f t="shared" si="148"/>
        <v>0</v>
      </c>
      <c r="F214" s="2">
        <f t="shared" si="148"/>
        <v>0</v>
      </c>
      <c r="G214" s="2">
        <f t="shared" si="148"/>
        <v>0</v>
      </c>
      <c r="H214" s="2">
        <f t="shared" si="148"/>
        <v>0</v>
      </c>
      <c r="I214" s="2">
        <f t="shared" si="148"/>
        <v>0</v>
      </c>
      <c r="J214" s="2">
        <f t="shared" si="148"/>
        <v>0</v>
      </c>
      <c r="K214" s="2">
        <f t="shared" si="148"/>
        <v>0</v>
      </c>
      <c r="L214" s="2">
        <f t="shared" si="148"/>
        <v>0</v>
      </c>
      <c r="M214" s="2">
        <f t="shared" si="148"/>
        <v>0</v>
      </c>
      <c r="N214" s="2">
        <f t="shared" si="148"/>
        <v>0</v>
      </c>
      <c r="O214" s="2">
        <f t="shared" si="148"/>
        <v>0</v>
      </c>
      <c r="P214" s="2">
        <f t="shared" si="148"/>
        <v>0</v>
      </c>
      <c r="Q214" s="2">
        <f t="shared" si="148"/>
        <v>0</v>
      </c>
      <c r="R214" s="2">
        <f t="shared" si="148"/>
        <v>0</v>
      </c>
      <c r="S214" s="2">
        <f t="shared" si="148"/>
        <v>0</v>
      </c>
      <c r="T214" s="2">
        <f t="shared" si="148"/>
        <v>0</v>
      </c>
      <c r="U214" s="2">
        <f t="shared" si="148"/>
        <v>0</v>
      </c>
    </row>
    <row r="215" spans="1:21">
      <c r="A215" s="37" t="s">
        <v>47</v>
      </c>
      <c r="B215" s="2">
        <f>IF(B214=1, IF(B199&gt;0.9, 11, IF(B199&gt;0.5, 12, 13)), 0)</f>
        <v>0</v>
      </c>
      <c r="C215" s="2">
        <f t="shared" ref="C215:U215" si="149">IF(C214=1, IF(C199&gt;0.9, 11, IF(C199&gt;0.5, 12, 13)), 0)</f>
        <v>0</v>
      </c>
      <c r="D215" s="2">
        <f t="shared" si="149"/>
        <v>0</v>
      </c>
      <c r="E215" s="2">
        <f t="shared" si="149"/>
        <v>0</v>
      </c>
      <c r="F215" s="2">
        <f t="shared" si="149"/>
        <v>0</v>
      </c>
      <c r="G215" s="2">
        <f t="shared" si="149"/>
        <v>0</v>
      </c>
      <c r="H215" s="2">
        <f t="shared" si="149"/>
        <v>0</v>
      </c>
      <c r="I215" s="2">
        <f t="shared" si="149"/>
        <v>0</v>
      </c>
      <c r="J215" s="2">
        <f t="shared" si="149"/>
        <v>0</v>
      </c>
      <c r="K215" s="2">
        <f t="shared" si="149"/>
        <v>0</v>
      </c>
      <c r="L215" s="2">
        <f t="shared" si="149"/>
        <v>0</v>
      </c>
      <c r="M215" s="2">
        <f t="shared" si="149"/>
        <v>0</v>
      </c>
      <c r="N215" s="2">
        <f t="shared" si="149"/>
        <v>0</v>
      </c>
      <c r="O215" s="2">
        <f t="shared" si="149"/>
        <v>0</v>
      </c>
      <c r="P215" s="2">
        <f t="shared" si="149"/>
        <v>0</v>
      </c>
      <c r="Q215" s="2">
        <f t="shared" si="149"/>
        <v>0</v>
      </c>
      <c r="R215" s="2">
        <f t="shared" si="149"/>
        <v>0</v>
      </c>
      <c r="S215" s="2">
        <f t="shared" si="149"/>
        <v>0</v>
      </c>
      <c r="T215" s="2">
        <f t="shared" si="149"/>
        <v>0</v>
      </c>
      <c r="U215" s="2">
        <f t="shared" si="149"/>
        <v>0</v>
      </c>
    </row>
    <row r="216" spans="1:21">
      <c r="A216" s="47" t="s">
        <v>48</v>
      </c>
      <c r="B216" s="2">
        <f>IF(B213=1, IF(B200&gt;7.25, IF(B200&lt;7.5, 1, 0), 0), 0)</f>
        <v>0</v>
      </c>
      <c r="C216" s="2">
        <f t="shared" ref="C216:U216" si="150">IF(C213=1, IF(C200&gt;7.25, IF(C200&lt;7.5, 1, 0), 0), 0)</f>
        <v>0</v>
      </c>
      <c r="D216" s="2">
        <f t="shared" si="150"/>
        <v>0</v>
      </c>
      <c r="E216" s="2">
        <f t="shared" si="150"/>
        <v>0</v>
      </c>
      <c r="F216" s="2">
        <f t="shared" si="150"/>
        <v>0</v>
      </c>
      <c r="G216" s="2">
        <f t="shared" si="150"/>
        <v>0</v>
      </c>
      <c r="H216" s="2">
        <f t="shared" si="150"/>
        <v>0</v>
      </c>
      <c r="I216" s="2">
        <f t="shared" si="150"/>
        <v>0</v>
      </c>
      <c r="J216" s="2">
        <f t="shared" si="150"/>
        <v>0</v>
      </c>
      <c r="K216" s="2">
        <f t="shared" si="150"/>
        <v>0</v>
      </c>
      <c r="L216" s="2">
        <f t="shared" si="150"/>
        <v>0</v>
      </c>
      <c r="M216" s="2">
        <f t="shared" si="150"/>
        <v>0</v>
      </c>
      <c r="N216" s="2">
        <f t="shared" si="150"/>
        <v>0</v>
      </c>
      <c r="O216" s="2">
        <f t="shared" si="150"/>
        <v>0</v>
      </c>
      <c r="P216" s="2">
        <f t="shared" si="150"/>
        <v>0</v>
      </c>
      <c r="Q216" s="2">
        <f t="shared" si="150"/>
        <v>1</v>
      </c>
      <c r="R216" s="2">
        <f t="shared" si="150"/>
        <v>0</v>
      </c>
      <c r="S216" s="2">
        <f t="shared" si="150"/>
        <v>0</v>
      </c>
      <c r="T216" s="2">
        <f t="shared" si="150"/>
        <v>0</v>
      </c>
      <c r="U216" s="2">
        <f t="shared" si="150"/>
        <v>0</v>
      </c>
    </row>
    <row r="217" spans="1:21">
      <c r="A217" s="37" t="s">
        <v>49</v>
      </c>
      <c r="B217" s="2">
        <f>IF(B216=1, IF(B199&gt;0.9, 14, IF(B199&gt;0.5, 15, 16)), 0)</f>
        <v>0</v>
      </c>
      <c r="C217" s="2">
        <f t="shared" ref="C217:U217" si="151">IF(C216=1, IF(C199&gt;0.9, 14, IF(C199&gt;0.5, 15, 16)), 0)</f>
        <v>0</v>
      </c>
      <c r="D217" s="2">
        <f t="shared" si="151"/>
        <v>0</v>
      </c>
      <c r="E217" s="2">
        <f t="shared" si="151"/>
        <v>0</v>
      </c>
      <c r="F217" s="2">
        <f t="shared" si="151"/>
        <v>0</v>
      </c>
      <c r="G217" s="2">
        <f t="shared" si="151"/>
        <v>0</v>
      </c>
      <c r="H217" s="2">
        <f t="shared" si="151"/>
        <v>0</v>
      </c>
      <c r="I217" s="2">
        <f t="shared" si="151"/>
        <v>0</v>
      </c>
      <c r="J217" s="2">
        <f t="shared" si="151"/>
        <v>0</v>
      </c>
      <c r="K217" s="2">
        <f t="shared" si="151"/>
        <v>0</v>
      </c>
      <c r="L217" s="2">
        <f t="shared" si="151"/>
        <v>0</v>
      </c>
      <c r="M217" s="2">
        <f t="shared" si="151"/>
        <v>0</v>
      </c>
      <c r="N217" s="2">
        <f t="shared" si="151"/>
        <v>0</v>
      </c>
      <c r="O217" s="2">
        <f t="shared" si="151"/>
        <v>0</v>
      </c>
      <c r="P217" s="2">
        <f t="shared" si="151"/>
        <v>0</v>
      </c>
      <c r="Q217" s="2">
        <f t="shared" si="151"/>
        <v>15</v>
      </c>
      <c r="R217" s="2">
        <f t="shared" si="151"/>
        <v>0</v>
      </c>
      <c r="S217" s="2">
        <f t="shared" si="151"/>
        <v>0</v>
      </c>
      <c r="T217" s="2">
        <f t="shared" si="151"/>
        <v>0</v>
      </c>
      <c r="U217" s="2">
        <f t="shared" si="151"/>
        <v>0</v>
      </c>
    </row>
    <row r="218" spans="1:21">
      <c r="A218" s="47" t="s">
        <v>50</v>
      </c>
      <c r="B218" s="2">
        <f>IF(B213=1, IF(B200&gt;6.5, IF(B200&lt;=7.25, 1, 0), 0), 0)</f>
        <v>1</v>
      </c>
      <c r="C218" s="2">
        <f t="shared" ref="C218:U218" si="152">IF(C213=1, IF(C200&gt;6.5, IF(C200&lt;=7.25, 1, 0), 0), 0)</f>
        <v>1</v>
      </c>
      <c r="D218" s="2">
        <f t="shared" si="152"/>
        <v>0</v>
      </c>
      <c r="E218" s="2">
        <f t="shared" si="152"/>
        <v>0</v>
      </c>
      <c r="F218" s="2">
        <f t="shared" si="152"/>
        <v>0</v>
      </c>
      <c r="G218" s="2">
        <f t="shared" si="152"/>
        <v>0</v>
      </c>
      <c r="H218" s="2">
        <f t="shared" si="152"/>
        <v>0</v>
      </c>
      <c r="I218" s="2">
        <f t="shared" si="152"/>
        <v>0</v>
      </c>
      <c r="J218" s="2">
        <f t="shared" si="152"/>
        <v>1</v>
      </c>
      <c r="K218" s="2">
        <f t="shared" si="152"/>
        <v>1</v>
      </c>
      <c r="L218" s="2">
        <f t="shared" si="152"/>
        <v>1</v>
      </c>
      <c r="M218" s="2">
        <f t="shared" si="152"/>
        <v>0</v>
      </c>
      <c r="N218" s="2">
        <f t="shared" si="152"/>
        <v>1</v>
      </c>
      <c r="O218" s="2">
        <f t="shared" si="152"/>
        <v>0</v>
      </c>
      <c r="P218" s="2">
        <f t="shared" si="152"/>
        <v>1</v>
      </c>
      <c r="Q218" s="2">
        <f t="shared" si="152"/>
        <v>0</v>
      </c>
      <c r="R218" s="2">
        <f t="shared" si="152"/>
        <v>0</v>
      </c>
      <c r="S218" s="2">
        <f t="shared" si="152"/>
        <v>0</v>
      </c>
      <c r="T218" s="2">
        <f t="shared" si="152"/>
        <v>0</v>
      </c>
      <c r="U218" s="2">
        <f t="shared" si="152"/>
        <v>1</v>
      </c>
    </row>
    <row r="219" spans="1:21">
      <c r="A219" s="37" t="s">
        <v>27</v>
      </c>
      <c r="B219" s="2">
        <f>IF(B218=1, IF(B199&gt;0.5, 17, 18), 0)</f>
        <v>17</v>
      </c>
      <c r="C219" s="2">
        <f t="shared" ref="C219:U219" si="153">IF(C218=1, IF(C199&gt;0.5, 17, 18), 0)</f>
        <v>17</v>
      </c>
      <c r="D219" s="2">
        <f t="shared" si="153"/>
        <v>0</v>
      </c>
      <c r="E219" s="2">
        <f t="shared" si="153"/>
        <v>0</v>
      </c>
      <c r="F219" s="2">
        <f t="shared" si="153"/>
        <v>0</v>
      </c>
      <c r="G219" s="2">
        <f t="shared" si="153"/>
        <v>0</v>
      </c>
      <c r="H219" s="2">
        <f t="shared" si="153"/>
        <v>0</v>
      </c>
      <c r="I219" s="2">
        <f t="shared" si="153"/>
        <v>0</v>
      </c>
      <c r="J219" s="2">
        <f t="shared" si="153"/>
        <v>17</v>
      </c>
      <c r="K219" s="2">
        <f t="shared" si="153"/>
        <v>17</v>
      </c>
      <c r="L219" s="2">
        <f t="shared" si="153"/>
        <v>17</v>
      </c>
      <c r="M219" s="2">
        <f t="shared" si="153"/>
        <v>0</v>
      </c>
      <c r="N219" s="2">
        <f t="shared" si="153"/>
        <v>17</v>
      </c>
      <c r="O219" s="2">
        <f t="shared" si="153"/>
        <v>0</v>
      </c>
      <c r="P219" s="2">
        <f t="shared" si="153"/>
        <v>17</v>
      </c>
      <c r="Q219" s="2">
        <f t="shared" si="153"/>
        <v>0</v>
      </c>
      <c r="R219" s="2">
        <f t="shared" si="153"/>
        <v>0</v>
      </c>
      <c r="S219" s="2">
        <f t="shared" si="153"/>
        <v>0</v>
      </c>
      <c r="T219" s="2">
        <f t="shared" si="153"/>
        <v>0</v>
      </c>
      <c r="U219" s="2">
        <f t="shared" si="153"/>
        <v>17</v>
      </c>
    </row>
    <row r="220" spans="1:21">
      <c r="A220" s="47" t="s">
        <v>28</v>
      </c>
      <c r="B220" s="2">
        <f>IF(B213=1, IF(B200&gt;6.25, IF(B200&lt;=6.5, 1, 0), 0), 0)</f>
        <v>0</v>
      </c>
      <c r="C220" s="2">
        <f t="shared" ref="C220:U220" si="154">IF(C213=1, IF(C200&gt;6.25, IF(C200&lt;=6.5, 1, 0), 0), 0)</f>
        <v>0</v>
      </c>
      <c r="D220" s="2">
        <f t="shared" si="154"/>
        <v>1</v>
      </c>
      <c r="E220" s="2">
        <f t="shared" si="154"/>
        <v>1</v>
      </c>
      <c r="F220" s="2">
        <f t="shared" si="154"/>
        <v>1</v>
      </c>
      <c r="G220" s="2">
        <f t="shared" si="154"/>
        <v>1</v>
      </c>
      <c r="H220" s="2">
        <f t="shared" si="154"/>
        <v>1</v>
      </c>
      <c r="I220" s="2">
        <f t="shared" si="154"/>
        <v>1</v>
      </c>
      <c r="J220" s="2">
        <f t="shared" si="154"/>
        <v>0</v>
      </c>
      <c r="K220" s="2">
        <f t="shared" si="154"/>
        <v>0</v>
      </c>
      <c r="L220" s="2">
        <f t="shared" si="154"/>
        <v>0</v>
      </c>
      <c r="M220" s="2">
        <f t="shared" si="154"/>
        <v>1</v>
      </c>
      <c r="N220" s="2">
        <f t="shared" si="154"/>
        <v>0</v>
      </c>
      <c r="O220" s="2">
        <f t="shared" si="154"/>
        <v>1</v>
      </c>
      <c r="P220" s="2">
        <f t="shared" si="154"/>
        <v>0</v>
      </c>
      <c r="Q220" s="2">
        <f t="shared" si="154"/>
        <v>0</v>
      </c>
      <c r="R220" s="2">
        <f t="shared" si="154"/>
        <v>0</v>
      </c>
      <c r="S220" s="2">
        <f t="shared" si="154"/>
        <v>0</v>
      </c>
      <c r="T220" s="2">
        <f t="shared" si="154"/>
        <v>0</v>
      </c>
      <c r="U220" s="2">
        <f t="shared" si="154"/>
        <v>0</v>
      </c>
    </row>
    <row r="221" spans="1:21">
      <c r="A221" s="37" t="s">
        <v>29</v>
      </c>
      <c r="B221" s="2">
        <f>IF(B220=1, IF(B199&gt;0.5, 19, 20), 0)</f>
        <v>0</v>
      </c>
      <c r="C221" s="2">
        <f t="shared" ref="C221:U221" si="155">IF(C220=1, IF(C199&gt;0.5, 19, 20), 0)</f>
        <v>0</v>
      </c>
      <c r="D221" s="2">
        <f t="shared" si="155"/>
        <v>19</v>
      </c>
      <c r="E221" s="2">
        <f t="shared" si="155"/>
        <v>19</v>
      </c>
      <c r="F221" s="2">
        <f t="shared" si="155"/>
        <v>19</v>
      </c>
      <c r="G221" s="2">
        <f t="shared" si="155"/>
        <v>19</v>
      </c>
      <c r="H221" s="2">
        <f t="shared" si="155"/>
        <v>19</v>
      </c>
      <c r="I221" s="2">
        <f t="shared" si="155"/>
        <v>19</v>
      </c>
      <c r="J221" s="2">
        <f t="shared" si="155"/>
        <v>0</v>
      </c>
      <c r="K221" s="2">
        <f t="shared" si="155"/>
        <v>0</v>
      </c>
      <c r="L221" s="2">
        <f t="shared" si="155"/>
        <v>0</v>
      </c>
      <c r="M221" s="2">
        <f t="shared" si="155"/>
        <v>19</v>
      </c>
      <c r="N221" s="2">
        <f t="shared" si="155"/>
        <v>0</v>
      </c>
      <c r="O221" s="2">
        <f t="shared" si="155"/>
        <v>19</v>
      </c>
      <c r="P221" s="2">
        <f t="shared" si="155"/>
        <v>0</v>
      </c>
      <c r="Q221" s="2">
        <f t="shared" si="155"/>
        <v>0</v>
      </c>
      <c r="R221" s="2">
        <f t="shared" si="155"/>
        <v>0</v>
      </c>
      <c r="S221" s="2">
        <f t="shared" si="155"/>
        <v>0</v>
      </c>
      <c r="T221" s="2">
        <f t="shared" si="155"/>
        <v>0</v>
      </c>
      <c r="U221" s="2">
        <f t="shared" si="155"/>
        <v>0</v>
      </c>
    </row>
    <row r="222" spans="1:21">
      <c r="A222" s="47" t="s">
        <v>30</v>
      </c>
      <c r="B222" s="2">
        <f>IF(B213=1, IF(B200&lt;=6.25, 1, 0), 0)</f>
        <v>0</v>
      </c>
      <c r="C222" s="2">
        <f t="shared" ref="C222:U222" si="156">IF(C213=1, IF(C200&lt;=6.25, 1, 0), 0)</f>
        <v>0</v>
      </c>
      <c r="D222" s="2">
        <f t="shared" si="156"/>
        <v>0</v>
      </c>
      <c r="E222" s="2">
        <f t="shared" si="156"/>
        <v>0</v>
      </c>
      <c r="F222" s="2">
        <f>IF(F213=1, IF(F200&lt;=6.25, 1, 0), 0)</f>
        <v>0</v>
      </c>
      <c r="G222" s="2">
        <f t="shared" si="156"/>
        <v>0</v>
      </c>
      <c r="H222" s="2">
        <f t="shared" si="156"/>
        <v>0</v>
      </c>
      <c r="I222" s="2">
        <f t="shared" si="156"/>
        <v>0</v>
      </c>
      <c r="J222" s="2">
        <f t="shared" si="156"/>
        <v>0</v>
      </c>
      <c r="K222" s="2">
        <f t="shared" si="156"/>
        <v>0</v>
      </c>
      <c r="L222" s="2">
        <f t="shared" si="156"/>
        <v>0</v>
      </c>
      <c r="M222" s="2">
        <f t="shared" si="156"/>
        <v>0</v>
      </c>
      <c r="N222" s="2">
        <f t="shared" si="156"/>
        <v>0</v>
      </c>
      <c r="O222" s="2">
        <f t="shared" si="156"/>
        <v>0</v>
      </c>
      <c r="P222" s="2">
        <f t="shared" si="156"/>
        <v>0</v>
      </c>
      <c r="Q222" s="2">
        <f t="shared" si="156"/>
        <v>0</v>
      </c>
      <c r="R222" s="2">
        <f t="shared" si="156"/>
        <v>1</v>
      </c>
      <c r="S222" s="2">
        <f t="shared" si="156"/>
        <v>1</v>
      </c>
      <c r="T222" s="2">
        <f t="shared" si="156"/>
        <v>1</v>
      </c>
      <c r="U222" s="2">
        <f t="shared" si="156"/>
        <v>0</v>
      </c>
    </row>
    <row r="223" spans="1:21">
      <c r="A223" s="37" t="s">
        <v>31</v>
      </c>
      <c r="B223" s="2">
        <f>IF(B222=1, IF(B199&gt;0.5, 21, 22), 0)</f>
        <v>0</v>
      </c>
      <c r="C223" s="2">
        <f t="shared" ref="C223:U223" si="157">IF(C222=1, IF(C199&gt;0.5, 21, 22), 0)</f>
        <v>0</v>
      </c>
      <c r="D223" s="2">
        <f t="shared" si="157"/>
        <v>0</v>
      </c>
      <c r="E223" s="2">
        <f t="shared" si="157"/>
        <v>0</v>
      </c>
      <c r="F223" s="2">
        <f t="shared" si="157"/>
        <v>0</v>
      </c>
      <c r="G223" s="2">
        <f t="shared" si="157"/>
        <v>0</v>
      </c>
      <c r="H223" s="2">
        <f t="shared" si="157"/>
        <v>0</v>
      </c>
      <c r="I223" s="2">
        <f t="shared" si="157"/>
        <v>0</v>
      </c>
      <c r="J223" s="2">
        <f t="shared" si="157"/>
        <v>0</v>
      </c>
      <c r="K223" s="2">
        <f t="shared" si="157"/>
        <v>0</v>
      </c>
      <c r="L223" s="2">
        <f t="shared" si="157"/>
        <v>0</v>
      </c>
      <c r="M223" s="2">
        <f t="shared" si="157"/>
        <v>0</v>
      </c>
      <c r="N223" s="2">
        <f t="shared" si="157"/>
        <v>0</v>
      </c>
      <c r="O223" s="2">
        <f t="shared" si="157"/>
        <v>0</v>
      </c>
      <c r="P223" s="2">
        <f t="shared" si="157"/>
        <v>0</v>
      </c>
      <c r="Q223" s="2">
        <f t="shared" si="157"/>
        <v>0</v>
      </c>
      <c r="R223" s="2">
        <f t="shared" si="157"/>
        <v>21</v>
      </c>
      <c r="S223" s="2">
        <f t="shared" si="157"/>
        <v>21</v>
      </c>
      <c r="T223" s="2">
        <f t="shared" si="157"/>
        <v>21</v>
      </c>
      <c r="U223" s="2">
        <f t="shared" si="157"/>
        <v>0</v>
      </c>
    </row>
    <row r="224" spans="1:21">
      <c r="A224" s="1" t="s">
        <v>45</v>
      </c>
      <c r="B224" s="2">
        <f>B211+B213</f>
        <v>1</v>
      </c>
      <c r="C224" s="2">
        <f t="shared" ref="C224:U224" si="158">C211+C213</f>
        <v>1</v>
      </c>
      <c r="D224" s="2">
        <f t="shared" si="158"/>
        <v>1</v>
      </c>
      <c r="E224" s="2">
        <f t="shared" si="158"/>
        <v>1</v>
      </c>
      <c r="F224" s="2">
        <f t="shared" si="158"/>
        <v>1</v>
      </c>
      <c r="G224" s="2">
        <f t="shared" si="158"/>
        <v>1</v>
      </c>
      <c r="H224" s="2">
        <f t="shared" si="158"/>
        <v>1</v>
      </c>
      <c r="I224" s="2">
        <f t="shared" si="158"/>
        <v>1</v>
      </c>
      <c r="J224" s="2">
        <f t="shared" si="158"/>
        <v>1</v>
      </c>
      <c r="K224" s="2">
        <f t="shared" si="158"/>
        <v>1</v>
      </c>
      <c r="L224" s="2">
        <f t="shared" si="158"/>
        <v>1</v>
      </c>
      <c r="M224" s="2">
        <f t="shared" si="158"/>
        <v>1</v>
      </c>
      <c r="N224" s="2">
        <f t="shared" si="158"/>
        <v>1</v>
      </c>
      <c r="O224" s="2">
        <f t="shared" si="158"/>
        <v>1</v>
      </c>
      <c r="P224" s="2">
        <f t="shared" si="158"/>
        <v>1</v>
      </c>
      <c r="Q224" s="2">
        <f t="shared" si="158"/>
        <v>1</v>
      </c>
      <c r="R224" s="2">
        <f t="shared" si="158"/>
        <v>1</v>
      </c>
      <c r="S224" s="2">
        <f t="shared" si="158"/>
        <v>1</v>
      </c>
      <c r="T224" s="2">
        <f t="shared" si="158"/>
        <v>1</v>
      </c>
      <c r="U224" s="2">
        <f t="shared" si="158"/>
        <v>1</v>
      </c>
    </row>
    <row r="225" spans="1:21">
      <c r="A225" s="38" t="s">
        <v>33</v>
      </c>
      <c r="B225" s="2">
        <f>IF(B210=1, IF(B224=0, IF(B202&lt;=0.5, 1, 0), 0), 0)</f>
        <v>0</v>
      </c>
      <c r="C225" s="2">
        <f t="shared" ref="C225:U225" si="159">IF(C210=1, IF(C224=0, IF(C202&lt;=0.5, 1, 0), 0), 0)</f>
        <v>0</v>
      </c>
      <c r="D225" s="2">
        <f t="shared" si="159"/>
        <v>0</v>
      </c>
      <c r="E225" s="2">
        <f t="shared" si="159"/>
        <v>0</v>
      </c>
      <c r="F225" s="2">
        <f t="shared" si="159"/>
        <v>0</v>
      </c>
      <c r="G225" s="2">
        <f t="shared" si="159"/>
        <v>0</v>
      </c>
      <c r="H225" s="2">
        <f t="shared" si="159"/>
        <v>0</v>
      </c>
      <c r="I225" s="2">
        <f t="shared" si="159"/>
        <v>0</v>
      </c>
      <c r="J225" s="2">
        <f t="shared" si="159"/>
        <v>0</v>
      </c>
      <c r="K225" s="2">
        <f t="shared" si="159"/>
        <v>0</v>
      </c>
      <c r="L225" s="2">
        <f t="shared" si="159"/>
        <v>0</v>
      </c>
      <c r="M225" s="2">
        <f t="shared" si="159"/>
        <v>0</v>
      </c>
      <c r="N225" s="2">
        <f t="shared" si="159"/>
        <v>0</v>
      </c>
      <c r="O225" s="2">
        <f t="shared" si="159"/>
        <v>0</v>
      </c>
      <c r="P225" s="2">
        <f t="shared" si="159"/>
        <v>0</v>
      </c>
      <c r="Q225" s="2">
        <f t="shared" si="159"/>
        <v>0</v>
      </c>
      <c r="R225" s="2">
        <f t="shared" si="159"/>
        <v>0</v>
      </c>
      <c r="S225" s="2">
        <f t="shared" si="159"/>
        <v>0</v>
      </c>
      <c r="T225" s="2">
        <f t="shared" si="159"/>
        <v>0</v>
      </c>
      <c r="U225" s="2">
        <f t="shared" si="159"/>
        <v>0</v>
      </c>
    </row>
    <row r="226" spans="1:21">
      <c r="A226" s="47" t="s">
        <v>34</v>
      </c>
      <c r="B226" s="2">
        <f>IF(B225=1, IF(B200&gt;7.25, 1, 0), 0)</f>
        <v>0</v>
      </c>
      <c r="C226" s="2">
        <f t="shared" ref="C226:U226" si="160">IF(C225=1, IF(C200&gt;7.25, 1, 0), 0)</f>
        <v>0</v>
      </c>
      <c r="D226" s="2">
        <f t="shared" si="160"/>
        <v>0</v>
      </c>
      <c r="E226" s="2">
        <f t="shared" si="160"/>
        <v>0</v>
      </c>
      <c r="F226" s="2">
        <f t="shared" si="160"/>
        <v>0</v>
      </c>
      <c r="G226" s="2">
        <f t="shared" si="160"/>
        <v>0</v>
      </c>
      <c r="H226" s="2">
        <f t="shared" si="160"/>
        <v>0</v>
      </c>
      <c r="I226" s="2">
        <f t="shared" si="160"/>
        <v>0</v>
      </c>
      <c r="J226" s="2">
        <f t="shared" si="160"/>
        <v>0</v>
      </c>
      <c r="K226" s="2">
        <f t="shared" si="160"/>
        <v>0</v>
      </c>
      <c r="L226" s="2">
        <f t="shared" si="160"/>
        <v>0</v>
      </c>
      <c r="M226" s="2">
        <f t="shared" si="160"/>
        <v>0</v>
      </c>
      <c r="N226" s="2">
        <f t="shared" si="160"/>
        <v>0</v>
      </c>
      <c r="O226" s="2">
        <f t="shared" si="160"/>
        <v>0</v>
      </c>
      <c r="P226" s="2">
        <f t="shared" si="160"/>
        <v>0</v>
      </c>
      <c r="Q226" s="2">
        <f t="shared" si="160"/>
        <v>0</v>
      </c>
      <c r="R226" s="2">
        <f t="shared" si="160"/>
        <v>0</v>
      </c>
      <c r="S226" s="2">
        <f t="shared" si="160"/>
        <v>0</v>
      </c>
      <c r="T226" s="2">
        <f t="shared" si="160"/>
        <v>0</v>
      </c>
      <c r="U226" s="2">
        <f t="shared" si="160"/>
        <v>0</v>
      </c>
    </row>
    <row r="227" spans="1:21">
      <c r="A227" s="37" t="s">
        <v>36</v>
      </c>
      <c r="B227" s="2">
        <f>IF(B226=1, IF(B199&gt;0.5, 23, 24), 0)</f>
        <v>0</v>
      </c>
      <c r="C227" s="2">
        <f t="shared" ref="C227:U227" si="161">IF(C226=1, IF(C199&gt;0.5, 23, 24), 0)</f>
        <v>0</v>
      </c>
      <c r="D227" s="2">
        <f t="shared" si="161"/>
        <v>0</v>
      </c>
      <c r="E227" s="2">
        <f t="shared" si="161"/>
        <v>0</v>
      </c>
      <c r="F227" s="2">
        <f t="shared" si="161"/>
        <v>0</v>
      </c>
      <c r="G227" s="2">
        <f t="shared" si="161"/>
        <v>0</v>
      </c>
      <c r="H227" s="2">
        <f t="shared" si="161"/>
        <v>0</v>
      </c>
      <c r="I227" s="2">
        <f t="shared" si="161"/>
        <v>0</v>
      </c>
      <c r="J227" s="2">
        <f t="shared" si="161"/>
        <v>0</v>
      </c>
      <c r="K227" s="2">
        <f t="shared" si="161"/>
        <v>0</v>
      </c>
      <c r="L227" s="2">
        <f t="shared" si="161"/>
        <v>0</v>
      </c>
      <c r="M227" s="2">
        <f t="shared" si="161"/>
        <v>0</v>
      </c>
      <c r="N227" s="2">
        <f t="shared" si="161"/>
        <v>0</v>
      </c>
      <c r="O227" s="2">
        <f t="shared" si="161"/>
        <v>0</v>
      </c>
      <c r="P227" s="2">
        <f t="shared" si="161"/>
        <v>0</v>
      </c>
      <c r="Q227" s="2">
        <f t="shared" si="161"/>
        <v>0</v>
      </c>
      <c r="R227" s="2">
        <f t="shared" si="161"/>
        <v>0</v>
      </c>
      <c r="S227" s="2">
        <f t="shared" si="161"/>
        <v>0</v>
      </c>
      <c r="T227" s="2">
        <f t="shared" si="161"/>
        <v>0</v>
      </c>
      <c r="U227" s="2">
        <f t="shared" si="161"/>
        <v>0</v>
      </c>
    </row>
    <row r="228" spans="1:21">
      <c r="A228" s="47" t="s">
        <v>35</v>
      </c>
      <c r="B228" s="2">
        <f>IF(B225=1, IF(B200&gt;6.75, IF(B200&lt;=7.25, 1, 0), 0), 0)</f>
        <v>0</v>
      </c>
      <c r="C228" s="2">
        <f t="shared" ref="C228:U228" si="162">IF(C225=1, IF(C200&gt;6.75, IF(C200&lt;=7.25, 1, 0), 0), 0)</f>
        <v>0</v>
      </c>
      <c r="D228" s="2">
        <f t="shared" si="162"/>
        <v>0</v>
      </c>
      <c r="E228" s="2">
        <f t="shared" si="162"/>
        <v>0</v>
      </c>
      <c r="F228" s="2">
        <f t="shared" si="162"/>
        <v>0</v>
      </c>
      <c r="G228" s="2">
        <f t="shared" si="162"/>
        <v>0</v>
      </c>
      <c r="H228" s="2">
        <f t="shared" si="162"/>
        <v>0</v>
      </c>
      <c r="I228" s="2">
        <f t="shared" si="162"/>
        <v>0</v>
      </c>
      <c r="J228" s="2">
        <f t="shared" si="162"/>
        <v>0</v>
      </c>
      <c r="K228" s="2">
        <f t="shared" si="162"/>
        <v>0</v>
      </c>
      <c r="L228" s="2">
        <f t="shared" si="162"/>
        <v>0</v>
      </c>
      <c r="M228" s="2">
        <f t="shared" si="162"/>
        <v>0</v>
      </c>
      <c r="N228" s="2">
        <f t="shared" si="162"/>
        <v>0</v>
      </c>
      <c r="O228" s="2">
        <f t="shared" si="162"/>
        <v>0</v>
      </c>
      <c r="P228" s="2">
        <f t="shared" si="162"/>
        <v>0</v>
      </c>
      <c r="Q228" s="2">
        <f t="shared" si="162"/>
        <v>0</v>
      </c>
      <c r="R228" s="2">
        <f t="shared" si="162"/>
        <v>0</v>
      </c>
      <c r="S228" s="2">
        <f t="shared" si="162"/>
        <v>0</v>
      </c>
      <c r="T228" s="2">
        <f t="shared" si="162"/>
        <v>0</v>
      </c>
      <c r="U228" s="2">
        <f t="shared" si="162"/>
        <v>0</v>
      </c>
    </row>
    <row r="229" spans="1:21">
      <c r="A229" s="37" t="s">
        <v>37</v>
      </c>
      <c r="B229" s="2">
        <f>IF(B228=1, IF(B199&gt;0.5, 25, 26), 0)</f>
        <v>0</v>
      </c>
      <c r="C229" s="2">
        <f t="shared" ref="C229:U229" si="163">IF(C228=1, IF(C199&gt;0.5, 25, 26), 0)</f>
        <v>0</v>
      </c>
      <c r="D229" s="2">
        <f t="shared" si="163"/>
        <v>0</v>
      </c>
      <c r="E229" s="2">
        <f t="shared" si="163"/>
        <v>0</v>
      </c>
      <c r="F229" s="2">
        <f t="shared" si="163"/>
        <v>0</v>
      </c>
      <c r="G229" s="2">
        <f t="shared" si="163"/>
        <v>0</v>
      </c>
      <c r="H229" s="2">
        <f t="shared" si="163"/>
        <v>0</v>
      </c>
      <c r="I229" s="2">
        <f t="shared" si="163"/>
        <v>0</v>
      </c>
      <c r="J229" s="2">
        <f t="shared" si="163"/>
        <v>0</v>
      </c>
      <c r="K229" s="2">
        <f t="shared" si="163"/>
        <v>0</v>
      </c>
      <c r="L229" s="2">
        <f t="shared" si="163"/>
        <v>0</v>
      </c>
      <c r="M229" s="2">
        <f t="shared" si="163"/>
        <v>0</v>
      </c>
      <c r="N229" s="2">
        <f t="shared" si="163"/>
        <v>0</v>
      </c>
      <c r="O229" s="2">
        <f t="shared" si="163"/>
        <v>0</v>
      </c>
      <c r="P229" s="2">
        <f t="shared" si="163"/>
        <v>0</v>
      </c>
      <c r="Q229" s="2">
        <f t="shared" si="163"/>
        <v>0</v>
      </c>
      <c r="R229" s="2">
        <f t="shared" si="163"/>
        <v>0</v>
      </c>
      <c r="S229" s="2">
        <f t="shared" si="163"/>
        <v>0</v>
      </c>
      <c r="T229" s="2">
        <f t="shared" si="163"/>
        <v>0</v>
      </c>
      <c r="U229" s="2">
        <f t="shared" si="163"/>
        <v>0</v>
      </c>
    </row>
    <row r="230" spans="1:21">
      <c r="A230" s="47" t="s">
        <v>38</v>
      </c>
      <c r="B230" s="2">
        <f>IF(B225=1, IF(B200&gt;6.5, IF(B200&lt;=6.75, 1, 0), 0), 0)</f>
        <v>0</v>
      </c>
      <c r="C230" s="2">
        <f t="shared" ref="C230:U230" si="164">IF(C225=1, IF(C200&gt;6.5, IF(C200&lt;=6.75, 1, 0), 0), 0)</f>
        <v>0</v>
      </c>
      <c r="D230" s="2">
        <f t="shared" si="164"/>
        <v>0</v>
      </c>
      <c r="E230" s="2">
        <f t="shared" si="164"/>
        <v>0</v>
      </c>
      <c r="F230" s="2">
        <f t="shared" si="164"/>
        <v>0</v>
      </c>
      <c r="G230" s="2">
        <f t="shared" si="164"/>
        <v>0</v>
      </c>
      <c r="H230" s="2">
        <f t="shared" si="164"/>
        <v>0</v>
      </c>
      <c r="I230" s="2">
        <f t="shared" si="164"/>
        <v>0</v>
      </c>
      <c r="J230" s="2">
        <f t="shared" si="164"/>
        <v>0</v>
      </c>
      <c r="K230" s="2">
        <f t="shared" si="164"/>
        <v>0</v>
      </c>
      <c r="L230" s="2">
        <f t="shared" si="164"/>
        <v>0</v>
      </c>
      <c r="M230" s="2">
        <f t="shared" si="164"/>
        <v>0</v>
      </c>
      <c r="N230" s="2">
        <f t="shared" si="164"/>
        <v>0</v>
      </c>
      <c r="O230" s="2">
        <f t="shared" si="164"/>
        <v>0</v>
      </c>
      <c r="P230" s="2">
        <f t="shared" si="164"/>
        <v>0</v>
      </c>
      <c r="Q230" s="2">
        <f t="shared" si="164"/>
        <v>0</v>
      </c>
      <c r="R230" s="2">
        <f t="shared" si="164"/>
        <v>0</v>
      </c>
      <c r="S230" s="2">
        <f t="shared" si="164"/>
        <v>0</v>
      </c>
      <c r="T230" s="2">
        <f t="shared" si="164"/>
        <v>0</v>
      </c>
      <c r="U230" s="2">
        <f t="shared" si="164"/>
        <v>0</v>
      </c>
    </row>
    <row r="231" spans="1:21">
      <c r="A231" s="37" t="s">
        <v>39</v>
      </c>
      <c r="B231" s="2">
        <f>IF(B230=1, IF(B199&gt;0.5, 27, 28), 0)</f>
        <v>0</v>
      </c>
      <c r="C231" s="2">
        <f t="shared" ref="C231:U231" si="165">IF(C230=1, IF(C199&gt;0.5, 27, 28), 0)</f>
        <v>0</v>
      </c>
      <c r="D231" s="2">
        <f t="shared" si="165"/>
        <v>0</v>
      </c>
      <c r="E231" s="2">
        <f t="shared" si="165"/>
        <v>0</v>
      </c>
      <c r="F231" s="2">
        <f t="shared" si="165"/>
        <v>0</v>
      </c>
      <c r="G231" s="2">
        <f t="shared" si="165"/>
        <v>0</v>
      </c>
      <c r="H231" s="2">
        <f t="shared" si="165"/>
        <v>0</v>
      </c>
      <c r="I231" s="2">
        <f t="shared" si="165"/>
        <v>0</v>
      </c>
      <c r="J231" s="2">
        <f t="shared" si="165"/>
        <v>0</v>
      </c>
      <c r="K231" s="2">
        <f t="shared" si="165"/>
        <v>0</v>
      </c>
      <c r="L231" s="2">
        <f t="shared" si="165"/>
        <v>0</v>
      </c>
      <c r="M231" s="2">
        <f t="shared" si="165"/>
        <v>0</v>
      </c>
      <c r="N231" s="2">
        <f t="shared" si="165"/>
        <v>0</v>
      </c>
      <c r="O231" s="2">
        <f t="shared" si="165"/>
        <v>0</v>
      </c>
      <c r="P231" s="2">
        <f t="shared" si="165"/>
        <v>0</v>
      </c>
      <c r="Q231" s="2">
        <f t="shared" si="165"/>
        <v>0</v>
      </c>
      <c r="R231" s="2">
        <f t="shared" si="165"/>
        <v>0</v>
      </c>
      <c r="S231" s="2">
        <f t="shared" si="165"/>
        <v>0</v>
      </c>
      <c r="T231" s="2">
        <f t="shared" si="165"/>
        <v>0</v>
      </c>
      <c r="U231" s="2">
        <f t="shared" si="165"/>
        <v>0</v>
      </c>
    </row>
    <row r="232" spans="1:21">
      <c r="A232" s="47" t="s">
        <v>40</v>
      </c>
      <c r="B232" s="2">
        <f>IF(B225=1, IF(B200&gt;6.25, IF(B200&lt;=6.5, 1, 0), 0), 0)</f>
        <v>0</v>
      </c>
      <c r="C232" s="2">
        <f t="shared" ref="C232:U232" si="166">IF(C225=1, IF(C200&gt;6.25, IF(C200&lt;=6.5, 1, 0), 0), 0)</f>
        <v>0</v>
      </c>
      <c r="D232" s="2">
        <f t="shared" si="166"/>
        <v>0</v>
      </c>
      <c r="E232" s="2">
        <f t="shared" si="166"/>
        <v>0</v>
      </c>
      <c r="F232" s="2">
        <f t="shared" si="166"/>
        <v>0</v>
      </c>
      <c r="G232" s="2">
        <f t="shared" si="166"/>
        <v>0</v>
      </c>
      <c r="H232" s="2">
        <f t="shared" si="166"/>
        <v>0</v>
      </c>
      <c r="I232" s="2">
        <f t="shared" si="166"/>
        <v>0</v>
      </c>
      <c r="J232" s="2">
        <f t="shared" si="166"/>
        <v>0</v>
      </c>
      <c r="K232" s="2">
        <f t="shared" si="166"/>
        <v>0</v>
      </c>
      <c r="L232" s="2">
        <f t="shared" si="166"/>
        <v>0</v>
      </c>
      <c r="M232" s="2">
        <f t="shared" si="166"/>
        <v>0</v>
      </c>
      <c r="N232" s="2">
        <f t="shared" si="166"/>
        <v>0</v>
      </c>
      <c r="O232" s="2">
        <f t="shared" si="166"/>
        <v>0</v>
      </c>
      <c r="P232" s="2">
        <f t="shared" si="166"/>
        <v>0</v>
      </c>
      <c r="Q232" s="2">
        <f t="shared" si="166"/>
        <v>0</v>
      </c>
      <c r="R232" s="2">
        <f t="shared" si="166"/>
        <v>0</v>
      </c>
      <c r="S232" s="2">
        <f t="shared" si="166"/>
        <v>0</v>
      </c>
      <c r="T232" s="2">
        <f t="shared" si="166"/>
        <v>0</v>
      </c>
      <c r="U232" s="2">
        <f t="shared" si="166"/>
        <v>0</v>
      </c>
    </row>
    <row r="233" spans="1:21">
      <c r="A233" s="37" t="s">
        <v>41</v>
      </c>
      <c r="B233" s="2">
        <f>IF(B232=1, IF(B199&gt;0.7, 29, IF(B199&gt;0.3, 30, 31)), 0)</f>
        <v>0</v>
      </c>
      <c r="C233" s="2">
        <f t="shared" ref="C233:U233" si="167">IF(C232=1, IF(C199&gt;0.7, 29, IF(C199&gt;0.3, 30, 31)), 0)</f>
        <v>0</v>
      </c>
      <c r="D233" s="2">
        <f t="shared" si="167"/>
        <v>0</v>
      </c>
      <c r="E233" s="2">
        <f t="shared" si="167"/>
        <v>0</v>
      </c>
      <c r="F233" s="2">
        <f t="shared" si="167"/>
        <v>0</v>
      </c>
      <c r="G233" s="2">
        <f t="shared" si="167"/>
        <v>0</v>
      </c>
      <c r="H233" s="2">
        <f t="shared" si="167"/>
        <v>0</v>
      </c>
      <c r="I233" s="2">
        <f t="shared" si="167"/>
        <v>0</v>
      </c>
      <c r="J233" s="2">
        <f t="shared" si="167"/>
        <v>0</v>
      </c>
      <c r="K233" s="2">
        <f t="shared" si="167"/>
        <v>0</v>
      </c>
      <c r="L233" s="2">
        <f t="shared" si="167"/>
        <v>0</v>
      </c>
      <c r="M233" s="2">
        <f t="shared" si="167"/>
        <v>0</v>
      </c>
      <c r="N233" s="2">
        <f t="shared" si="167"/>
        <v>0</v>
      </c>
      <c r="O233" s="2">
        <f t="shared" si="167"/>
        <v>0</v>
      </c>
      <c r="P233" s="2">
        <f t="shared" si="167"/>
        <v>0</v>
      </c>
      <c r="Q233" s="2">
        <f t="shared" si="167"/>
        <v>0</v>
      </c>
      <c r="R233" s="2">
        <f t="shared" si="167"/>
        <v>0</v>
      </c>
      <c r="S233" s="2">
        <f t="shared" si="167"/>
        <v>0</v>
      </c>
      <c r="T233" s="2">
        <f t="shared" si="167"/>
        <v>0</v>
      </c>
      <c r="U233" s="2">
        <f t="shared" si="167"/>
        <v>0</v>
      </c>
    </row>
    <row r="234" spans="1:21">
      <c r="A234" s="47" t="s">
        <v>42</v>
      </c>
      <c r="B234" s="2">
        <f>IF(B225=1, IF(B200&lt;=6.25, 1, 0), 0)</f>
        <v>0</v>
      </c>
      <c r="C234" s="2">
        <f t="shared" ref="C234:U234" si="168">IF(C225=1, IF(C200&lt;=6.25, 1, 0), 0)</f>
        <v>0</v>
      </c>
      <c r="D234" s="2">
        <f t="shared" si="168"/>
        <v>0</v>
      </c>
      <c r="E234" s="2">
        <f t="shared" si="168"/>
        <v>0</v>
      </c>
      <c r="F234" s="2">
        <f t="shared" si="168"/>
        <v>0</v>
      </c>
      <c r="G234" s="2">
        <f t="shared" si="168"/>
        <v>0</v>
      </c>
      <c r="H234" s="2">
        <f t="shared" si="168"/>
        <v>0</v>
      </c>
      <c r="I234" s="2">
        <f t="shared" si="168"/>
        <v>0</v>
      </c>
      <c r="J234" s="2">
        <f t="shared" si="168"/>
        <v>0</v>
      </c>
      <c r="K234" s="2">
        <f t="shared" si="168"/>
        <v>0</v>
      </c>
      <c r="L234" s="2">
        <f t="shared" si="168"/>
        <v>0</v>
      </c>
      <c r="M234" s="2">
        <f t="shared" si="168"/>
        <v>0</v>
      </c>
      <c r="N234" s="2">
        <f t="shared" si="168"/>
        <v>0</v>
      </c>
      <c r="O234" s="2">
        <f t="shared" si="168"/>
        <v>0</v>
      </c>
      <c r="P234" s="2">
        <f t="shared" si="168"/>
        <v>0</v>
      </c>
      <c r="Q234" s="2">
        <f t="shared" si="168"/>
        <v>0</v>
      </c>
      <c r="R234" s="2">
        <f t="shared" si="168"/>
        <v>0</v>
      </c>
      <c r="S234" s="2">
        <f t="shared" si="168"/>
        <v>0</v>
      </c>
      <c r="T234" s="2">
        <f t="shared" si="168"/>
        <v>0</v>
      </c>
      <c r="U234" s="2">
        <f t="shared" si="168"/>
        <v>0</v>
      </c>
    </row>
    <row r="235" spans="1:21">
      <c r="A235" s="37" t="s">
        <v>43</v>
      </c>
      <c r="B235" s="2">
        <f>IF(B234=1, IF(B199&gt;0.7, 32, IF(B199&gt;0.3, 33, 34)), 0)</f>
        <v>0</v>
      </c>
      <c r="C235" s="2">
        <f t="shared" ref="C235:U235" si="169">IF(C234=1, IF(C199&gt;0.7, 32, IF(C199&gt;0.3, 33, 34)), 0)</f>
        <v>0</v>
      </c>
      <c r="D235" s="2">
        <f t="shared" si="169"/>
        <v>0</v>
      </c>
      <c r="E235" s="2">
        <f t="shared" si="169"/>
        <v>0</v>
      </c>
      <c r="F235" s="2">
        <f t="shared" si="169"/>
        <v>0</v>
      </c>
      <c r="G235" s="2">
        <f t="shared" si="169"/>
        <v>0</v>
      </c>
      <c r="H235" s="2">
        <f t="shared" si="169"/>
        <v>0</v>
      </c>
      <c r="I235" s="2">
        <f t="shared" si="169"/>
        <v>0</v>
      </c>
      <c r="J235" s="2">
        <f t="shared" si="169"/>
        <v>0</v>
      </c>
      <c r="K235" s="2">
        <f t="shared" si="169"/>
        <v>0</v>
      </c>
      <c r="L235" s="2">
        <f t="shared" si="169"/>
        <v>0</v>
      </c>
      <c r="M235" s="2">
        <f t="shared" si="169"/>
        <v>0</v>
      </c>
      <c r="N235" s="2">
        <f t="shared" si="169"/>
        <v>0</v>
      </c>
      <c r="O235" s="2">
        <f t="shared" si="169"/>
        <v>0</v>
      </c>
      <c r="P235" s="2">
        <f t="shared" si="169"/>
        <v>0</v>
      </c>
      <c r="Q235" s="2">
        <f t="shared" si="169"/>
        <v>0</v>
      </c>
      <c r="R235" s="2">
        <f t="shared" si="169"/>
        <v>0</v>
      </c>
      <c r="S235" s="2">
        <f t="shared" si="169"/>
        <v>0</v>
      </c>
      <c r="T235" s="2">
        <f t="shared" si="169"/>
        <v>0</v>
      </c>
      <c r="U235" s="2">
        <f t="shared" si="169"/>
        <v>0</v>
      </c>
    </row>
    <row r="236" spans="1:21">
      <c r="A236" s="1" t="s">
        <v>45</v>
      </c>
      <c r="B236" s="2">
        <f>B211+B213+B225</f>
        <v>1</v>
      </c>
      <c r="C236" s="2">
        <f t="shared" ref="C236:U236" si="170">C211+C213+C225</f>
        <v>1</v>
      </c>
      <c r="D236" s="2">
        <f t="shared" si="170"/>
        <v>1</v>
      </c>
      <c r="E236" s="2">
        <f t="shared" si="170"/>
        <v>1</v>
      </c>
      <c r="F236" s="2">
        <f t="shared" si="170"/>
        <v>1</v>
      </c>
      <c r="G236" s="2">
        <f t="shared" si="170"/>
        <v>1</v>
      </c>
      <c r="H236" s="2">
        <f t="shared" si="170"/>
        <v>1</v>
      </c>
      <c r="I236" s="2">
        <f t="shared" si="170"/>
        <v>1</v>
      </c>
      <c r="J236" s="2">
        <f t="shared" si="170"/>
        <v>1</v>
      </c>
      <c r="K236" s="2">
        <f t="shared" si="170"/>
        <v>1</v>
      </c>
      <c r="L236" s="2">
        <f t="shared" si="170"/>
        <v>1</v>
      </c>
      <c r="M236" s="2">
        <f t="shared" si="170"/>
        <v>1</v>
      </c>
      <c r="N236" s="2">
        <f t="shared" si="170"/>
        <v>1</v>
      </c>
      <c r="O236" s="2">
        <f t="shared" si="170"/>
        <v>1</v>
      </c>
      <c r="P236" s="2">
        <f t="shared" si="170"/>
        <v>1</v>
      </c>
      <c r="Q236" s="2">
        <f t="shared" si="170"/>
        <v>1</v>
      </c>
      <c r="R236" s="2">
        <f t="shared" si="170"/>
        <v>1</v>
      </c>
      <c r="S236" s="2">
        <f t="shared" si="170"/>
        <v>1</v>
      </c>
      <c r="T236" s="2">
        <f t="shared" si="170"/>
        <v>1</v>
      </c>
      <c r="U236" s="2">
        <f t="shared" si="170"/>
        <v>1</v>
      </c>
    </row>
    <row r="237" spans="1:21">
      <c r="A237" s="38" t="s">
        <v>44</v>
      </c>
      <c r="B237" s="2">
        <f>IF(B210=1, IF(B236=0, 1, 0), 0)</f>
        <v>0</v>
      </c>
      <c r="C237" s="2">
        <f t="shared" ref="C237:U237" si="171">IF(C210=1, IF(C236=0, 1, 0), 0)</f>
        <v>0</v>
      </c>
      <c r="D237" s="2">
        <f t="shared" si="171"/>
        <v>0</v>
      </c>
      <c r="E237" s="2">
        <f t="shared" si="171"/>
        <v>0</v>
      </c>
      <c r="F237" s="2">
        <f t="shared" si="171"/>
        <v>0</v>
      </c>
      <c r="G237" s="2">
        <f t="shared" si="171"/>
        <v>0</v>
      </c>
      <c r="H237" s="2">
        <f t="shared" si="171"/>
        <v>0</v>
      </c>
      <c r="I237" s="2">
        <f t="shared" si="171"/>
        <v>0</v>
      </c>
      <c r="J237" s="2">
        <f t="shared" si="171"/>
        <v>0</v>
      </c>
      <c r="K237" s="2">
        <f t="shared" si="171"/>
        <v>0</v>
      </c>
      <c r="L237" s="2">
        <f t="shared" si="171"/>
        <v>0</v>
      </c>
      <c r="M237" s="2">
        <f t="shared" si="171"/>
        <v>0</v>
      </c>
      <c r="N237" s="2">
        <f t="shared" si="171"/>
        <v>0</v>
      </c>
      <c r="O237" s="2">
        <f t="shared" si="171"/>
        <v>0</v>
      </c>
      <c r="P237" s="2">
        <f t="shared" si="171"/>
        <v>0</v>
      </c>
      <c r="Q237" s="2">
        <f t="shared" si="171"/>
        <v>0</v>
      </c>
      <c r="R237" s="2">
        <f t="shared" si="171"/>
        <v>0</v>
      </c>
      <c r="S237" s="2">
        <f t="shared" si="171"/>
        <v>0</v>
      </c>
      <c r="T237" s="2">
        <f t="shared" si="171"/>
        <v>0</v>
      </c>
      <c r="U237" s="2">
        <f t="shared" si="171"/>
        <v>0</v>
      </c>
    </row>
    <row r="238" spans="1:21">
      <c r="A238" s="47" t="s">
        <v>46</v>
      </c>
      <c r="B238" s="2">
        <f>IF(B237=1, IF(B200&gt;7.25, 1, 0), 0)</f>
        <v>0</v>
      </c>
      <c r="C238" s="2">
        <f t="shared" ref="C238:U238" si="172">IF(C237=1, IF(C200&gt;7.25, 1, 0), 0)</f>
        <v>0</v>
      </c>
      <c r="D238" s="2">
        <f t="shared" si="172"/>
        <v>0</v>
      </c>
      <c r="E238" s="2">
        <f t="shared" si="172"/>
        <v>0</v>
      </c>
      <c r="F238" s="2">
        <f t="shared" si="172"/>
        <v>0</v>
      </c>
      <c r="G238" s="2">
        <f t="shared" si="172"/>
        <v>0</v>
      </c>
      <c r="H238" s="2">
        <f t="shared" si="172"/>
        <v>0</v>
      </c>
      <c r="I238" s="2">
        <f t="shared" si="172"/>
        <v>0</v>
      </c>
      <c r="J238" s="2">
        <f t="shared" si="172"/>
        <v>0</v>
      </c>
      <c r="K238" s="2">
        <f t="shared" si="172"/>
        <v>0</v>
      </c>
      <c r="L238" s="2">
        <f t="shared" si="172"/>
        <v>0</v>
      </c>
      <c r="M238" s="2">
        <f t="shared" si="172"/>
        <v>0</v>
      </c>
      <c r="N238" s="2">
        <f t="shared" si="172"/>
        <v>0</v>
      </c>
      <c r="O238" s="2">
        <f t="shared" si="172"/>
        <v>0</v>
      </c>
      <c r="P238" s="2">
        <f t="shared" si="172"/>
        <v>0</v>
      </c>
      <c r="Q238" s="2">
        <f t="shared" si="172"/>
        <v>0</v>
      </c>
      <c r="R238" s="2">
        <f t="shared" si="172"/>
        <v>0</v>
      </c>
      <c r="S238" s="2">
        <f t="shared" si="172"/>
        <v>0</v>
      </c>
      <c r="T238" s="2">
        <f t="shared" si="172"/>
        <v>0</v>
      </c>
      <c r="U238" s="2">
        <f t="shared" si="172"/>
        <v>0</v>
      </c>
    </row>
    <row r="239" spans="1:21">
      <c r="A239" s="37" t="s">
        <v>244</v>
      </c>
      <c r="B239" s="2">
        <f>IF(B238=1, IF(B199&gt;0.5, 35, 36), 0)</f>
        <v>0</v>
      </c>
      <c r="C239" s="2">
        <f t="shared" ref="C239:U239" si="173">IF(C238=1, IF(C199&gt;0.5, 35, 36), 0)</f>
        <v>0</v>
      </c>
      <c r="D239" s="2">
        <f t="shared" si="173"/>
        <v>0</v>
      </c>
      <c r="E239" s="2">
        <f t="shared" si="173"/>
        <v>0</v>
      </c>
      <c r="F239" s="2">
        <f t="shared" si="173"/>
        <v>0</v>
      </c>
      <c r="G239" s="2">
        <f t="shared" si="173"/>
        <v>0</v>
      </c>
      <c r="H239" s="2">
        <f t="shared" si="173"/>
        <v>0</v>
      </c>
      <c r="I239" s="2">
        <f t="shared" si="173"/>
        <v>0</v>
      </c>
      <c r="J239" s="2">
        <f t="shared" si="173"/>
        <v>0</v>
      </c>
      <c r="K239" s="2">
        <f t="shared" si="173"/>
        <v>0</v>
      </c>
      <c r="L239" s="2">
        <f t="shared" si="173"/>
        <v>0</v>
      </c>
      <c r="M239" s="2">
        <f t="shared" si="173"/>
        <v>0</v>
      </c>
      <c r="N239" s="2">
        <f t="shared" si="173"/>
        <v>0</v>
      </c>
      <c r="O239" s="2">
        <f t="shared" si="173"/>
        <v>0</v>
      </c>
      <c r="P239" s="2">
        <f t="shared" si="173"/>
        <v>0</v>
      </c>
      <c r="Q239" s="2">
        <f t="shared" si="173"/>
        <v>0</v>
      </c>
      <c r="R239" s="2">
        <f t="shared" si="173"/>
        <v>0</v>
      </c>
      <c r="S239" s="2">
        <f t="shared" si="173"/>
        <v>0</v>
      </c>
      <c r="T239" s="2">
        <f t="shared" si="173"/>
        <v>0</v>
      </c>
      <c r="U239" s="2">
        <f t="shared" si="173"/>
        <v>0</v>
      </c>
    </row>
    <row r="240" spans="1:21">
      <c r="A240" s="47" t="s">
        <v>245</v>
      </c>
      <c r="B240" s="2">
        <f>IF(B237=1, IF(B200&gt;6.75, IF(B200&lt;=7.25, 1, 0), 0), 0)</f>
        <v>0</v>
      </c>
      <c r="C240" s="2">
        <f t="shared" ref="C240:U240" si="174">IF(C237=1, IF(C200&gt;6.75, IF(C200&lt;=7.25, 1, 0), 0), 0)</f>
        <v>0</v>
      </c>
      <c r="D240" s="2">
        <f t="shared" si="174"/>
        <v>0</v>
      </c>
      <c r="E240" s="2">
        <f t="shared" si="174"/>
        <v>0</v>
      </c>
      <c r="F240" s="2">
        <f t="shared" si="174"/>
        <v>0</v>
      </c>
      <c r="G240" s="2">
        <f t="shared" si="174"/>
        <v>0</v>
      </c>
      <c r="H240" s="2">
        <f t="shared" si="174"/>
        <v>0</v>
      </c>
      <c r="I240" s="2">
        <f t="shared" si="174"/>
        <v>0</v>
      </c>
      <c r="J240" s="2">
        <f t="shared" si="174"/>
        <v>0</v>
      </c>
      <c r="K240" s="2">
        <f t="shared" si="174"/>
        <v>0</v>
      </c>
      <c r="L240" s="2">
        <f t="shared" si="174"/>
        <v>0</v>
      </c>
      <c r="M240" s="2">
        <f t="shared" si="174"/>
        <v>0</v>
      </c>
      <c r="N240" s="2">
        <f t="shared" si="174"/>
        <v>0</v>
      </c>
      <c r="O240" s="2">
        <f t="shared" si="174"/>
        <v>0</v>
      </c>
      <c r="P240" s="2">
        <f t="shared" si="174"/>
        <v>0</v>
      </c>
      <c r="Q240" s="2">
        <f t="shared" si="174"/>
        <v>0</v>
      </c>
      <c r="R240" s="2">
        <f t="shared" si="174"/>
        <v>0</v>
      </c>
      <c r="S240" s="2">
        <f t="shared" si="174"/>
        <v>0</v>
      </c>
      <c r="T240" s="2">
        <f t="shared" si="174"/>
        <v>0</v>
      </c>
      <c r="U240" s="2">
        <f t="shared" si="174"/>
        <v>0</v>
      </c>
    </row>
    <row r="241" spans="1:21">
      <c r="A241" s="37" t="s">
        <v>246</v>
      </c>
      <c r="B241" s="2">
        <f>IF(B240=1, IF(B199&gt;0.5, 37, 38), 0)</f>
        <v>0</v>
      </c>
      <c r="C241" s="2">
        <f t="shared" ref="C241:U241" si="175">IF(C240=1, IF(C199&gt;0.5, 37, 38), 0)</f>
        <v>0</v>
      </c>
      <c r="D241" s="2">
        <f t="shared" si="175"/>
        <v>0</v>
      </c>
      <c r="E241" s="2">
        <f t="shared" si="175"/>
        <v>0</v>
      </c>
      <c r="F241" s="2">
        <f t="shared" si="175"/>
        <v>0</v>
      </c>
      <c r="G241" s="2">
        <f t="shared" si="175"/>
        <v>0</v>
      </c>
      <c r="H241" s="2">
        <f t="shared" si="175"/>
        <v>0</v>
      </c>
      <c r="I241" s="2">
        <f t="shared" si="175"/>
        <v>0</v>
      </c>
      <c r="J241" s="2">
        <f t="shared" si="175"/>
        <v>0</v>
      </c>
      <c r="K241" s="2">
        <f t="shared" si="175"/>
        <v>0</v>
      </c>
      <c r="L241" s="2">
        <f t="shared" si="175"/>
        <v>0</v>
      </c>
      <c r="M241" s="2">
        <f t="shared" si="175"/>
        <v>0</v>
      </c>
      <c r="N241" s="2">
        <f t="shared" si="175"/>
        <v>0</v>
      </c>
      <c r="O241" s="2">
        <f t="shared" si="175"/>
        <v>0</v>
      </c>
      <c r="P241" s="2">
        <f t="shared" si="175"/>
        <v>0</v>
      </c>
      <c r="Q241" s="2">
        <f t="shared" si="175"/>
        <v>0</v>
      </c>
      <c r="R241" s="2">
        <f t="shared" si="175"/>
        <v>0</v>
      </c>
      <c r="S241" s="2">
        <f t="shared" si="175"/>
        <v>0</v>
      </c>
      <c r="T241" s="2">
        <f t="shared" si="175"/>
        <v>0</v>
      </c>
      <c r="U241" s="2">
        <f t="shared" si="175"/>
        <v>0</v>
      </c>
    </row>
    <row r="242" spans="1:21">
      <c r="A242" s="47" t="s">
        <v>247</v>
      </c>
      <c r="B242" s="2">
        <f>IF(B237=1, IF(B200&gt;6.5, IF(B200&lt;=6.75, 1, 0), 0), 0)</f>
        <v>0</v>
      </c>
      <c r="C242" s="2">
        <f t="shared" ref="C242:U242" si="176">IF(C237=1, IF(C200&gt;6.5, IF(C200&lt;=6.75, 1, 0), 0), 0)</f>
        <v>0</v>
      </c>
      <c r="D242" s="2">
        <f t="shared" si="176"/>
        <v>0</v>
      </c>
      <c r="E242" s="2">
        <f t="shared" si="176"/>
        <v>0</v>
      </c>
      <c r="F242" s="2">
        <f t="shared" si="176"/>
        <v>0</v>
      </c>
      <c r="G242" s="2">
        <f t="shared" si="176"/>
        <v>0</v>
      </c>
      <c r="H242" s="2">
        <f t="shared" si="176"/>
        <v>0</v>
      </c>
      <c r="I242" s="2">
        <f t="shared" si="176"/>
        <v>0</v>
      </c>
      <c r="J242" s="2">
        <f t="shared" si="176"/>
        <v>0</v>
      </c>
      <c r="K242" s="2">
        <f t="shared" si="176"/>
        <v>0</v>
      </c>
      <c r="L242" s="2">
        <f t="shared" si="176"/>
        <v>0</v>
      </c>
      <c r="M242" s="2">
        <f t="shared" si="176"/>
        <v>0</v>
      </c>
      <c r="N242" s="2">
        <f t="shared" si="176"/>
        <v>0</v>
      </c>
      <c r="O242" s="2">
        <f t="shared" si="176"/>
        <v>0</v>
      </c>
      <c r="P242" s="2">
        <f t="shared" si="176"/>
        <v>0</v>
      </c>
      <c r="Q242" s="2">
        <f t="shared" si="176"/>
        <v>0</v>
      </c>
      <c r="R242" s="2">
        <f t="shared" si="176"/>
        <v>0</v>
      </c>
      <c r="S242" s="2">
        <f t="shared" si="176"/>
        <v>0</v>
      </c>
      <c r="T242" s="2">
        <f t="shared" si="176"/>
        <v>0</v>
      </c>
      <c r="U242" s="2">
        <f t="shared" si="176"/>
        <v>0</v>
      </c>
    </row>
    <row r="243" spans="1:21">
      <c r="A243" s="37" t="s">
        <v>248</v>
      </c>
      <c r="B243" s="2">
        <f>IF(B242=1, IF(B199&gt;0.5, 39, 40), 0)</f>
        <v>0</v>
      </c>
      <c r="C243" s="2">
        <f t="shared" ref="C243:U243" si="177">IF(C242=1, IF(C199&gt;0.5, 39, 40), 0)</f>
        <v>0</v>
      </c>
      <c r="D243" s="2">
        <f t="shared" si="177"/>
        <v>0</v>
      </c>
      <c r="E243" s="2">
        <f t="shared" si="177"/>
        <v>0</v>
      </c>
      <c r="F243" s="2">
        <f t="shared" si="177"/>
        <v>0</v>
      </c>
      <c r="G243" s="2">
        <f t="shared" si="177"/>
        <v>0</v>
      </c>
      <c r="H243" s="2">
        <f t="shared" si="177"/>
        <v>0</v>
      </c>
      <c r="I243" s="2">
        <f t="shared" si="177"/>
        <v>0</v>
      </c>
      <c r="J243" s="2">
        <f t="shared" si="177"/>
        <v>0</v>
      </c>
      <c r="K243" s="2">
        <f t="shared" si="177"/>
        <v>0</v>
      </c>
      <c r="L243" s="2">
        <f t="shared" si="177"/>
        <v>0</v>
      </c>
      <c r="M243" s="2">
        <f t="shared" si="177"/>
        <v>0</v>
      </c>
      <c r="N243" s="2">
        <f t="shared" si="177"/>
        <v>0</v>
      </c>
      <c r="O243" s="2">
        <f t="shared" si="177"/>
        <v>0</v>
      </c>
      <c r="P243" s="2">
        <f t="shared" si="177"/>
        <v>0</v>
      </c>
      <c r="Q243" s="2">
        <f t="shared" si="177"/>
        <v>0</v>
      </c>
      <c r="R243" s="2">
        <f t="shared" si="177"/>
        <v>0</v>
      </c>
      <c r="S243" s="2">
        <f t="shared" si="177"/>
        <v>0</v>
      </c>
      <c r="T243" s="2">
        <f t="shared" si="177"/>
        <v>0</v>
      </c>
      <c r="U243" s="2">
        <f t="shared" si="177"/>
        <v>0</v>
      </c>
    </row>
    <row r="244" spans="1:21">
      <c r="A244" s="47" t="s">
        <v>249</v>
      </c>
      <c r="B244" s="2">
        <f>IF(B237=1, IF(B200&gt;6.25, IF(B200&lt;=6.5, 1, 0), 0), 0)</f>
        <v>0</v>
      </c>
      <c r="C244" s="2">
        <f t="shared" ref="C244:U244" si="178">IF(C237=1, IF(C200&gt;6.25, IF(C200&lt;=6.5, 1, 0), 0), 0)</f>
        <v>0</v>
      </c>
      <c r="D244" s="2">
        <f t="shared" si="178"/>
        <v>0</v>
      </c>
      <c r="E244" s="2">
        <f t="shared" si="178"/>
        <v>0</v>
      </c>
      <c r="F244" s="2">
        <f t="shared" si="178"/>
        <v>0</v>
      </c>
      <c r="G244" s="2">
        <f t="shared" si="178"/>
        <v>0</v>
      </c>
      <c r="H244" s="2">
        <f t="shared" si="178"/>
        <v>0</v>
      </c>
      <c r="I244" s="2">
        <f t="shared" si="178"/>
        <v>0</v>
      </c>
      <c r="J244" s="2">
        <f t="shared" si="178"/>
        <v>0</v>
      </c>
      <c r="K244" s="2">
        <f t="shared" si="178"/>
        <v>0</v>
      </c>
      <c r="L244" s="2">
        <f t="shared" si="178"/>
        <v>0</v>
      </c>
      <c r="M244" s="2">
        <f t="shared" si="178"/>
        <v>0</v>
      </c>
      <c r="N244" s="2">
        <f t="shared" si="178"/>
        <v>0</v>
      </c>
      <c r="O244" s="2">
        <f t="shared" si="178"/>
        <v>0</v>
      </c>
      <c r="P244" s="2">
        <f t="shared" si="178"/>
        <v>0</v>
      </c>
      <c r="Q244" s="2">
        <f t="shared" si="178"/>
        <v>0</v>
      </c>
      <c r="R244" s="2">
        <f t="shared" si="178"/>
        <v>0</v>
      </c>
      <c r="S244" s="2">
        <f t="shared" si="178"/>
        <v>0</v>
      </c>
      <c r="T244" s="2">
        <f t="shared" si="178"/>
        <v>0</v>
      </c>
      <c r="U244" s="2">
        <f t="shared" si="178"/>
        <v>0</v>
      </c>
    </row>
    <row r="245" spans="1:21">
      <c r="A245" s="37" t="s">
        <v>62</v>
      </c>
      <c r="B245" s="2">
        <f>IF(B244=1, IF(B199&gt;0.7, 41, IF(B199&gt;0.3, 42, 43)), 0)</f>
        <v>0</v>
      </c>
      <c r="C245" s="2">
        <f t="shared" ref="C245:U245" si="179">IF(C244=1, IF(C199&gt;0.7, 41, IF(C199&gt;0.3, 42, 43)), 0)</f>
        <v>0</v>
      </c>
      <c r="D245" s="2">
        <f t="shared" si="179"/>
        <v>0</v>
      </c>
      <c r="E245" s="2">
        <f t="shared" si="179"/>
        <v>0</v>
      </c>
      <c r="F245" s="2">
        <f t="shared" si="179"/>
        <v>0</v>
      </c>
      <c r="G245" s="2">
        <f t="shared" si="179"/>
        <v>0</v>
      </c>
      <c r="H245" s="2">
        <f t="shared" si="179"/>
        <v>0</v>
      </c>
      <c r="I245" s="2">
        <f t="shared" si="179"/>
        <v>0</v>
      </c>
      <c r="J245" s="2">
        <f t="shared" si="179"/>
        <v>0</v>
      </c>
      <c r="K245" s="2">
        <f t="shared" si="179"/>
        <v>0</v>
      </c>
      <c r="L245" s="2">
        <f t="shared" si="179"/>
        <v>0</v>
      </c>
      <c r="M245" s="2">
        <f t="shared" si="179"/>
        <v>0</v>
      </c>
      <c r="N245" s="2">
        <f t="shared" si="179"/>
        <v>0</v>
      </c>
      <c r="O245" s="2">
        <f t="shared" si="179"/>
        <v>0</v>
      </c>
      <c r="P245" s="2">
        <f t="shared" si="179"/>
        <v>0</v>
      </c>
      <c r="Q245" s="2">
        <f t="shared" si="179"/>
        <v>0</v>
      </c>
      <c r="R245" s="2">
        <f t="shared" si="179"/>
        <v>0</v>
      </c>
      <c r="S245" s="2">
        <f t="shared" si="179"/>
        <v>0</v>
      </c>
      <c r="T245" s="2">
        <f t="shared" si="179"/>
        <v>0</v>
      </c>
      <c r="U245" s="2">
        <f t="shared" si="179"/>
        <v>0</v>
      </c>
    </row>
    <row r="246" spans="1:21">
      <c r="A246" s="47" t="s">
        <v>63</v>
      </c>
      <c r="B246" s="2">
        <f>IF(B237=1, IF(B200&lt;=6.25, 1, 0), 0)</f>
        <v>0</v>
      </c>
      <c r="C246" s="2">
        <f t="shared" ref="C246:U246" si="180">IF(C237=1, IF(C200&lt;=6.25, 1, 0), 0)</f>
        <v>0</v>
      </c>
      <c r="D246" s="2">
        <f t="shared" si="180"/>
        <v>0</v>
      </c>
      <c r="E246" s="2">
        <f t="shared" si="180"/>
        <v>0</v>
      </c>
      <c r="F246" s="2">
        <f t="shared" si="180"/>
        <v>0</v>
      </c>
      <c r="G246" s="2">
        <f t="shared" si="180"/>
        <v>0</v>
      </c>
      <c r="H246" s="2">
        <f t="shared" si="180"/>
        <v>0</v>
      </c>
      <c r="I246" s="2">
        <f t="shared" si="180"/>
        <v>0</v>
      </c>
      <c r="J246" s="2">
        <f t="shared" si="180"/>
        <v>0</v>
      </c>
      <c r="K246" s="2">
        <f t="shared" si="180"/>
        <v>0</v>
      </c>
      <c r="L246" s="2">
        <f t="shared" si="180"/>
        <v>0</v>
      </c>
      <c r="M246" s="2">
        <f t="shared" si="180"/>
        <v>0</v>
      </c>
      <c r="N246" s="2">
        <f t="shared" si="180"/>
        <v>0</v>
      </c>
      <c r="O246" s="2">
        <f t="shared" si="180"/>
        <v>0</v>
      </c>
      <c r="P246" s="2">
        <f t="shared" si="180"/>
        <v>0</v>
      </c>
      <c r="Q246" s="2">
        <f t="shared" si="180"/>
        <v>0</v>
      </c>
      <c r="R246" s="2">
        <f t="shared" si="180"/>
        <v>0</v>
      </c>
      <c r="S246" s="2">
        <f t="shared" si="180"/>
        <v>0</v>
      </c>
      <c r="T246" s="2">
        <f t="shared" si="180"/>
        <v>0</v>
      </c>
      <c r="U246" s="2">
        <f t="shared" si="180"/>
        <v>0</v>
      </c>
    </row>
    <row r="247" spans="1:21">
      <c r="A247" s="47" t="s">
        <v>64</v>
      </c>
      <c r="B247" s="2">
        <f>IF(B246=1, IF(B199&gt;0.7, 44, IF(B199&gt;0.3, 45, 46)), 0)</f>
        <v>0</v>
      </c>
      <c r="C247" s="2">
        <f t="shared" ref="C247:U247" si="181">IF(C246=1, IF(C199&gt;0.7, 44, IF(C199&gt;0.3, 45, 46)), 0)</f>
        <v>0</v>
      </c>
      <c r="D247" s="2">
        <f t="shared" si="181"/>
        <v>0</v>
      </c>
      <c r="E247" s="2">
        <f t="shared" si="181"/>
        <v>0</v>
      </c>
      <c r="F247" s="2">
        <f t="shared" si="181"/>
        <v>0</v>
      </c>
      <c r="G247" s="2">
        <f t="shared" si="181"/>
        <v>0</v>
      </c>
      <c r="H247" s="2">
        <f t="shared" si="181"/>
        <v>0</v>
      </c>
      <c r="I247" s="2">
        <f t="shared" si="181"/>
        <v>0</v>
      </c>
      <c r="J247" s="2">
        <f t="shared" si="181"/>
        <v>0</v>
      </c>
      <c r="K247" s="2">
        <f t="shared" si="181"/>
        <v>0</v>
      </c>
      <c r="L247" s="2">
        <f t="shared" si="181"/>
        <v>0</v>
      </c>
      <c r="M247" s="2">
        <f t="shared" si="181"/>
        <v>0</v>
      </c>
      <c r="N247" s="2">
        <f t="shared" si="181"/>
        <v>0</v>
      </c>
      <c r="O247" s="2">
        <f t="shared" si="181"/>
        <v>0</v>
      </c>
      <c r="P247" s="2">
        <f t="shared" si="181"/>
        <v>0</v>
      </c>
      <c r="Q247" s="2">
        <f t="shared" si="181"/>
        <v>0</v>
      </c>
      <c r="R247" s="2">
        <f t="shared" si="181"/>
        <v>0</v>
      </c>
      <c r="S247" s="2">
        <f t="shared" si="181"/>
        <v>0</v>
      </c>
      <c r="T247" s="2">
        <f t="shared" si="181"/>
        <v>0</v>
      </c>
      <c r="U247" s="2">
        <f t="shared" si="181"/>
        <v>0</v>
      </c>
    </row>
    <row r="248" spans="1:21">
      <c r="A248" s="43" t="s">
        <v>65</v>
      </c>
    </row>
    <row r="249" spans="1:21">
      <c r="A249" s="48" t="s">
        <v>0</v>
      </c>
      <c r="B249" s="2">
        <f>IF(B197&gt;0.67, IF(B197&lt;1.34, 1, 0), 0)</f>
        <v>0</v>
      </c>
      <c r="C249" s="2">
        <f t="shared" ref="C249:U249" si="182">IF(C197&gt;0.67, IF(C197&lt;1.34, 1, 0), 0)</f>
        <v>0</v>
      </c>
      <c r="D249" s="2">
        <f t="shared" si="182"/>
        <v>0</v>
      </c>
      <c r="E249" s="2">
        <f t="shared" si="182"/>
        <v>0</v>
      </c>
      <c r="F249" s="2">
        <f t="shared" si="182"/>
        <v>0</v>
      </c>
      <c r="G249" s="2">
        <f t="shared" si="182"/>
        <v>0</v>
      </c>
      <c r="H249" s="2">
        <f t="shared" si="182"/>
        <v>0</v>
      </c>
      <c r="I249" s="2">
        <f t="shared" si="182"/>
        <v>0</v>
      </c>
      <c r="J249" s="2">
        <f t="shared" si="182"/>
        <v>0</v>
      </c>
      <c r="K249" s="2">
        <f t="shared" si="182"/>
        <v>0</v>
      </c>
      <c r="L249" s="2">
        <f t="shared" si="182"/>
        <v>0</v>
      </c>
      <c r="M249" s="2">
        <f t="shared" si="182"/>
        <v>0</v>
      </c>
      <c r="N249" s="2">
        <f t="shared" si="182"/>
        <v>0</v>
      </c>
      <c r="O249" s="2">
        <f t="shared" si="182"/>
        <v>0</v>
      </c>
      <c r="P249" s="2">
        <f t="shared" si="182"/>
        <v>0</v>
      </c>
      <c r="Q249" s="2">
        <f t="shared" si="182"/>
        <v>0</v>
      </c>
      <c r="R249" s="2">
        <f t="shared" si="182"/>
        <v>0</v>
      </c>
      <c r="S249" s="2">
        <f t="shared" si="182"/>
        <v>0</v>
      </c>
      <c r="T249" s="2">
        <f t="shared" si="182"/>
        <v>0</v>
      </c>
      <c r="U249" s="2">
        <f t="shared" si="182"/>
        <v>0</v>
      </c>
    </row>
    <row r="250" spans="1:21">
      <c r="A250" s="38" t="s">
        <v>66</v>
      </c>
      <c r="B250" s="2">
        <f>IF(B249=1, IF(B198&lt;0.5, 1, 0), 0)</f>
        <v>0</v>
      </c>
      <c r="C250" s="2">
        <f t="shared" ref="C250:U250" si="183">IF(C249=1, IF(C198&lt;0.5, 1, 0), 0)</f>
        <v>0</v>
      </c>
      <c r="D250" s="2">
        <f t="shared" si="183"/>
        <v>0</v>
      </c>
      <c r="E250" s="2">
        <f t="shared" si="183"/>
        <v>0</v>
      </c>
      <c r="F250" s="2">
        <f t="shared" si="183"/>
        <v>0</v>
      </c>
      <c r="G250" s="2">
        <f t="shared" si="183"/>
        <v>0</v>
      </c>
      <c r="H250" s="2">
        <f t="shared" si="183"/>
        <v>0</v>
      </c>
      <c r="I250" s="2">
        <f t="shared" si="183"/>
        <v>0</v>
      </c>
      <c r="J250" s="2">
        <f t="shared" si="183"/>
        <v>0</v>
      </c>
      <c r="K250" s="2">
        <f t="shared" si="183"/>
        <v>0</v>
      </c>
      <c r="L250" s="2">
        <f t="shared" si="183"/>
        <v>0</v>
      </c>
      <c r="M250" s="2">
        <f t="shared" si="183"/>
        <v>0</v>
      </c>
      <c r="N250" s="2">
        <f t="shared" si="183"/>
        <v>0</v>
      </c>
      <c r="O250" s="2">
        <f t="shared" si="183"/>
        <v>0</v>
      </c>
      <c r="P250" s="2">
        <f t="shared" si="183"/>
        <v>0</v>
      </c>
      <c r="Q250" s="2">
        <f t="shared" si="183"/>
        <v>0</v>
      </c>
      <c r="R250" s="2">
        <f t="shared" si="183"/>
        <v>0</v>
      </c>
      <c r="S250" s="2">
        <f t="shared" si="183"/>
        <v>0</v>
      </c>
      <c r="T250" s="2">
        <f t="shared" si="183"/>
        <v>0</v>
      </c>
      <c r="U250" s="2">
        <f t="shared" si="183"/>
        <v>0</v>
      </c>
    </row>
    <row r="251" spans="1:21">
      <c r="A251" s="1" t="s">
        <v>67</v>
      </c>
      <c r="B251" s="2">
        <f>IF(B250=1, IF(B199&gt;7.5, 1, 0), 0)</f>
        <v>0</v>
      </c>
      <c r="C251" s="2">
        <f t="shared" ref="C251:U251" si="184">IF(C250=1, IF(C199&gt;7.5, 1, 0), 0)</f>
        <v>0</v>
      </c>
      <c r="D251" s="2">
        <f t="shared" si="184"/>
        <v>0</v>
      </c>
      <c r="E251" s="2">
        <f t="shared" si="184"/>
        <v>0</v>
      </c>
      <c r="F251" s="2">
        <f t="shared" si="184"/>
        <v>0</v>
      </c>
      <c r="G251" s="2">
        <f t="shared" si="184"/>
        <v>0</v>
      </c>
      <c r="H251" s="2">
        <f t="shared" si="184"/>
        <v>0</v>
      </c>
      <c r="I251" s="2">
        <f t="shared" si="184"/>
        <v>0</v>
      </c>
      <c r="J251" s="2">
        <f t="shared" si="184"/>
        <v>0</v>
      </c>
      <c r="K251" s="2">
        <f t="shared" si="184"/>
        <v>0</v>
      </c>
      <c r="L251" s="2">
        <f t="shared" si="184"/>
        <v>0</v>
      </c>
      <c r="M251" s="2">
        <f t="shared" si="184"/>
        <v>0</v>
      </c>
      <c r="N251" s="2">
        <f t="shared" si="184"/>
        <v>0</v>
      </c>
      <c r="O251" s="2">
        <f t="shared" si="184"/>
        <v>0</v>
      </c>
      <c r="P251" s="2">
        <f t="shared" si="184"/>
        <v>0</v>
      </c>
      <c r="Q251" s="2">
        <f t="shared" si="184"/>
        <v>0</v>
      </c>
      <c r="R251" s="2">
        <f t="shared" si="184"/>
        <v>0</v>
      </c>
      <c r="S251" s="2">
        <f t="shared" si="184"/>
        <v>0</v>
      </c>
      <c r="T251" s="2">
        <f t="shared" si="184"/>
        <v>0</v>
      </c>
      <c r="U251" s="2">
        <f t="shared" si="184"/>
        <v>0</v>
      </c>
    </row>
    <row r="252" spans="1:21">
      <c r="A252" s="37" t="s">
        <v>68</v>
      </c>
      <c r="B252" s="2">
        <f>IF(B251=1, IF(B199&gt;0.5, 47, 48), 0)</f>
        <v>0</v>
      </c>
      <c r="C252" s="2">
        <f t="shared" ref="C252:U252" si="185">IF(C251=1, IF(C199&gt;0.5, 47, 48), 0)</f>
        <v>0</v>
      </c>
      <c r="D252" s="2">
        <f t="shared" si="185"/>
        <v>0</v>
      </c>
      <c r="E252" s="2">
        <f t="shared" si="185"/>
        <v>0</v>
      </c>
      <c r="F252" s="2">
        <f t="shared" si="185"/>
        <v>0</v>
      </c>
      <c r="G252" s="2">
        <f t="shared" si="185"/>
        <v>0</v>
      </c>
      <c r="H252" s="2">
        <f t="shared" si="185"/>
        <v>0</v>
      </c>
      <c r="I252" s="2">
        <f t="shared" si="185"/>
        <v>0</v>
      </c>
      <c r="J252" s="2">
        <f t="shared" si="185"/>
        <v>0</v>
      </c>
      <c r="K252" s="2">
        <f t="shared" si="185"/>
        <v>0</v>
      </c>
      <c r="L252" s="2">
        <f t="shared" si="185"/>
        <v>0</v>
      </c>
      <c r="M252" s="2">
        <f t="shared" si="185"/>
        <v>0</v>
      </c>
      <c r="N252" s="2">
        <f t="shared" si="185"/>
        <v>0</v>
      </c>
      <c r="O252" s="2">
        <f t="shared" si="185"/>
        <v>0</v>
      </c>
      <c r="P252" s="2">
        <f t="shared" si="185"/>
        <v>0</v>
      </c>
      <c r="Q252" s="2">
        <f t="shared" si="185"/>
        <v>0</v>
      </c>
      <c r="R252" s="2">
        <f t="shared" si="185"/>
        <v>0</v>
      </c>
      <c r="S252" s="2">
        <f t="shared" si="185"/>
        <v>0</v>
      </c>
      <c r="T252" s="2">
        <f t="shared" si="185"/>
        <v>0</v>
      </c>
      <c r="U252" s="2">
        <f t="shared" si="185"/>
        <v>0</v>
      </c>
    </row>
    <row r="253" spans="1:21">
      <c r="A253" s="1" t="s">
        <v>69</v>
      </c>
      <c r="B253" s="2">
        <f>IF(B250=1, IF(B200&lt;=7.5, 1, 0), 0)</f>
        <v>0</v>
      </c>
      <c r="C253" s="2">
        <f t="shared" ref="C253:U253" si="186">IF(C250=1, IF(C200&lt;=7.5, 1, 0), 0)</f>
        <v>0</v>
      </c>
      <c r="D253" s="2">
        <f t="shared" si="186"/>
        <v>0</v>
      </c>
      <c r="E253" s="2">
        <f t="shared" si="186"/>
        <v>0</v>
      </c>
      <c r="F253" s="2">
        <f t="shared" si="186"/>
        <v>0</v>
      </c>
      <c r="G253" s="2">
        <f t="shared" si="186"/>
        <v>0</v>
      </c>
      <c r="H253" s="2">
        <f t="shared" si="186"/>
        <v>0</v>
      </c>
      <c r="I253" s="2">
        <f t="shared" si="186"/>
        <v>0</v>
      </c>
      <c r="J253" s="2">
        <f t="shared" si="186"/>
        <v>0</v>
      </c>
      <c r="K253" s="2">
        <f t="shared" si="186"/>
        <v>0</v>
      </c>
      <c r="L253" s="2">
        <f t="shared" si="186"/>
        <v>0</v>
      </c>
      <c r="M253" s="2">
        <f t="shared" si="186"/>
        <v>0</v>
      </c>
      <c r="N253" s="2">
        <f t="shared" si="186"/>
        <v>0</v>
      </c>
      <c r="O253" s="2">
        <f t="shared" si="186"/>
        <v>0</v>
      </c>
      <c r="P253" s="2">
        <f t="shared" si="186"/>
        <v>0</v>
      </c>
      <c r="Q253" s="2">
        <f t="shared" si="186"/>
        <v>0</v>
      </c>
      <c r="R253" s="2">
        <f t="shared" si="186"/>
        <v>0</v>
      </c>
      <c r="S253" s="2">
        <f t="shared" si="186"/>
        <v>0</v>
      </c>
      <c r="T253" s="2">
        <f t="shared" si="186"/>
        <v>0</v>
      </c>
      <c r="U253" s="2">
        <f t="shared" si="186"/>
        <v>0</v>
      </c>
    </row>
    <row r="254" spans="1:21">
      <c r="A254" s="37" t="s">
        <v>70</v>
      </c>
      <c r="B254" s="2">
        <f>IF(B253=1, IF(B199&gt;0.5, 49, 50), 0)</f>
        <v>0</v>
      </c>
      <c r="C254" s="2">
        <f t="shared" ref="C254:U254" si="187">IF(C253=1, IF(C199&gt;0.5, 49, 50), 0)</f>
        <v>0</v>
      </c>
      <c r="D254" s="2">
        <f t="shared" si="187"/>
        <v>0</v>
      </c>
      <c r="E254" s="2">
        <f t="shared" si="187"/>
        <v>0</v>
      </c>
      <c r="F254" s="2">
        <f t="shared" si="187"/>
        <v>0</v>
      </c>
      <c r="G254" s="2">
        <f t="shared" si="187"/>
        <v>0</v>
      </c>
      <c r="H254" s="2">
        <f t="shared" si="187"/>
        <v>0</v>
      </c>
      <c r="I254" s="2">
        <f t="shared" si="187"/>
        <v>0</v>
      </c>
      <c r="J254" s="2">
        <f t="shared" si="187"/>
        <v>0</v>
      </c>
      <c r="K254" s="2">
        <f t="shared" si="187"/>
        <v>0</v>
      </c>
      <c r="L254" s="2">
        <f t="shared" si="187"/>
        <v>0</v>
      </c>
      <c r="M254" s="2">
        <f t="shared" si="187"/>
        <v>0</v>
      </c>
      <c r="N254" s="2">
        <f t="shared" si="187"/>
        <v>0</v>
      </c>
      <c r="O254" s="2">
        <f t="shared" si="187"/>
        <v>0</v>
      </c>
      <c r="P254" s="2">
        <f t="shared" si="187"/>
        <v>0</v>
      </c>
      <c r="Q254" s="2">
        <f t="shared" si="187"/>
        <v>0</v>
      </c>
      <c r="R254" s="2">
        <f t="shared" si="187"/>
        <v>0</v>
      </c>
      <c r="S254" s="2">
        <f t="shared" si="187"/>
        <v>0</v>
      </c>
      <c r="T254" s="2">
        <f t="shared" si="187"/>
        <v>0</v>
      </c>
      <c r="U254" s="2">
        <f t="shared" si="187"/>
        <v>0</v>
      </c>
    </row>
    <row r="255" spans="1:21">
      <c r="A255" s="38" t="s">
        <v>71</v>
      </c>
      <c r="B255" s="2">
        <f>IF(B249=1, IF(B198&gt;0.5, 1, 0), 0)</f>
        <v>0</v>
      </c>
      <c r="C255" s="2">
        <f t="shared" ref="C255:U255" si="188">IF(C249=1, IF(C198&gt;0.5, 1, 0), 0)</f>
        <v>0</v>
      </c>
      <c r="D255" s="2">
        <f t="shared" si="188"/>
        <v>0</v>
      </c>
      <c r="E255" s="2">
        <f t="shared" si="188"/>
        <v>0</v>
      </c>
      <c r="F255" s="2">
        <f t="shared" si="188"/>
        <v>0</v>
      </c>
      <c r="G255" s="2">
        <f t="shared" si="188"/>
        <v>0</v>
      </c>
      <c r="H255" s="2">
        <f t="shared" si="188"/>
        <v>0</v>
      </c>
      <c r="I255" s="2">
        <f t="shared" si="188"/>
        <v>0</v>
      </c>
      <c r="J255" s="2">
        <f t="shared" si="188"/>
        <v>0</v>
      </c>
      <c r="K255" s="2">
        <f t="shared" si="188"/>
        <v>0</v>
      </c>
      <c r="L255" s="2">
        <f t="shared" si="188"/>
        <v>0</v>
      </c>
      <c r="M255" s="2">
        <f t="shared" si="188"/>
        <v>0</v>
      </c>
      <c r="N255" s="2">
        <f t="shared" si="188"/>
        <v>0</v>
      </c>
      <c r="O255" s="2">
        <f t="shared" si="188"/>
        <v>0</v>
      </c>
      <c r="P255" s="2">
        <f t="shared" si="188"/>
        <v>0</v>
      </c>
      <c r="Q255" s="2">
        <f t="shared" si="188"/>
        <v>0</v>
      </c>
      <c r="R255" s="2">
        <f t="shared" si="188"/>
        <v>0</v>
      </c>
      <c r="S255" s="2">
        <f t="shared" si="188"/>
        <v>0</v>
      </c>
      <c r="T255" s="2">
        <f t="shared" si="188"/>
        <v>0</v>
      </c>
      <c r="U255" s="2">
        <f t="shared" si="188"/>
        <v>0</v>
      </c>
    </row>
    <row r="256" spans="1:21">
      <c r="A256" s="1" t="s">
        <v>72</v>
      </c>
      <c r="B256" s="2">
        <f>IF(B255=1, IF(B200&gt;7.5, 1, 0), 0)</f>
        <v>0</v>
      </c>
      <c r="C256" s="2">
        <f t="shared" ref="C256:U256" si="189">IF(C255=1, IF(C200&gt;7.5, 1, 0), 0)</f>
        <v>0</v>
      </c>
      <c r="D256" s="2">
        <f t="shared" si="189"/>
        <v>0</v>
      </c>
      <c r="E256" s="2">
        <f t="shared" si="189"/>
        <v>0</v>
      </c>
      <c r="F256" s="2">
        <f t="shared" si="189"/>
        <v>0</v>
      </c>
      <c r="G256" s="2">
        <f t="shared" si="189"/>
        <v>0</v>
      </c>
      <c r="H256" s="2">
        <f t="shared" si="189"/>
        <v>0</v>
      </c>
      <c r="I256" s="2">
        <f t="shared" si="189"/>
        <v>0</v>
      </c>
      <c r="J256" s="2">
        <f t="shared" si="189"/>
        <v>0</v>
      </c>
      <c r="K256" s="2">
        <f t="shared" si="189"/>
        <v>0</v>
      </c>
      <c r="L256" s="2">
        <f t="shared" si="189"/>
        <v>0</v>
      </c>
      <c r="M256" s="2">
        <f t="shared" si="189"/>
        <v>0</v>
      </c>
      <c r="N256" s="2">
        <f t="shared" si="189"/>
        <v>0</v>
      </c>
      <c r="O256" s="2">
        <f t="shared" si="189"/>
        <v>0</v>
      </c>
      <c r="P256" s="2">
        <f t="shared" si="189"/>
        <v>0</v>
      </c>
      <c r="Q256" s="2">
        <f t="shared" si="189"/>
        <v>0</v>
      </c>
      <c r="R256" s="2">
        <f t="shared" si="189"/>
        <v>0</v>
      </c>
      <c r="S256" s="2">
        <f t="shared" si="189"/>
        <v>0</v>
      </c>
      <c r="T256" s="2">
        <f t="shared" si="189"/>
        <v>0</v>
      </c>
      <c r="U256" s="2">
        <f t="shared" si="189"/>
        <v>0</v>
      </c>
    </row>
    <row r="257" spans="1:21">
      <c r="A257" s="37" t="s">
        <v>51</v>
      </c>
      <c r="B257" s="2">
        <f>IF(B256=1, IF(B199&gt;0.5, 51, 52), 0)</f>
        <v>0</v>
      </c>
      <c r="C257" s="2">
        <f t="shared" ref="C257:U257" si="190">IF(C256=1, IF(C199&gt;0.5, 51, 52), 0)</f>
        <v>0</v>
      </c>
      <c r="D257" s="2">
        <f t="shared" si="190"/>
        <v>0</v>
      </c>
      <c r="E257" s="2">
        <f t="shared" si="190"/>
        <v>0</v>
      </c>
      <c r="F257" s="2">
        <f t="shared" si="190"/>
        <v>0</v>
      </c>
      <c r="G257" s="2">
        <f t="shared" si="190"/>
        <v>0</v>
      </c>
      <c r="H257" s="2">
        <f t="shared" si="190"/>
        <v>0</v>
      </c>
      <c r="I257" s="2">
        <f t="shared" si="190"/>
        <v>0</v>
      </c>
      <c r="J257" s="2">
        <f t="shared" si="190"/>
        <v>0</v>
      </c>
      <c r="K257" s="2">
        <f t="shared" si="190"/>
        <v>0</v>
      </c>
      <c r="L257" s="2">
        <f t="shared" si="190"/>
        <v>0</v>
      </c>
      <c r="M257" s="2">
        <f t="shared" si="190"/>
        <v>0</v>
      </c>
      <c r="N257" s="2">
        <f t="shared" si="190"/>
        <v>0</v>
      </c>
      <c r="O257" s="2">
        <f t="shared" si="190"/>
        <v>0</v>
      </c>
      <c r="P257" s="2">
        <f t="shared" si="190"/>
        <v>0</v>
      </c>
      <c r="Q257" s="2">
        <f t="shared" si="190"/>
        <v>0</v>
      </c>
      <c r="R257" s="2">
        <f t="shared" si="190"/>
        <v>0</v>
      </c>
      <c r="S257" s="2">
        <f t="shared" si="190"/>
        <v>0</v>
      </c>
      <c r="T257" s="2">
        <f t="shared" si="190"/>
        <v>0</v>
      </c>
      <c r="U257" s="2">
        <f t="shared" si="190"/>
        <v>0</v>
      </c>
    </row>
    <row r="258" spans="1:21">
      <c r="A258" s="1" t="s">
        <v>52</v>
      </c>
      <c r="B258" s="2">
        <f>IF(B255=1, IF(B200&gt;6.5, IF(B200&lt;=7.5, 1, 0), 0), 0)</f>
        <v>0</v>
      </c>
      <c r="C258" s="2">
        <f t="shared" ref="C258:U258" si="191">IF(C255=1, IF(C200&gt;6.5, IF(C200&lt;=7.5, 1, 0), 0), 0)</f>
        <v>0</v>
      </c>
      <c r="D258" s="2">
        <f t="shared" si="191"/>
        <v>0</v>
      </c>
      <c r="E258" s="2">
        <f t="shared" si="191"/>
        <v>0</v>
      </c>
      <c r="F258" s="2">
        <f t="shared" si="191"/>
        <v>0</v>
      </c>
      <c r="G258" s="2">
        <f t="shared" si="191"/>
        <v>0</v>
      </c>
      <c r="H258" s="2">
        <f t="shared" si="191"/>
        <v>0</v>
      </c>
      <c r="I258" s="2">
        <f t="shared" si="191"/>
        <v>0</v>
      </c>
      <c r="J258" s="2">
        <f t="shared" si="191"/>
        <v>0</v>
      </c>
      <c r="K258" s="2">
        <f t="shared" si="191"/>
        <v>0</v>
      </c>
      <c r="L258" s="2">
        <f t="shared" si="191"/>
        <v>0</v>
      </c>
      <c r="M258" s="2">
        <f t="shared" si="191"/>
        <v>0</v>
      </c>
      <c r="N258" s="2">
        <f t="shared" si="191"/>
        <v>0</v>
      </c>
      <c r="O258" s="2">
        <f t="shared" si="191"/>
        <v>0</v>
      </c>
      <c r="P258" s="2">
        <f t="shared" si="191"/>
        <v>0</v>
      </c>
      <c r="Q258" s="2">
        <f t="shared" si="191"/>
        <v>0</v>
      </c>
      <c r="R258" s="2">
        <f t="shared" si="191"/>
        <v>0</v>
      </c>
      <c r="S258" s="2">
        <f t="shared" si="191"/>
        <v>0</v>
      </c>
      <c r="T258" s="2">
        <f t="shared" si="191"/>
        <v>0</v>
      </c>
      <c r="U258" s="2">
        <f t="shared" si="191"/>
        <v>0</v>
      </c>
    </row>
    <row r="259" spans="1:21">
      <c r="A259" s="37" t="s">
        <v>53</v>
      </c>
      <c r="B259" s="2">
        <f>IF(B258=1, IF(B199&gt;0.5, 53, 54), 0)</f>
        <v>0</v>
      </c>
      <c r="C259" s="2">
        <f t="shared" ref="C259:U259" si="192">IF(C258=1, IF(C199&gt;0.5, 53, 54), 0)</f>
        <v>0</v>
      </c>
      <c r="D259" s="2">
        <f t="shared" si="192"/>
        <v>0</v>
      </c>
      <c r="E259" s="2">
        <f t="shared" si="192"/>
        <v>0</v>
      </c>
      <c r="F259" s="2">
        <f t="shared" si="192"/>
        <v>0</v>
      </c>
      <c r="G259" s="2">
        <f t="shared" si="192"/>
        <v>0</v>
      </c>
      <c r="H259" s="2">
        <f t="shared" si="192"/>
        <v>0</v>
      </c>
      <c r="I259" s="2">
        <f t="shared" si="192"/>
        <v>0</v>
      </c>
      <c r="J259" s="2">
        <f t="shared" si="192"/>
        <v>0</v>
      </c>
      <c r="K259" s="2">
        <f t="shared" si="192"/>
        <v>0</v>
      </c>
      <c r="L259" s="2">
        <f t="shared" si="192"/>
        <v>0</v>
      </c>
      <c r="M259" s="2">
        <f t="shared" si="192"/>
        <v>0</v>
      </c>
      <c r="N259" s="2">
        <f t="shared" si="192"/>
        <v>0</v>
      </c>
      <c r="O259" s="2">
        <f t="shared" si="192"/>
        <v>0</v>
      </c>
      <c r="P259" s="2">
        <f t="shared" si="192"/>
        <v>0</v>
      </c>
      <c r="Q259" s="2">
        <f t="shared" si="192"/>
        <v>0</v>
      </c>
      <c r="R259" s="2">
        <f t="shared" si="192"/>
        <v>0</v>
      </c>
      <c r="S259" s="2">
        <f t="shared" si="192"/>
        <v>0</v>
      </c>
      <c r="T259" s="2">
        <f t="shared" si="192"/>
        <v>0</v>
      </c>
      <c r="U259" s="2">
        <f t="shared" si="192"/>
        <v>0</v>
      </c>
    </row>
    <row r="260" spans="1:21">
      <c r="A260" s="1" t="s">
        <v>54</v>
      </c>
      <c r="B260" s="2">
        <f>IF(B255=1, IF(B200&lt;=6.5, 1, 0), 0)</f>
        <v>0</v>
      </c>
      <c r="C260" s="2">
        <f t="shared" ref="C260:U260" si="193">IF(C255=1, IF(C200&lt;=6.5, 1, 0), 0)</f>
        <v>0</v>
      </c>
      <c r="D260" s="2">
        <f t="shared" si="193"/>
        <v>0</v>
      </c>
      <c r="E260" s="2">
        <f t="shared" si="193"/>
        <v>0</v>
      </c>
      <c r="F260" s="2">
        <f t="shared" si="193"/>
        <v>0</v>
      </c>
      <c r="G260" s="2">
        <f t="shared" si="193"/>
        <v>0</v>
      </c>
      <c r="H260" s="2">
        <f t="shared" si="193"/>
        <v>0</v>
      </c>
      <c r="I260" s="2">
        <f t="shared" si="193"/>
        <v>0</v>
      </c>
      <c r="J260" s="2">
        <f t="shared" si="193"/>
        <v>0</v>
      </c>
      <c r="K260" s="2">
        <f t="shared" si="193"/>
        <v>0</v>
      </c>
      <c r="L260" s="2">
        <f t="shared" si="193"/>
        <v>0</v>
      </c>
      <c r="M260" s="2">
        <f t="shared" si="193"/>
        <v>0</v>
      </c>
      <c r="N260" s="2">
        <f t="shared" si="193"/>
        <v>0</v>
      </c>
      <c r="O260" s="2">
        <f t="shared" si="193"/>
        <v>0</v>
      </c>
      <c r="P260" s="2">
        <f t="shared" si="193"/>
        <v>0</v>
      </c>
      <c r="Q260" s="2">
        <f t="shared" si="193"/>
        <v>0</v>
      </c>
      <c r="R260" s="2">
        <f t="shared" si="193"/>
        <v>0</v>
      </c>
      <c r="S260" s="2">
        <f t="shared" si="193"/>
        <v>0</v>
      </c>
      <c r="T260" s="2">
        <f t="shared" si="193"/>
        <v>0</v>
      </c>
      <c r="U260" s="2">
        <f t="shared" si="193"/>
        <v>0</v>
      </c>
    </row>
    <row r="261" spans="1:21">
      <c r="A261" s="37" t="s">
        <v>147</v>
      </c>
      <c r="B261" s="2">
        <f>IF(B260=1, IF(B199&gt;0.5, 55, 56), 0)</f>
        <v>0</v>
      </c>
      <c r="C261" s="2">
        <f t="shared" ref="C261:U261" si="194">IF(C260=1, IF(C199&gt;0.5, 55, 56), 0)</f>
        <v>0</v>
      </c>
      <c r="D261" s="2">
        <f t="shared" si="194"/>
        <v>0</v>
      </c>
      <c r="E261" s="2">
        <f t="shared" si="194"/>
        <v>0</v>
      </c>
      <c r="F261" s="2">
        <f t="shared" si="194"/>
        <v>0</v>
      </c>
      <c r="G261" s="2">
        <f t="shared" si="194"/>
        <v>0</v>
      </c>
      <c r="H261" s="2">
        <f t="shared" si="194"/>
        <v>0</v>
      </c>
      <c r="I261" s="2">
        <f t="shared" si="194"/>
        <v>0</v>
      </c>
      <c r="J261" s="2">
        <f t="shared" si="194"/>
        <v>0</v>
      </c>
      <c r="K261" s="2">
        <f t="shared" si="194"/>
        <v>0</v>
      </c>
      <c r="L261" s="2">
        <f t="shared" si="194"/>
        <v>0</v>
      </c>
      <c r="M261" s="2">
        <f t="shared" si="194"/>
        <v>0</v>
      </c>
      <c r="N261" s="2">
        <f t="shared" si="194"/>
        <v>0</v>
      </c>
      <c r="O261" s="2">
        <f t="shared" si="194"/>
        <v>0</v>
      </c>
      <c r="P261" s="2">
        <f t="shared" si="194"/>
        <v>0</v>
      </c>
      <c r="Q261" s="2">
        <f t="shared" si="194"/>
        <v>0</v>
      </c>
      <c r="R261" s="2">
        <f t="shared" si="194"/>
        <v>0</v>
      </c>
      <c r="S261" s="2">
        <f t="shared" si="194"/>
        <v>0</v>
      </c>
      <c r="T261" s="2">
        <f t="shared" si="194"/>
        <v>0</v>
      </c>
      <c r="U261" s="2">
        <f t="shared" si="194"/>
        <v>0</v>
      </c>
    </row>
    <row r="262" spans="1:21">
      <c r="A262" s="43" t="s">
        <v>148</v>
      </c>
    </row>
    <row r="263" spans="1:21">
      <c r="A263" s="48" t="s">
        <v>170</v>
      </c>
      <c r="B263" s="2">
        <f>IF(B197&gt;=1.34, 1, 0)</f>
        <v>0</v>
      </c>
      <c r="C263" s="2">
        <f t="shared" ref="C263:U263" si="195">IF(C197&gt;=1.34, 1, 0)</f>
        <v>0</v>
      </c>
      <c r="D263" s="2">
        <f t="shared" si="195"/>
        <v>0</v>
      </c>
      <c r="E263" s="2">
        <f t="shared" si="195"/>
        <v>0</v>
      </c>
      <c r="F263" s="2">
        <f t="shared" si="195"/>
        <v>0</v>
      </c>
      <c r="G263" s="2">
        <f t="shared" si="195"/>
        <v>0</v>
      </c>
      <c r="H263" s="2">
        <f t="shared" si="195"/>
        <v>0</v>
      </c>
      <c r="I263" s="2">
        <f t="shared" si="195"/>
        <v>0</v>
      </c>
      <c r="J263" s="2">
        <f t="shared" si="195"/>
        <v>0</v>
      </c>
      <c r="K263" s="2">
        <f t="shared" si="195"/>
        <v>0</v>
      </c>
      <c r="L263" s="2">
        <f t="shared" si="195"/>
        <v>0</v>
      </c>
      <c r="M263" s="2">
        <f t="shared" si="195"/>
        <v>0</v>
      </c>
      <c r="N263" s="2">
        <f t="shared" si="195"/>
        <v>0</v>
      </c>
      <c r="O263" s="2">
        <f t="shared" si="195"/>
        <v>0</v>
      </c>
      <c r="P263" s="2">
        <f t="shared" si="195"/>
        <v>0</v>
      </c>
      <c r="Q263" s="2">
        <f t="shared" si="195"/>
        <v>0</v>
      </c>
      <c r="R263" s="2">
        <f t="shared" si="195"/>
        <v>0</v>
      </c>
      <c r="S263" s="2">
        <f t="shared" si="195"/>
        <v>0</v>
      </c>
      <c r="T263" s="2">
        <f t="shared" si="195"/>
        <v>0</v>
      </c>
      <c r="U263" s="2">
        <f t="shared" si="195"/>
        <v>0</v>
      </c>
    </row>
    <row r="264" spans="1:21">
      <c r="A264" s="38" t="s">
        <v>149</v>
      </c>
      <c r="B264" s="2">
        <f>IF(B263=1, IF(B198&gt;0.5, 1, 0), 0)</f>
        <v>0</v>
      </c>
      <c r="C264" s="2">
        <f t="shared" ref="C264:U264" si="196">IF(C263=1, IF(C198&gt;0.5, 1, 0), 0)</f>
        <v>0</v>
      </c>
      <c r="D264" s="2">
        <f t="shared" si="196"/>
        <v>0</v>
      </c>
      <c r="E264" s="2">
        <f t="shared" si="196"/>
        <v>0</v>
      </c>
      <c r="F264" s="2">
        <f t="shared" si="196"/>
        <v>0</v>
      </c>
      <c r="G264" s="2">
        <f t="shared" si="196"/>
        <v>0</v>
      </c>
      <c r="H264" s="2">
        <f t="shared" si="196"/>
        <v>0</v>
      </c>
      <c r="I264" s="2">
        <f t="shared" si="196"/>
        <v>0</v>
      </c>
      <c r="J264" s="2">
        <f t="shared" si="196"/>
        <v>0</v>
      </c>
      <c r="K264" s="2">
        <f t="shared" si="196"/>
        <v>0</v>
      </c>
      <c r="L264" s="2">
        <f t="shared" si="196"/>
        <v>0</v>
      </c>
      <c r="M264" s="2">
        <f t="shared" si="196"/>
        <v>0</v>
      </c>
      <c r="N264" s="2">
        <f t="shared" si="196"/>
        <v>0</v>
      </c>
      <c r="O264" s="2">
        <f t="shared" si="196"/>
        <v>0</v>
      </c>
      <c r="P264" s="2">
        <f t="shared" si="196"/>
        <v>0</v>
      </c>
      <c r="Q264" s="2">
        <f t="shared" si="196"/>
        <v>0</v>
      </c>
      <c r="R264" s="2">
        <f t="shared" si="196"/>
        <v>0</v>
      </c>
      <c r="S264" s="2">
        <f t="shared" si="196"/>
        <v>0</v>
      </c>
      <c r="T264" s="2">
        <f t="shared" si="196"/>
        <v>0</v>
      </c>
      <c r="U264" s="2">
        <f t="shared" si="196"/>
        <v>0</v>
      </c>
    </row>
    <row r="265" spans="1:21">
      <c r="A265" s="1" t="s">
        <v>135</v>
      </c>
      <c r="B265" s="2">
        <f>IF(B264=1, IF(B202&lt;0.5, 1, 0), 0)</f>
        <v>0</v>
      </c>
      <c r="C265" s="2">
        <f t="shared" ref="C265:U265" si="197">IF(C264=1, IF(C202&lt;0.5, 1, 0), 0)</f>
        <v>0</v>
      </c>
      <c r="D265" s="2">
        <f t="shared" si="197"/>
        <v>0</v>
      </c>
      <c r="E265" s="2">
        <f t="shared" si="197"/>
        <v>0</v>
      </c>
      <c r="F265" s="2">
        <f t="shared" si="197"/>
        <v>0</v>
      </c>
      <c r="G265" s="2">
        <f t="shared" si="197"/>
        <v>0</v>
      </c>
      <c r="H265" s="2">
        <f t="shared" si="197"/>
        <v>0</v>
      </c>
      <c r="I265" s="2">
        <f t="shared" si="197"/>
        <v>0</v>
      </c>
      <c r="J265" s="2">
        <f t="shared" si="197"/>
        <v>0</v>
      </c>
      <c r="K265" s="2">
        <f t="shared" si="197"/>
        <v>0</v>
      </c>
      <c r="L265" s="2">
        <f t="shared" si="197"/>
        <v>0</v>
      </c>
      <c r="M265" s="2">
        <f t="shared" si="197"/>
        <v>0</v>
      </c>
      <c r="N265" s="2">
        <f t="shared" si="197"/>
        <v>0</v>
      </c>
      <c r="O265" s="2">
        <f t="shared" si="197"/>
        <v>0</v>
      </c>
      <c r="P265" s="2">
        <f t="shared" si="197"/>
        <v>0</v>
      </c>
      <c r="Q265" s="2">
        <f t="shared" si="197"/>
        <v>0</v>
      </c>
      <c r="R265" s="2">
        <f t="shared" si="197"/>
        <v>0</v>
      </c>
      <c r="S265" s="2">
        <f t="shared" si="197"/>
        <v>0</v>
      </c>
      <c r="T265" s="2">
        <f t="shared" si="197"/>
        <v>0</v>
      </c>
      <c r="U265" s="2">
        <f t="shared" si="197"/>
        <v>0</v>
      </c>
    </row>
    <row r="266" spans="1:21">
      <c r="A266" s="37" t="s">
        <v>150</v>
      </c>
      <c r="B266" s="2">
        <f>IF(B265=1, IF(B199&gt;0.5, 57, 58), 0)</f>
        <v>0</v>
      </c>
      <c r="C266" s="2">
        <f t="shared" ref="C266:U266" si="198">IF(C265=1, IF(C199&gt;0.5, 57, 58), 0)</f>
        <v>0</v>
      </c>
      <c r="D266" s="2">
        <f t="shared" si="198"/>
        <v>0</v>
      </c>
      <c r="E266" s="2">
        <f t="shared" si="198"/>
        <v>0</v>
      </c>
      <c r="F266" s="2">
        <f t="shared" si="198"/>
        <v>0</v>
      </c>
      <c r="G266" s="2">
        <f t="shared" si="198"/>
        <v>0</v>
      </c>
      <c r="H266" s="2">
        <f t="shared" si="198"/>
        <v>0</v>
      </c>
      <c r="I266" s="2">
        <f t="shared" si="198"/>
        <v>0</v>
      </c>
      <c r="J266" s="2">
        <f t="shared" si="198"/>
        <v>0</v>
      </c>
      <c r="K266" s="2">
        <f t="shared" si="198"/>
        <v>0</v>
      </c>
      <c r="L266" s="2">
        <f t="shared" si="198"/>
        <v>0</v>
      </c>
      <c r="M266" s="2">
        <f t="shared" si="198"/>
        <v>0</v>
      </c>
      <c r="N266" s="2">
        <f t="shared" si="198"/>
        <v>0</v>
      </c>
      <c r="O266" s="2">
        <f t="shared" si="198"/>
        <v>0</v>
      </c>
      <c r="P266" s="2">
        <f t="shared" si="198"/>
        <v>0</v>
      </c>
      <c r="Q266" s="2">
        <f t="shared" si="198"/>
        <v>0</v>
      </c>
      <c r="R266" s="2">
        <f t="shared" si="198"/>
        <v>0</v>
      </c>
      <c r="S266" s="2">
        <f t="shared" si="198"/>
        <v>0</v>
      </c>
      <c r="T266" s="2">
        <f t="shared" si="198"/>
        <v>0</v>
      </c>
      <c r="U266" s="2">
        <f t="shared" si="198"/>
        <v>0</v>
      </c>
    </row>
    <row r="267" spans="1:21">
      <c r="A267" s="1" t="s">
        <v>151</v>
      </c>
      <c r="B267" s="2">
        <f>IF(B264=1, IF(B202&gt;0.5, 1, 0), 0)</f>
        <v>0</v>
      </c>
      <c r="C267" s="2">
        <f t="shared" ref="C267:U267" si="199">IF(C264=1, IF(C202&gt;0.5, 1, 0), 0)</f>
        <v>0</v>
      </c>
      <c r="D267" s="2">
        <f t="shared" si="199"/>
        <v>0</v>
      </c>
      <c r="E267" s="2">
        <f t="shared" si="199"/>
        <v>0</v>
      </c>
      <c r="F267" s="2">
        <f t="shared" si="199"/>
        <v>0</v>
      </c>
      <c r="G267" s="2">
        <f t="shared" si="199"/>
        <v>0</v>
      </c>
      <c r="H267" s="2">
        <f t="shared" si="199"/>
        <v>0</v>
      </c>
      <c r="I267" s="2">
        <f t="shared" si="199"/>
        <v>0</v>
      </c>
      <c r="J267" s="2">
        <f t="shared" si="199"/>
        <v>0</v>
      </c>
      <c r="K267" s="2">
        <f t="shared" si="199"/>
        <v>0</v>
      </c>
      <c r="L267" s="2">
        <f t="shared" si="199"/>
        <v>0</v>
      </c>
      <c r="M267" s="2">
        <f t="shared" si="199"/>
        <v>0</v>
      </c>
      <c r="N267" s="2">
        <f t="shared" si="199"/>
        <v>0</v>
      </c>
      <c r="O267" s="2">
        <f t="shared" si="199"/>
        <v>0</v>
      </c>
      <c r="P267" s="2">
        <f t="shared" si="199"/>
        <v>0</v>
      </c>
      <c r="Q267" s="2">
        <f t="shared" si="199"/>
        <v>0</v>
      </c>
      <c r="R267" s="2">
        <f t="shared" si="199"/>
        <v>0</v>
      </c>
      <c r="S267" s="2">
        <f t="shared" si="199"/>
        <v>0</v>
      </c>
      <c r="T267" s="2">
        <f t="shared" si="199"/>
        <v>0</v>
      </c>
      <c r="U267" s="2">
        <f t="shared" si="199"/>
        <v>0</v>
      </c>
    </row>
    <row r="268" spans="1:21">
      <c r="A268" s="37" t="s">
        <v>136</v>
      </c>
      <c r="B268" s="2">
        <f>IF(B267=1, IF(B199&gt;0.5, 59, 60), 0)</f>
        <v>0</v>
      </c>
      <c r="C268" s="2">
        <f t="shared" ref="C268:U268" si="200">IF(C267=1, IF(C199&gt;0.5, 59, 60), 0)</f>
        <v>0</v>
      </c>
      <c r="D268" s="2">
        <f t="shared" si="200"/>
        <v>0</v>
      </c>
      <c r="E268" s="2">
        <f t="shared" si="200"/>
        <v>0</v>
      </c>
      <c r="F268" s="2">
        <f t="shared" si="200"/>
        <v>0</v>
      </c>
      <c r="G268" s="2">
        <f t="shared" si="200"/>
        <v>0</v>
      </c>
      <c r="H268" s="2">
        <f t="shared" si="200"/>
        <v>0</v>
      </c>
      <c r="I268" s="2">
        <f t="shared" si="200"/>
        <v>0</v>
      </c>
      <c r="J268" s="2">
        <f t="shared" si="200"/>
        <v>0</v>
      </c>
      <c r="K268" s="2">
        <f t="shared" si="200"/>
        <v>0</v>
      </c>
      <c r="L268" s="2">
        <f t="shared" si="200"/>
        <v>0</v>
      </c>
      <c r="M268" s="2">
        <f t="shared" si="200"/>
        <v>0</v>
      </c>
      <c r="N268" s="2">
        <f t="shared" si="200"/>
        <v>0</v>
      </c>
      <c r="O268" s="2">
        <f t="shared" si="200"/>
        <v>0</v>
      </c>
      <c r="P268" s="2">
        <f t="shared" si="200"/>
        <v>0</v>
      </c>
      <c r="Q268" s="2">
        <f t="shared" si="200"/>
        <v>0</v>
      </c>
      <c r="R268" s="2">
        <f t="shared" si="200"/>
        <v>0</v>
      </c>
      <c r="S268" s="2">
        <f t="shared" si="200"/>
        <v>0</v>
      </c>
      <c r="T268" s="2">
        <f t="shared" si="200"/>
        <v>0</v>
      </c>
      <c r="U268" s="2">
        <f t="shared" si="200"/>
        <v>0</v>
      </c>
    </row>
    <row r="269" spans="1:21">
      <c r="A269" s="38" t="s">
        <v>137</v>
      </c>
      <c r="B269" s="2">
        <f>IF(B263=1, IF(B198&gt;=0.5, 1, 0), 0)</f>
        <v>0</v>
      </c>
      <c r="C269" s="2">
        <f t="shared" ref="C269:U269" si="201">IF(C263=1, IF(C198&gt;=0.5, 1, 0), 0)</f>
        <v>0</v>
      </c>
      <c r="D269" s="2">
        <f t="shared" si="201"/>
        <v>0</v>
      </c>
      <c r="E269" s="2">
        <f t="shared" si="201"/>
        <v>0</v>
      </c>
      <c r="F269" s="2">
        <f t="shared" si="201"/>
        <v>0</v>
      </c>
      <c r="G269" s="2">
        <f t="shared" si="201"/>
        <v>0</v>
      </c>
      <c r="H269" s="2">
        <f t="shared" si="201"/>
        <v>0</v>
      </c>
      <c r="I269" s="2">
        <f t="shared" si="201"/>
        <v>0</v>
      </c>
      <c r="J269" s="2">
        <f t="shared" si="201"/>
        <v>0</v>
      </c>
      <c r="K269" s="2">
        <f t="shared" si="201"/>
        <v>0</v>
      </c>
      <c r="L269" s="2">
        <f t="shared" si="201"/>
        <v>0</v>
      </c>
      <c r="M269" s="2">
        <f t="shared" si="201"/>
        <v>0</v>
      </c>
      <c r="N269" s="2">
        <f t="shared" si="201"/>
        <v>0</v>
      </c>
      <c r="O269" s="2">
        <f t="shared" si="201"/>
        <v>0</v>
      </c>
      <c r="P269" s="2">
        <f t="shared" si="201"/>
        <v>0</v>
      </c>
      <c r="Q269" s="2">
        <f t="shared" si="201"/>
        <v>0</v>
      </c>
      <c r="R269" s="2">
        <f t="shared" si="201"/>
        <v>0</v>
      </c>
      <c r="S269" s="2">
        <f t="shared" si="201"/>
        <v>0</v>
      </c>
      <c r="T269" s="2">
        <f t="shared" si="201"/>
        <v>0</v>
      </c>
      <c r="U269" s="2">
        <f t="shared" si="201"/>
        <v>0</v>
      </c>
    </row>
    <row r="270" spans="1:21">
      <c r="A270" s="1" t="s">
        <v>138</v>
      </c>
      <c r="B270" s="2">
        <f>IF(B269=1, IF(B202&lt;0.3, 1, 0), 0)</f>
        <v>0</v>
      </c>
      <c r="C270" s="2">
        <f t="shared" ref="C270:U270" si="202">IF(C269=1, IF(C202&lt;0.3, 1, 0), 0)</f>
        <v>0</v>
      </c>
      <c r="D270" s="2">
        <f t="shared" si="202"/>
        <v>0</v>
      </c>
      <c r="E270" s="2">
        <f t="shared" si="202"/>
        <v>0</v>
      </c>
      <c r="F270" s="2">
        <f t="shared" si="202"/>
        <v>0</v>
      </c>
      <c r="G270" s="2">
        <f t="shared" si="202"/>
        <v>0</v>
      </c>
      <c r="H270" s="2">
        <f t="shared" si="202"/>
        <v>0</v>
      </c>
      <c r="I270" s="2">
        <f t="shared" si="202"/>
        <v>0</v>
      </c>
      <c r="J270" s="2">
        <f t="shared" si="202"/>
        <v>0</v>
      </c>
      <c r="K270" s="2">
        <f t="shared" si="202"/>
        <v>0</v>
      </c>
      <c r="L270" s="2">
        <f t="shared" si="202"/>
        <v>0</v>
      </c>
      <c r="M270" s="2">
        <f t="shared" si="202"/>
        <v>0</v>
      </c>
      <c r="N270" s="2">
        <f t="shared" si="202"/>
        <v>0</v>
      </c>
      <c r="O270" s="2">
        <f t="shared" si="202"/>
        <v>0</v>
      </c>
      <c r="P270" s="2">
        <f t="shared" si="202"/>
        <v>0</v>
      </c>
      <c r="Q270" s="2">
        <f t="shared" si="202"/>
        <v>0</v>
      </c>
      <c r="R270" s="2">
        <f t="shared" si="202"/>
        <v>0</v>
      </c>
      <c r="S270" s="2">
        <f t="shared" si="202"/>
        <v>0</v>
      </c>
      <c r="T270" s="2">
        <f t="shared" si="202"/>
        <v>0</v>
      </c>
      <c r="U270" s="2">
        <f t="shared" si="202"/>
        <v>0</v>
      </c>
    </row>
    <row r="271" spans="1:21">
      <c r="A271" s="37" t="s">
        <v>139</v>
      </c>
      <c r="B271" s="2">
        <f>IF(B270=1, IF(B199&gt;0.5, 61, 62), 0)</f>
        <v>0</v>
      </c>
      <c r="C271" s="2">
        <f t="shared" ref="C271:U271" si="203">IF(C270=1, IF(C199&gt;0.5, 61, 62), 0)</f>
        <v>0</v>
      </c>
      <c r="D271" s="2">
        <f t="shared" si="203"/>
        <v>0</v>
      </c>
      <c r="E271" s="2">
        <f t="shared" si="203"/>
        <v>0</v>
      </c>
      <c r="F271" s="2">
        <f t="shared" si="203"/>
        <v>0</v>
      </c>
      <c r="G271" s="2">
        <f t="shared" si="203"/>
        <v>0</v>
      </c>
      <c r="H271" s="2">
        <f t="shared" si="203"/>
        <v>0</v>
      </c>
      <c r="I271" s="2">
        <f t="shared" si="203"/>
        <v>0</v>
      </c>
      <c r="J271" s="2">
        <f t="shared" si="203"/>
        <v>0</v>
      </c>
      <c r="K271" s="2">
        <f t="shared" si="203"/>
        <v>0</v>
      </c>
      <c r="L271" s="2">
        <f t="shared" si="203"/>
        <v>0</v>
      </c>
      <c r="M271" s="2">
        <f t="shared" si="203"/>
        <v>0</v>
      </c>
      <c r="N271" s="2">
        <f t="shared" si="203"/>
        <v>0</v>
      </c>
      <c r="O271" s="2">
        <f t="shared" si="203"/>
        <v>0</v>
      </c>
      <c r="P271" s="2">
        <f t="shared" si="203"/>
        <v>0</v>
      </c>
      <c r="Q271" s="2">
        <f t="shared" si="203"/>
        <v>0</v>
      </c>
      <c r="R271" s="2">
        <f t="shared" si="203"/>
        <v>0</v>
      </c>
      <c r="S271" s="2">
        <f t="shared" si="203"/>
        <v>0</v>
      </c>
      <c r="T271" s="2">
        <f t="shared" si="203"/>
        <v>0</v>
      </c>
      <c r="U271" s="2">
        <f t="shared" si="203"/>
        <v>0</v>
      </c>
    </row>
    <row r="272" spans="1:21">
      <c r="A272" s="1" t="s">
        <v>140</v>
      </c>
      <c r="B272" s="2">
        <f>IF(B269=1,IF(B202&gt;0.3,IF(B202&lt;=0.7,1,0),0),0)</f>
        <v>0</v>
      </c>
      <c r="C272" s="2">
        <f t="shared" ref="C272:U272" si="204">IF(C269=1,IF(C202&gt;0.3,IF(C202&lt;=0.7,1,0),0),0)</f>
        <v>0</v>
      </c>
      <c r="D272" s="2">
        <f t="shared" si="204"/>
        <v>0</v>
      </c>
      <c r="E272" s="2">
        <f t="shared" si="204"/>
        <v>0</v>
      </c>
      <c r="F272" s="2">
        <f t="shared" si="204"/>
        <v>0</v>
      </c>
      <c r="G272" s="2">
        <f t="shared" si="204"/>
        <v>0</v>
      </c>
      <c r="H272" s="2">
        <f t="shared" si="204"/>
        <v>0</v>
      </c>
      <c r="I272" s="2">
        <f t="shared" si="204"/>
        <v>0</v>
      </c>
      <c r="J272" s="2">
        <f t="shared" si="204"/>
        <v>0</v>
      </c>
      <c r="K272" s="2">
        <f t="shared" si="204"/>
        <v>0</v>
      </c>
      <c r="L272" s="2">
        <f t="shared" si="204"/>
        <v>0</v>
      </c>
      <c r="M272" s="2">
        <f t="shared" si="204"/>
        <v>0</v>
      </c>
      <c r="N272" s="2">
        <f t="shared" si="204"/>
        <v>0</v>
      </c>
      <c r="O272" s="2">
        <f t="shared" si="204"/>
        <v>0</v>
      </c>
      <c r="P272" s="2">
        <f t="shared" si="204"/>
        <v>0</v>
      </c>
      <c r="Q272" s="2">
        <f t="shared" si="204"/>
        <v>0</v>
      </c>
      <c r="R272" s="2">
        <f t="shared" si="204"/>
        <v>0</v>
      </c>
      <c r="S272" s="2">
        <f t="shared" si="204"/>
        <v>0</v>
      </c>
      <c r="T272" s="2">
        <f t="shared" si="204"/>
        <v>0</v>
      </c>
      <c r="U272" s="2">
        <f t="shared" si="204"/>
        <v>0</v>
      </c>
    </row>
    <row r="273" spans="1:21">
      <c r="A273" s="37" t="s">
        <v>141</v>
      </c>
      <c r="B273" s="2">
        <f>IF(B272=1, 63, 0)</f>
        <v>0</v>
      </c>
      <c r="C273" s="2">
        <f t="shared" ref="C273:U273" si="205">IF(C272=1, 63, 0)</f>
        <v>0</v>
      </c>
      <c r="D273" s="2">
        <f t="shared" si="205"/>
        <v>0</v>
      </c>
      <c r="E273" s="2">
        <f t="shared" si="205"/>
        <v>0</v>
      </c>
      <c r="F273" s="2">
        <f t="shared" si="205"/>
        <v>0</v>
      </c>
      <c r="G273" s="2">
        <f t="shared" si="205"/>
        <v>0</v>
      </c>
      <c r="H273" s="2">
        <f t="shared" si="205"/>
        <v>0</v>
      </c>
      <c r="I273" s="2">
        <f t="shared" si="205"/>
        <v>0</v>
      </c>
      <c r="J273" s="2">
        <f t="shared" si="205"/>
        <v>0</v>
      </c>
      <c r="K273" s="2">
        <f t="shared" si="205"/>
        <v>0</v>
      </c>
      <c r="L273" s="2">
        <f t="shared" si="205"/>
        <v>0</v>
      </c>
      <c r="M273" s="2">
        <f t="shared" si="205"/>
        <v>0</v>
      </c>
      <c r="N273" s="2">
        <f t="shared" si="205"/>
        <v>0</v>
      </c>
      <c r="O273" s="2">
        <f t="shared" si="205"/>
        <v>0</v>
      </c>
      <c r="P273" s="2">
        <f t="shared" si="205"/>
        <v>0</v>
      </c>
      <c r="Q273" s="2">
        <f t="shared" si="205"/>
        <v>0</v>
      </c>
      <c r="R273" s="2">
        <f t="shared" si="205"/>
        <v>0</v>
      </c>
      <c r="S273" s="2">
        <f t="shared" si="205"/>
        <v>0</v>
      </c>
      <c r="T273" s="2">
        <f t="shared" si="205"/>
        <v>0</v>
      </c>
      <c r="U273" s="2">
        <f t="shared" si="205"/>
        <v>0</v>
      </c>
    </row>
    <row r="274" spans="1:21">
      <c r="A274" s="1" t="s">
        <v>142</v>
      </c>
      <c r="B274" s="2">
        <f>IF(B269=1, IF(B202&gt;=0.7, 1, 0), 0)</f>
        <v>0</v>
      </c>
      <c r="C274" s="2">
        <f t="shared" ref="C274:U274" si="206">IF(C269=1, IF(C202&gt;=0.7, 1, 0), 0)</f>
        <v>0</v>
      </c>
      <c r="D274" s="2">
        <f t="shared" si="206"/>
        <v>0</v>
      </c>
      <c r="E274" s="2">
        <f t="shared" si="206"/>
        <v>0</v>
      </c>
      <c r="F274" s="2">
        <f t="shared" si="206"/>
        <v>0</v>
      </c>
      <c r="G274" s="2">
        <f t="shared" si="206"/>
        <v>0</v>
      </c>
      <c r="H274" s="2">
        <f t="shared" si="206"/>
        <v>0</v>
      </c>
      <c r="I274" s="2">
        <f t="shared" si="206"/>
        <v>0</v>
      </c>
      <c r="J274" s="2">
        <f t="shared" si="206"/>
        <v>0</v>
      </c>
      <c r="K274" s="2">
        <f t="shared" si="206"/>
        <v>0</v>
      </c>
      <c r="L274" s="2">
        <f t="shared" si="206"/>
        <v>0</v>
      </c>
      <c r="M274" s="2">
        <f t="shared" si="206"/>
        <v>0</v>
      </c>
      <c r="N274" s="2">
        <f t="shared" si="206"/>
        <v>0</v>
      </c>
      <c r="O274" s="2">
        <f t="shared" si="206"/>
        <v>0</v>
      </c>
      <c r="P274" s="2">
        <f t="shared" si="206"/>
        <v>0</v>
      </c>
      <c r="Q274" s="2">
        <f t="shared" si="206"/>
        <v>0</v>
      </c>
      <c r="R274" s="2">
        <f t="shared" si="206"/>
        <v>0</v>
      </c>
      <c r="S274" s="2">
        <f t="shared" si="206"/>
        <v>0</v>
      </c>
      <c r="T274" s="2">
        <f t="shared" si="206"/>
        <v>0</v>
      </c>
      <c r="U274" s="2">
        <f t="shared" si="206"/>
        <v>0</v>
      </c>
    </row>
    <row r="275" spans="1:21">
      <c r="A275" s="37" t="s">
        <v>143</v>
      </c>
      <c r="B275" s="2">
        <f>IF(B274=1, IF(B199&gt;0.5, 64, 65), 0)</f>
        <v>0</v>
      </c>
      <c r="C275" s="2">
        <f t="shared" ref="C275:U275" si="207">IF(C274=1, IF(C199&gt;0.5, 64, 65), 0)</f>
        <v>0</v>
      </c>
      <c r="D275" s="2">
        <f t="shared" si="207"/>
        <v>0</v>
      </c>
      <c r="E275" s="2">
        <f t="shared" si="207"/>
        <v>0</v>
      </c>
      <c r="F275" s="2">
        <f t="shared" si="207"/>
        <v>0</v>
      </c>
      <c r="G275" s="2">
        <f t="shared" si="207"/>
        <v>0</v>
      </c>
      <c r="H275" s="2">
        <f t="shared" si="207"/>
        <v>0</v>
      </c>
      <c r="I275" s="2">
        <f t="shared" si="207"/>
        <v>0</v>
      </c>
      <c r="J275" s="2">
        <f t="shared" si="207"/>
        <v>0</v>
      </c>
      <c r="K275" s="2">
        <f t="shared" si="207"/>
        <v>0</v>
      </c>
      <c r="L275" s="2">
        <f t="shared" si="207"/>
        <v>0</v>
      </c>
      <c r="M275" s="2">
        <f t="shared" si="207"/>
        <v>0</v>
      </c>
      <c r="N275" s="2">
        <f t="shared" si="207"/>
        <v>0</v>
      </c>
      <c r="O275" s="2">
        <f t="shared" si="207"/>
        <v>0</v>
      </c>
      <c r="P275" s="2">
        <f t="shared" si="207"/>
        <v>0</v>
      </c>
      <c r="Q275" s="2">
        <f t="shared" si="207"/>
        <v>0</v>
      </c>
      <c r="R275" s="2">
        <f t="shared" si="207"/>
        <v>0</v>
      </c>
      <c r="S275" s="2">
        <f t="shared" si="207"/>
        <v>0</v>
      </c>
      <c r="T275" s="2">
        <f t="shared" si="207"/>
        <v>0</v>
      </c>
      <c r="U275" s="2">
        <f t="shared" si="207"/>
        <v>0</v>
      </c>
    </row>
    <row r="277" spans="1:21">
      <c r="A277" s="1" t="s">
        <v>144</v>
      </c>
      <c r="B277" s="3">
        <f>SUM(B206+B208+B212+B215+B217+B219+B221+B223+B227+B229+B231+B233+B235+B239+B241+B243+B245+B252+B254+B257+B259+B261+B266+B268+B271+B273+B275)</f>
        <v>17</v>
      </c>
      <c r="C277" s="3">
        <f t="shared" ref="C277:U277" si="208">SUM(C206+C208+C212+C215+C217+C219+C221+C223+C227+C229+C231+C233+C235+C239+C241+C243+C245+C252+C254+C257+C259+C261+C266+C268+C271+C273+C275)</f>
        <v>17</v>
      </c>
      <c r="D277" s="3">
        <f t="shared" si="208"/>
        <v>19</v>
      </c>
      <c r="E277" s="3">
        <f t="shared" si="208"/>
        <v>19</v>
      </c>
      <c r="F277" s="3">
        <f t="shared" si="208"/>
        <v>19</v>
      </c>
      <c r="G277" s="3">
        <f t="shared" si="208"/>
        <v>19</v>
      </c>
      <c r="H277" s="3">
        <f t="shared" si="208"/>
        <v>19</v>
      </c>
      <c r="I277" s="3">
        <f t="shared" si="208"/>
        <v>19</v>
      </c>
      <c r="J277" s="3">
        <f t="shared" si="208"/>
        <v>17</v>
      </c>
      <c r="K277" s="3">
        <f t="shared" si="208"/>
        <v>17</v>
      </c>
      <c r="L277" s="3">
        <f t="shared" si="208"/>
        <v>17</v>
      </c>
      <c r="M277" s="3">
        <f t="shared" si="208"/>
        <v>19</v>
      </c>
      <c r="N277" s="3">
        <f t="shared" si="208"/>
        <v>17</v>
      </c>
      <c r="O277" s="3">
        <f t="shared" si="208"/>
        <v>19</v>
      </c>
      <c r="P277" s="3">
        <f t="shared" si="208"/>
        <v>17</v>
      </c>
      <c r="Q277" s="3">
        <f t="shared" si="208"/>
        <v>15</v>
      </c>
      <c r="R277" s="3">
        <f t="shared" si="208"/>
        <v>21</v>
      </c>
      <c r="S277" s="3">
        <f t="shared" si="208"/>
        <v>21</v>
      </c>
      <c r="T277" s="3">
        <f t="shared" si="208"/>
        <v>21</v>
      </c>
      <c r="U277" s="3">
        <f t="shared" si="208"/>
        <v>17</v>
      </c>
    </row>
    <row r="278" spans="1:21">
      <c r="A278" s="1" t="s">
        <v>146</v>
      </c>
      <c r="B278" s="3">
        <f>VALUE(2)</f>
        <v>2</v>
      </c>
      <c r="C278" s="3">
        <f t="shared" ref="C278:U278" si="209">VALUE(2)</f>
        <v>2</v>
      </c>
      <c r="D278" s="3">
        <f t="shared" si="209"/>
        <v>2</v>
      </c>
      <c r="E278" s="3">
        <f t="shared" si="209"/>
        <v>2</v>
      </c>
      <c r="F278" s="3">
        <f t="shared" si="209"/>
        <v>2</v>
      </c>
      <c r="G278" s="3">
        <f t="shared" si="209"/>
        <v>2</v>
      </c>
      <c r="H278" s="3">
        <f t="shared" si="209"/>
        <v>2</v>
      </c>
      <c r="I278" s="3">
        <f t="shared" si="209"/>
        <v>2</v>
      </c>
      <c r="J278" s="3">
        <f t="shared" si="209"/>
        <v>2</v>
      </c>
      <c r="K278" s="3">
        <f t="shared" si="209"/>
        <v>2</v>
      </c>
      <c r="L278" s="3">
        <f t="shared" si="209"/>
        <v>2</v>
      </c>
      <c r="M278" s="3">
        <f t="shared" si="209"/>
        <v>2</v>
      </c>
      <c r="N278" s="3">
        <f t="shared" si="209"/>
        <v>2</v>
      </c>
      <c r="O278" s="3">
        <f t="shared" si="209"/>
        <v>2</v>
      </c>
      <c r="P278" s="3">
        <f t="shared" si="209"/>
        <v>2</v>
      </c>
      <c r="Q278" s="3">
        <f t="shared" si="209"/>
        <v>2</v>
      </c>
      <c r="R278" s="3">
        <f t="shared" si="209"/>
        <v>2</v>
      </c>
      <c r="S278" s="3">
        <f t="shared" si="209"/>
        <v>2</v>
      </c>
      <c r="T278" s="3">
        <f t="shared" si="209"/>
        <v>2</v>
      </c>
      <c r="U278" s="3">
        <f t="shared" si="209"/>
        <v>2</v>
      </c>
    </row>
    <row r="279" spans="1:21">
      <c r="A279" s="1" t="s">
        <v>145</v>
      </c>
      <c r="B279" s="2" t="str">
        <f>ADDRESS(B277,B278,,,"AN")</f>
        <v>AN!$B$17</v>
      </c>
      <c r="C279" s="2" t="str">
        <f t="shared" ref="C279:U279" si="210">ADDRESS(C277,C278,,,"AN")</f>
        <v>AN!$B$17</v>
      </c>
      <c r="D279" s="2" t="str">
        <f t="shared" si="210"/>
        <v>AN!$B$19</v>
      </c>
      <c r="E279" s="2" t="str">
        <f t="shared" si="210"/>
        <v>AN!$B$19</v>
      </c>
      <c r="F279" s="2" t="str">
        <f t="shared" si="210"/>
        <v>AN!$B$19</v>
      </c>
      <c r="G279" s="2" t="str">
        <f t="shared" si="210"/>
        <v>AN!$B$19</v>
      </c>
      <c r="H279" s="2" t="str">
        <f t="shared" si="210"/>
        <v>AN!$B$19</v>
      </c>
      <c r="I279" s="2" t="str">
        <f t="shared" si="210"/>
        <v>AN!$B$19</v>
      </c>
      <c r="J279" s="2" t="str">
        <f t="shared" si="210"/>
        <v>AN!$B$17</v>
      </c>
      <c r="K279" s="2" t="str">
        <f t="shared" si="210"/>
        <v>AN!$B$17</v>
      </c>
      <c r="L279" s="2" t="str">
        <f t="shared" si="210"/>
        <v>AN!$B$17</v>
      </c>
      <c r="M279" s="2" t="str">
        <f t="shared" si="210"/>
        <v>AN!$B$19</v>
      </c>
      <c r="N279" s="2" t="str">
        <f t="shared" si="210"/>
        <v>AN!$B$17</v>
      </c>
      <c r="O279" s="2" t="str">
        <f t="shared" si="210"/>
        <v>AN!$B$19</v>
      </c>
      <c r="P279" s="2" t="str">
        <f t="shared" si="210"/>
        <v>AN!$B$17</v>
      </c>
      <c r="Q279" s="2" t="str">
        <f t="shared" si="210"/>
        <v>AN!$B$15</v>
      </c>
      <c r="R279" s="2" t="str">
        <f t="shared" si="210"/>
        <v>AN!$B$21</v>
      </c>
      <c r="S279" s="2" t="str">
        <f t="shared" si="210"/>
        <v>AN!$B$21</v>
      </c>
      <c r="T279" s="2" t="str">
        <f t="shared" si="210"/>
        <v>AN!$B$21</v>
      </c>
      <c r="U279" s="2" t="str">
        <f t="shared" si="210"/>
        <v>AN!$B$17</v>
      </c>
    </row>
    <row r="280" spans="1:21">
      <c r="B280" s="40" t="str">
        <f ca="1">INDIRECT(B279)</f>
        <v xml:space="preserve">Magnesio-Hbl </v>
      </c>
      <c r="C280" s="40" t="str">
        <f t="shared" ref="C280:U280" ca="1" si="211">INDIRECT(C279)</f>
        <v xml:space="preserve">Magnesio-Hbl </v>
      </c>
      <c r="D280" s="40" t="str">
        <f t="shared" ca="1" si="211"/>
        <v>Tschermakitic Hbl</v>
      </c>
      <c r="E280" s="40" t="str">
        <f t="shared" ca="1" si="211"/>
        <v>Tschermakitic Hbl</v>
      </c>
      <c r="F280" s="40" t="str">
        <f t="shared" ca="1" si="211"/>
        <v>Tschermakitic Hbl</v>
      </c>
      <c r="G280" s="40" t="str">
        <f t="shared" ca="1" si="211"/>
        <v>Tschermakitic Hbl</v>
      </c>
      <c r="H280" s="40" t="str">
        <f t="shared" ca="1" si="211"/>
        <v>Tschermakitic Hbl</v>
      </c>
      <c r="I280" s="40" t="str">
        <f t="shared" ca="1" si="211"/>
        <v>Tschermakitic Hbl</v>
      </c>
      <c r="J280" s="40" t="str">
        <f t="shared" ca="1" si="211"/>
        <v xml:space="preserve">Magnesio-Hbl </v>
      </c>
      <c r="K280" s="40" t="str">
        <f t="shared" ca="1" si="211"/>
        <v xml:space="preserve">Magnesio-Hbl </v>
      </c>
      <c r="L280" s="40" t="str">
        <f t="shared" ca="1" si="211"/>
        <v xml:space="preserve">Magnesio-Hbl </v>
      </c>
      <c r="M280" s="40" t="str">
        <f t="shared" ca="1" si="211"/>
        <v>Tschermakitic Hbl</v>
      </c>
      <c r="N280" s="40" t="str">
        <f t="shared" ca="1" si="211"/>
        <v xml:space="preserve">Magnesio-Hbl </v>
      </c>
      <c r="O280" s="40" t="str">
        <f t="shared" ca="1" si="211"/>
        <v>Tschermakitic Hbl</v>
      </c>
      <c r="P280" s="40" t="str">
        <f t="shared" ca="1" si="211"/>
        <v xml:space="preserve">Magnesio-Hbl </v>
      </c>
      <c r="Q280" s="40" t="str">
        <f t="shared" ca="1" si="211"/>
        <v>Actinolitic Hbl</v>
      </c>
      <c r="R280" s="40" t="str">
        <f t="shared" ca="1" si="211"/>
        <v>Tschermakite</v>
      </c>
      <c r="S280" s="40" t="str">
        <f t="shared" ca="1" si="211"/>
        <v>Tschermakite</v>
      </c>
      <c r="T280" s="40" t="str">
        <f t="shared" ca="1" si="211"/>
        <v>Tschermakite</v>
      </c>
      <c r="U280" s="40" t="str">
        <f t="shared" ca="1" si="211"/>
        <v xml:space="preserve">Magnesio-Hbl 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263"/>
  <sheetViews>
    <sheetView topLeftCell="A63" workbookViewId="0">
      <selection activeCell="BE2" sqref="BE1:BE65536"/>
    </sheetView>
  </sheetViews>
  <sheetFormatPr baseColWidth="10" defaultRowHeight="13"/>
  <cols>
    <col min="1" max="1" width="35.796875" style="1" customWidth="1"/>
    <col min="2" max="2" width="11" style="54" customWidth="1"/>
    <col min="3" max="10" width="11" style="2" customWidth="1"/>
    <col min="11" max="11" width="11" style="54" customWidth="1"/>
    <col min="12" max="16" width="11" style="2" customWidth="1"/>
    <col min="17" max="17" width="11" style="54" customWidth="1"/>
    <col min="18" max="24" width="11" style="2" customWidth="1"/>
    <col min="25" max="25" width="11" style="54" customWidth="1"/>
    <col min="26" max="26" width="11" style="2" customWidth="1"/>
    <col min="27" max="27" width="11" style="54" customWidth="1"/>
    <col min="28" max="46" width="11" style="2" customWidth="1"/>
    <col min="47" max="47" width="11" style="54" customWidth="1"/>
    <col min="48" max="71" width="11" style="2" customWidth="1"/>
    <col min="72" max="74" width="11" style="1" customWidth="1"/>
  </cols>
  <sheetData>
    <row r="1" spans="1:4">
      <c r="A1" s="1" t="s">
        <v>233</v>
      </c>
    </row>
    <row r="3" spans="1:4">
      <c r="B3" s="54" t="s">
        <v>111</v>
      </c>
      <c r="C3" s="2" t="s">
        <v>81</v>
      </c>
      <c r="D3" s="2" t="s">
        <v>112</v>
      </c>
    </row>
    <row r="4" spans="1:4">
      <c r="A4" s="1" t="s">
        <v>264</v>
      </c>
      <c r="B4" s="54">
        <v>60.08</v>
      </c>
      <c r="C4" s="2">
        <v>1</v>
      </c>
      <c r="D4" s="2">
        <v>4</v>
      </c>
    </row>
    <row r="5" spans="1:4">
      <c r="A5" s="1" t="s">
        <v>265</v>
      </c>
      <c r="B5" s="54">
        <v>79.900000000000006</v>
      </c>
      <c r="C5" s="2">
        <v>1</v>
      </c>
      <c r="D5" s="2">
        <v>4</v>
      </c>
    </row>
    <row r="6" spans="1:4">
      <c r="A6" s="1" t="s">
        <v>113</v>
      </c>
      <c r="B6" s="54">
        <v>151.99080000000001</v>
      </c>
      <c r="C6" s="2">
        <v>2</v>
      </c>
      <c r="D6" s="2">
        <v>3</v>
      </c>
    </row>
    <row r="7" spans="1:4">
      <c r="A7" s="1" t="s">
        <v>266</v>
      </c>
      <c r="B7" s="54">
        <v>101.94</v>
      </c>
      <c r="C7" s="2">
        <v>2</v>
      </c>
      <c r="D7" s="2">
        <v>3</v>
      </c>
    </row>
    <row r="8" spans="1:4">
      <c r="A8" s="1" t="s">
        <v>268</v>
      </c>
      <c r="B8" s="54">
        <v>71.849999999999994</v>
      </c>
      <c r="C8" s="2">
        <v>1</v>
      </c>
      <c r="D8" s="2">
        <v>2</v>
      </c>
    </row>
    <row r="9" spans="1:4">
      <c r="A9" s="1" t="s">
        <v>269</v>
      </c>
      <c r="B9" s="54">
        <v>70.936999999999998</v>
      </c>
      <c r="C9" s="2">
        <v>1</v>
      </c>
      <c r="D9" s="2">
        <v>2</v>
      </c>
    </row>
    <row r="10" spans="1:4">
      <c r="A10" s="1" t="s">
        <v>114</v>
      </c>
      <c r="B10" s="54">
        <v>74.709400000000002</v>
      </c>
      <c r="C10" s="2">
        <v>1</v>
      </c>
      <c r="D10" s="2">
        <v>2</v>
      </c>
    </row>
    <row r="11" spans="1:4">
      <c r="A11" s="1" t="s">
        <v>270</v>
      </c>
      <c r="B11" s="54">
        <v>40.31</v>
      </c>
      <c r="C11" s="2">
        <v>1</v>
      </c>
      <c r="D11" s="2">
        <v>2</v>
      </c>
    </row>
    <row r="12" spans="1:4">
      <c r="A12" s="1" t="s">
        <v>271</v>
      </c>
      <c r="B12" s="54">
        <v>56.08</v>
      </c>
      <c r="C12" s="2">
        <v>1</v>
      </c>
      <c r="D12" s="2">
        <v>2</v>
      </c>
    </row>
    <row r="13" spans="1:4">
      <c r="A13" s="1" t="s">
        <v>272</v>
      </c>
      <c r="B13" s="54">
        <v>61.981999999999999</v>
      </c>
      <c r="C13" s="2">
        <v>2</v>
      </c>
      <c r="D13" s="2">
        <v>1</v>
      </c>
    </row>
    <row r="14" spans="1:4">
      <c r="A14" s="1" t="s">
        <v>273</v>
      </c>
      <c r="B14" s="54">
        <v>94.2</v>
      </c>
      <c r="C14" s="2">
        <v>2</v>
      </c>
      <c r="D14" s="2">
        <v>1</v>
      </c>
    </row>
    <row r="15" spans="1:4">
      <c r="A15" s="1" t="s">
        <v>267</v>
      </c>
      <c r="B15" s="54">
        <v>159.691</v>
      </c>
      <c r="C15" s="2">
        <v>2</v>
      </c>
      <c r="D15" s="2">
        <v>3</v>
      </c>
    </row>
    <row r="16" spans="1:4">
      <c r="A16" s="1" t="s">
        <v>85</v>
      </c>
      <c r="B16" s="54">
        <v>18.015339999999998</v>
      </c>
      <c r="C16" s="2">
        <v>2</v>
      </c>
      <c r="D16" s="2">
        <v>0</v>
      </c>
    </row>
    <row r="17" spans="1:71">
      <c r="A17" s="1" t="s">
        <v>86</v>
      </c>
      <c r="B17" s="54">
        <v>18.9984</v>
      </c>
      <c r="C17" s="2">
        <v>1</v>
      </c>
      <c r="D17" s="2">
        <v>0</v>
      </c>
    </row>
    <row r="18" spans="1:71">
      <c r="A18" s="1" t="s">
        <v>87</v>
      </c>
      <c r="B18" s="54">
        <v>35.453000000000003</v>
      </c>
      <c r="C18" s="2">
        <v>1</v>
      </c>
      <c r="D18" s="2">
        <v>0</v>
      </c>
    </row>
    <row r="19" spans="1:71" ht="14" thickBot="1"/>
    <row r="20" spans="1:71">
      <c r="A20" s="12"/>
      <c r="B20" s="55"/>
      <c r="C20" s="13"/>
      <c r="D20" s="13"/>
      <c r="E20" s="13"/>
      <c r="F20" s="13"/>
      <c r="G20" s="13"/>
      <c r="H20" s="13"/>
      <c r="I20" s="13"/>
      <c r="J20" s="13"/>
      <c r="K20" s="55"/>
      <c r="L20" s="13"/>
      <c r="M20" s="13"/>
      <c r="N20" s="13"/>
      <c r="O20" s="13"/>
      <c r="P20" s="13"/>
      <c r="Q20" s="55"/>
      <c r="R20" s="13"/>
      <c r="S20" s="13"/>
      <c r="T20" s="13"/>
      <c r="U20" s="7"/>
      <c r="V20" s="7"/>
      <c r="W20" s="7"/>
      <c r="X20" s="7"/>
      <c r="Z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27"/>
      <c r="BN20" s="16"/>
    </row>
    <row r="21" spans="1:71" s="1" customFormat="1">
      <c r="A21" s="6" t="s">
        <v>82</v>
      </c>
      <c r="B21" s="54" t="str">
        <f>Input!B1</f>
        <v xml:space="preserve">1 / 1 . </v>
      </c>
      <c r="C21" s="7" t="str">
        <f>Input!C1</f>
        <v xml:space="preserve">4 / 1 . </v>
      </c>
      <c r="D21" s="7" t="str">
        <f>Input!D1</f>
        <v xml:space="preserve">5 / 1 . </v>
      </c>
      <c r="E21" s="7" t="str">
        <f>Input!E1</f>
        <v xml:space="preserve">6 / 1 . </v>
      </c>
      <c r="F21" s="7" t="str">
        <f>Input!F1</f>
        <v xml:space="preserve">17 / 1 . </v>
      </c>
      <c r="G21" s="7" t="str">
        <f>Input!G1</f>
        <v xml:space="preserve">18 / 1 . </v>
      </c>
      <c r="H21" s="7" t="str">
        <f>Input!H1</f>
        <v xml:space="preserve">19 / 1 . </v>
      </c>
      <c r="I21" s="7" t="str">
        <f>Input!I1</f>
        <v xml:space="preserve">20 / 1 . </v>
      </c>
      <c r="J21" s="7" t="str">
        <f>Input!J1</f>
        <v xml:space="preserve">26 / 1 . </v>
      </c>
      <c r="K21" s="54" t="str">
        <f>Input!K1</f>
        <v xml:space="preserve">27 / 1 . </v>
      </c>
      <c r="L21" s="7" t="str">
        <f>Input!L1</f>
        <v xml:space="preserve">28 / 1 . </v>
      </c>
      <c r="M21" s="7" t="str">
        <f>Input!M1</f>
        <v xml:space="preserve">33 / 1 . </v>
      </c>
      <c r="N21" s="7" t="str">
        <f>Input!N1</f>
        <v xml:space="preserve">34 / 1 . </v>
      </c>
      <c r="O21" s="7" t="str">
        <f>Input!O1</f>
        <v xml:space="preserve">35 / 1 . </v>
      </c>
      <c r="P21" s="7" t="str">
        <f>Input!P1</f>
        <v xml:space="preserve">43 / 1 . </v>
      </c>
      <c r="Q21" s="54" t="str">
        <f>Input!Q1</f>
        <v xml:space="preserve">44 / 1 . </v>
      </c>
      <c r="R21" s="7" t="str">
        <f>Input!R1</f>
        <v xml:space="preserve">50 / 1 . </v>
      </c>
      <c r="S21" s="7" t="str">
        <f>Input!S1</f>
        <v xml:space="preserve">51 / 1 . </v>
      </c>
      <c r="T21" s="7" t="str">
        <f>Input!T1</f>
        <v xml:space="preserve">52 / 1 . </v>
      </c>
      <c r="U21" s="7" t="str">
        <f>Input!U1</f>
        <v xml:space="preserve">55 / 1 . </v>
      </c>
      <c r="V21" s="7" t="str">
        <f>Input!V1</f>
        <v xml:space="preserve">56 / 1 . </v>
      </c>
      <c r="W21" s="7" t="str">
        <f>Input!W1</f>
        <v xml:space="preserve">58 / 1 . </v>
      </c>
      <c r="X21" s="7" t="str">
        <f>Input!X1</f>
        <v xml:space="preserve">59 / 1 . </v>
      </c>
      <c r="Y21" s="54" t="str">
        <f>Input!Y1</f>
        <v xml:space="preserve">60 / 1 . </v>
      </c>
      <c r="Z21" s="7" t="str">
        <f>Input!Z1</f>
        <v xml:space="preserve">61 / 1 . </v>
      </c>
      <c r="AA21" s="54" t="str">
        <f>Input!AA1</f>
        <v xml:space="preserve">64 / 1 . </v>
      </c>
      <c r="AB21" s="7" t="str">
        <f>Input!AB1</f>
        <v xml:space="preserve">65 / 1 . </v>
      </c>
      <c r="AC21" s="7" t="str">
        <f>Input!AC1</f>
        <v xml:space="preserve">69 / 1 . </v>
      </c>
      <c r="AD21" s="7" t="str">
        <f>Input!AD1</f>
        <v xml:space="preserve">70 / 1 . </v>
      </c>
      <c r="AE21" s="7" t="str">
        <f>Input!AE1</f>
        <v xml:space="preserve">72 / 1 . </v>
      </c>
      <c r="AF21" s="7" t="str">
        <f>Input!AF1</f>
        <v xml:space="preserve">73 / 1 . </v>
      </c>
      <c r="AG21" s="7" t="str">
        <f>Input!AG1</f>
        <v xml:space="preserve">75 / 1 . </v>
      </c>
      <c r="AH21" s="7" t="str">
        <f>Input!AH1</f>
        <v xml:space="preserve">76 / 1 . </v>
      </c>
      <c r="AI21" s="7" t="str">
        <f>Input!AI1</f>
        <v xml:space="preserve">77 / 1 . </v>
      </c>
      <c r="AJ21" s="7" t="str">
        <f>Input!AJ1</f>
        <v xml:space="preserve">78 / 1 . </v>
      </c>
      <c r="AK21" s="7" t="str">
        <f>Input!AK1</f>
        <v xml:space="preserve">79 / 1 . </v>
      </c>
      <c r="AL21" s="7" t="str">
        <f>Input!AL1</f>
        <v xml:space="preserve">82 / 1 . </v>
      </c>
      <c r="AM21" s="7" t="str">
        <f>Input!AM1</f>
        <v xml:space="preserve">83 / 1 . </v>
      </c>
      <c r="AN21" s="7" t="str">
        <f>Input!AN1</f>
        <v xml:space="preserve">84 / 1 . </v>
      </c>
      <c r="AO21" s="7" t="str">
        <f>Input!AO1</f>
        <v xml:space="preserve">85 / 1 . </v>
      </c>
      <c r="AP21" s="7" t="str">
        <f>Input!AP1</f>
        <v xml:space="preserve">86 / 1 . </v>
      </c>
      <c r="AQ21" s="7" t="str">
        <f>Input!AQ1</f>
        <v xml:space="preserve">87 / 1 . </v>
      </c>
      <c r="AR21" s="7" t="str">
        <f>Input!AR1</f>
        <v xml:space="preserve">89 / 1 . </v>
      </c>
      <c r="AS21" s="7" t="str">
        <f>Input!AS1</f>
        <v xml:space="preserve">90 / 1 . </v>
      </c>
      <c r="AT21" s="7" t="str">
        <f>Input!AT1</f>
        <v xml:space="preserve">91 / 1 . </v>
      </c>
      <c r="AU21" s="54" t="str">
        <f>Input!AU1</f>
        <v xml:space="preserve">92 / 1 . </v>
      </c>
      <c r="AV21" s="7" t="str">
        <f>Input!AV1</f>
        <v xml:space="preserve">94 / 1 . </v>
      </c>
      <c r="AW21" s="7" t="str">
        <f>Input!AW1</f>
        <v xml:space="preserve">95 / 1 . </v>
      </c>
      <c r="AX21" s="7" t="str">
        <f>Input!AX1</f>
        <v xml:space="preserve">97 / 1 . </v>
      </c>
      <c r="AY21" s="7" t="str">
        <f>Input!AY1</f>
        <v xml:space="preserve">98 / 1 . </v>
      </c>
      <c r="AZ21" s="7" t="str">
        <f>Input!AZ1</f>
        <v xml:space="preserve">99 / 1 . </v>
      </c>
      <c r="BA21" s="7" t="str">
        <f>Input!BA1</f>
        <v xml:space="preserve">101 / 1 . </v>
      </c>
      <c r="BB21" s="7" t="str">
        <f>Input!BB1</f>
        <v xml:space="preserve">102 / 1 . </v>
      </c>
      <c r="BC21" s="7" t="str">
        <f>Input!BC1</f>
        <v xml:space="preserve">108 / 1 . </v>
      </c>
      <c r="BD21" s="7" t="str">
        <f>Input!BD1</f>
        <v xml:space="preserve">109 / 1 . </v>
      </c>
      <c r="BE21" s="7" t="str">
        <f>Input!BE1</f>
        <v xml:space="preserve">110 / 1 . </v>
      </c>
      <c r="BF21" s="7" t="str">
        <f>Input!BF1</f>
        <v xml:space="preserve">111 / 1 . </v>
      </c>
      <c r="BG21" s="7" t="str">
        <f>Input!BG1</f>
        <v xml:space="preserve">114 / 1 . </v>
      </c>
      <c r="BH21" s="7" t="str">
        <f>Input!BH1</f>
        <v xml:space="preserve">115 / 1 . </v>
      </c>
      <c r="BI21" s="7" t="str">
        <f>Input!BI1</f>
        <v xml:space="preserve">117 / 1 . </v>
      </c>
      <c r="BJ21" s="7" t="str">
        <f>Input!BJ1</f>
        <v xml:space="preserve">118 / 1 . </v>
      </c>
      <c r="BK21" s="7">
        <f>Input!BK1</f>
        <v>0</v>
      </c>
      <c r="BL21" s="7">
        <f>Input!BL1</f>
        <v>0</v>
      </c>
      <c r="BM21" s="18" t="s">
        <v>79</v>
      </c>
      <c r="BN21" s="17" t="s">
        <v>80</v>
      </c>
      <c r="BO21" s="2"/>
      <c r="BP21" s="2"/>
      <c r="BQ21" s="2"/>
      <c r="BR21" s="2"/>
      <c r="BS21" s="2"/>
    </row>
    <row r="22" spans="1:71" s="1" customFormat="1">
      <c r="A22" s="6"/>
      <c r="B22" s="54" t="str">
        <f>Input!B2</f>
        <v>YG182_test amph</v>
      </c>
      <c r="C22" s="7" t="str">
        <f>Input!C2</f>
        <v>YG182_1_AmphC</v>
      </c>
      <c r="D22" s="7" t="str">
        <f>Input!D2</f>
        <v>YG182_1_AmphB</v>
      </c>
      <c r="E22" s="7" t="str">
        <f>Input!E2</f>
        <v>YG182_1_AmphB</v>
      </c>
      <c r="F22" s="7" t="str">
        <f>Input!F2</f>
        <v>YG182_2_AmphC</v>
      </c>
      <c r="G22" s="7" t="str">
        <f>Input!G2</f>
        <v>YG182_2_AmphB</v>
      </c>
      <c r="H22" s="7" t="str">
        <f>Input!H2</f>
        <v>YG182_2_AmphC</v>
      </c>
      <c r="I22" s="7" t="str">
        <f>Input!I2</f>
        <v>YG182_2_AmphB</v>
      </c>
      <c r="J22" s="7" t="str">
        <f>Input!J2</f>
        <v>YG182_3_AmphC</v>
      </c>
      <c r="K22" s="54" t="str">
        <f>Input!K2</f>
        <v>YG182_3_AmphB</v>
      </c>
      <c r="L22" s="7" t="str">
        <f>Input!L2</f>
        <v>YG182_3_AmphB</v>
      </c>
      <c r="M22" s="7" t="str">
        <f>Input!M2</f>
        <v>YG182_4_AmpC</v>
      </c>
      <c r="N22" s="7" t="str">
        <f>Input!N2</f>
        <v>YG182_4_AmpC</v>
      </c>
      <c r="O22" s="7" t="str">
        <f>Input!O2</f>
        <v>YG182_4_AmpB</v>
      </c>
      <c r="P22" s="7" t="str">
        <f>Input!P2</f>
        <v>19NC11C_1_AmphC</v>
      </c>
      <c r="Q22" s="54" t="str">
        <f>Input!Q2</f>
        <v>19NC11C_1_AmphB</v>
      </c>
      <c r="R22" s="7" t="str">
        <f>Input!R2</f>
        <v>19NC11C_2_AmphC</v>
      </c>
      <c r="S22" s="7" t="str">
        <f>Input!S2</f>
        <v>19NC11C_2_AmphB</v>
      </c>
      <c r="T22" s="7" t="str">
        <f>Input!T2</f>
        <v>19NC11C_2_AmphB</v>
      </c>
      <c r="U22" s="7" t="str">
        <f>Input!U2</f>
        <v>19NC11C_2_AmpB</v>
      </c>
      <c r="V22" s="7" t="str">
        <f>Input!V2</f>
        <v>19NC11C_2_AmpC</v>
      </c>
      <c r="W22" s="7" t="str">
        <f>Input!W2</f>
        <v>19NC11C_3_AmphC</v>
      </c>
      <c r="X22" s="7" t="str">
        <f>Input!X2</f>
        <v>19NC11C_3_AmphB</v>
      </c>
      <c r="Y22" s="54" t="str">
        <f>Input!Y2</f>
        <v>19NC11C_4_AmphC</v>
      </c>
      <c r="Z22" s="7" t="str">
        <f>Input!Z2</f>
        <v>19NC11C_4_AmphB</v>
      </c>
      <c r="AA22" s="54" t="str">
        <f>Input!AA2</f>
        <v>SL59_1_AmphC</v>
      </c>
      <c r="AB22" s="7" t="str">
        <f>Input!AB2</f>
        <v>SL59_1_AmphB</v>
      </c>
      <c r="AC22" s="7" t="str">
        <f>Input!AC2</f>
        <v>SL59_2_AmphC</v>
      </c>
      <c r="AD22" s="7" t="str">
        <f>Input!AD2</f>
        <v>SL59_2_AmphB</v>
      </c>
      <c r="AE22" s="7" t="str">
        <f>Input!AE2</f>
        <v>SL59_3_AmphC</v>
      </c>
      <c r="AF22" s="7" t="str">
        <f>Input!AF2</f>
        <v>SL59_3_AmphB</v>
      </c>
      <c r="AG22" s="7" t="str">
        <f>Input!AG2</f>
        <v>SL59_4_AmphC</v>
      </c>
      <c r="AH22" s="7" t="str">
        <f>Input!AH2</f>
        <v>SL59_4_AmphB</v>
      </c>
      <c r="AI22" s="7" t="str">
        <f>Input!AI2</f>
        <v>SL59_4_AmphC</v>
      </c>
      <c r="AJ22" s="7" t="str">
        <f>Input!AJ2</f>
        <v>SL59_4_AmphB</v>
      </c>
      <c r="AK22" s="7" t="str">
        <f>Input!AK2</f>
        <v>19NC6D_4_AmphC</v>
      </c>
      <c r="AL22" s="7" t="str">
        <f>Input!AL2</f>
        <v>19NC6D_4_AmphC</v>
      </c>
      <c r="AM22" s="7" t="str">
        <f>Input!AM2</f>
        <v>19NC6D_3_AmphC</v>
      </c>
      <c r="AN22" s="7" t="str">
        <f>Input!AN2</f>
        <v>19NC6D_3_AmphB</v>
      </c>
      <c r="AO22" s="7" t="str">
        <f>Input!AO2</f>
        <v>19NC6D_3_AmphC</v>
      </c>
      <c r="AP22" s="7" t="str">
        <f>Input!AP2</f>
        <v>YG41_1_AmphC</v>
      </c>
      <c r="AQ22" s="7" t="str">
        <f>Input!AQ2</f>
        <v>YG41_1_AmphB</v>
      </c>
      <c r="AR22" s="7" t="str">
        <f>Input!AR2</f>
        <v>YG41_1_AmphC</v>
      </c>
      <c r="AS22" s="7" t="str">
        <f>Input!AS2</f>
        <v>YG41_1_AmphB</v>
      </c>
      <c r="AT22" s="7" t="str">
        <f>Input!AT2</f>
        <v>YG41_1_AmphC</v>
      </c>
      <c r="AU22" s="54" t="str">
        <f>Input!AU2</f>
        <v>YG41_1_AmphB</v>
      </c>
      <c r="AV22" s="7" t="str">
        <f>Input!AV2</f>
        <v>YG41_2_AmphC</v>
      </c>
      <c r="AW22" s="7" t="str">
        <f>Input!AW2</f>
        <v>YG41_3_AmphB</v>
      </c>
      <c r="AX22" s="7" t="str">
        <f>Input!AX2</f>
        <v>YG41_4_AmphC</v>
      </c>
      <c r="AY22" s="7" t="str">
        <f>Input!AY2</f>
        <v>YG41_4_AmphC</v>
      </c>
      <c r="AZ22" s="7" t="str">
        <f>Input!AZ2</f>
        <v>YG41_4_AmphB</v>
      </c>
      <c r="BA22" s="7" t="str">
        <f>Input!BA2</f>
        <v>19NC04_X_AmphC</v>
      </c>
      <c r="BB22" s="7" t="str">
        <f>Input!BB2</f>
        <v>19NC04_X_AmphB</v>
      </c>
      <c r="BC22" s="7" t="str">
        <f>Input!BC2</f>
        <v>19NC04_X_Amph</v>
      </c>
      <c r="BD22" s="7" t="str">
        <f>Input!BD2</f>
        <v>19NC04_X_Amph</v>
      </c>
      <c r="BE22" s="7" t="str">
        <f>Input!BE2</f>
        <v>19NC04_X_Amph</v>
      </c>
      <c r="BF22" s="7" t="str">
        <f>Input!BF2</f>
        <v>19NC08B_1_Amph</v>
      </c>
      <c r="BG22" s="7" t="str">
        <f>Input!BG2</f>
        <v>19NC08B_X_AmphC</v>
      </c>
      <c r="BH22" s="7" t="str">
        <f>Input!BH2</f>
        <v>19NC08B_X_AmphB</v>
      </c>
      <c r="BI22" s="7" t="str">
        <f>Input!BI2</f>
        <v>19NC08B_X_Amph</v>
      </c>
      <c r="BJ22" s="7" t="str">
        <f>Input!BJ2</f>
        <v>19NC08B_X_AmphB</v>
      </c>
      <c r="BK22" s="7">
        <f>Input!BK2</f>
        <v>0</v>
      </c>
      <c r="BL22" s="7">
        <f>Input!BL2</f>
        <v>0</v>
      </c>
      <c r="BM22" s="18"/>
      <c r="BN22" s="17"/>
      <c r="BO22" s="2"/>
      <c r="BP22" s="2"/>
      <c r="BQ22" s="2"/>
      <c r="BR22" s="2"/>
      <c r="BS22" s="2"/>
    </row>
    <row r="23" spans="1:71" s="1" customFormat="1">
      <c r="A23" s="6" t="s">
        <v>264</v>
      </c>
      <c r="B23" s="54">
        <f>Input!B3</f>
        <v>46.44</v>
      </c>
      <c r="C23" s="7">
        <f>Input!C3</f>
        <v>45.22</v>
      </c>
      <c r="D23" s="7">
        <f>Input!D3</f>
        <v>44.98</v>
      </c>
      <c r="E23" s="7">
        <f>Input!E3</f>
        <v>44.03</v>
      </c>
      <c r="F23" s="7">
        <f>Input!F3</f>
        <v>44.95</v>
      </c>
      <c r="G23" s="7">
        <f>Input!G3</f>
        <v>44.23</v>
      </c>
      <c r="H23" s="7">
        <f>Input!H3</f>
        <v>44.96</v>
      </c>
      <c r="I23" s="7">
        <f>Input!I3</f>
        <v>45.33</v>
      </c>
      <c r="J23" s="7">
        <f>Input!J3</f>
        <v>45.95</v>
      </c>
      <c r="K23" s="54">
        <f>Input!K3</f>
        <v>44.19</v>
      </c>
      <c r="L23" s="7">
        <f>Input!L3</f>
        <v>45.63</v>
      </c>
      <c r="M23" s="7">
        <f>Input!M3</f>
        <v>44.73</v>
      </c>
      <c r="N23" s="7">
        <f>Input!N3</f>
        <v>45.72</v>
      </c>
      <c r="O23" s="7">
        <f>Input!O3</f>
        <v>44.31</v>
      </c>
      <c r="P23" s="7">
        <f>Input!P3</f>
        <v>44.7</v>
      </c>
      <c r="Q23" s="54">
        <f>Input!Q3</f>
        <v>51.09</v>
      </c>
      <c r="R23" s="7">
        <f>Input!R3</f>
        <v>42.91</v>
      </c>
      <c r="S23" s="7">
        <f>Input!S3</f>
        <v>42.89</v>
      </c>
      <c r="T23" s="7">
        <f>Input!T3</f>
        <v>42.61</v>
      </c>
      <c r="U23" s="7">
        <f>Input!U3</f>
        <v>42.07</v>
      </c>
      <c r="V23" s="7">
        <f>Input!V3</f>
        <v>42.23</v>
      </c>
      <c r="W23" s="7">
        <f>Input!W3</f>
        <v>45.55</v>
      </c>
      <c r="X23" s="7">
        <f>Input!X3</f>
        <v>44.27</v>
      </c>
      <c r="Y23" s="54">
        <f>Input!Y3</f>
        <v>41.03</v>
      </c>
      <c r="Z23" s="7">
        <f>Input!Z3</f>
        <v>44.42</v>
      </c>
      <c r="AA23" s="54">
        <f>Input!AA3</f>
        <v>46.99</v>
      </c>
      <c r="AB23" s="7">
        <f>Input!AB3</f>
        <v>44.27</v>
      </c>
      <c r="AC23" s="7">
        <f>Input!AC3</f>
        <v>43.54</v>
      </c>
      <c r="AD23" s="7">
        <f>Input!AD3</f>
        <v>42.81</v>
      </c>
      <c r="AE23" s="7">
        <f>Input!AE3</f>
        <v>42.5</v>
      </c>
      <c r="AF23" s="7">
        <f>Input!AF3</f>
        <v>43.06</v>
      </c>
      <c r="AG23" s="7">
        <f>Input!AG3</f>
        <v>42.37</v>
      </c>
      <c r="AH23" s="7">
        <f>Input!AH3</f>
        <v>43.38</v>
      </c>
      <c r="AI23" s="7">
        <f>Input!AI3</f>
        <v>42.26</v>
      </c>
      <c r="AJ23" s="7">
        <f>Input!AJ3</f>
        <v>43.27</v>
      </c>
      <c r="AK23" s="7">
        <f>Input!AK3</f>
        <v>43.92</v>
      </c>
      <c r="AL23" s="7">
        <f>Input!AL3</f>
        <v>43.51</v>
      </c>
      <c r="AM23" s="7">
        <f>Input!AM3</f>
        <v>44.27</v>
      </c>
      <c r="AN23" s="7">
        <f>Input!AN3</f>
        <v>44.19</v>
      </c>
      <c r="AO23" s="7">
        <f>Input!AO3</f>
        <v>44.27</v>
      </c>
      <c r="AP23" s="7">
        <f>Input!AP3</f>
        <v>44.29</v>
      </c>
      <c r="AQ23" s="7">
        <f>Input!AQ3</f>
        <v>44.56</v>
      </c>
      <c r="AR23" s="7">
        <f>Input!AR3</f>
        <v>44.18</v>
      </c>
      <c r="AS23" s="7">
        <f>Input!AS3</f>
        <v>44.01</v>
      </c>
      <c r="AT23" s="7">
        <f>Input!AT3</f>
        <v>43.91</v>
      </c>
      <c r="AU23" s="54">
        <f>Input!AU3</f>
        <v>45.76</v>
      </c>
      <c r="AV23" s="7">
        <f>Input!AV3</f>
        <v>43.95</v>
      </c>
      <c r="AW23" s="7">
        <f>Input!AW3</f>
        <v>42.92</v>
      </c>
      <c r="AX23" s="7">
        <f>Input!AX3</f>
        <v>43.27</v>
      </c>
      <c r="AY23" s="7">
        <f>Input!AY3</f>
        <v>43.81</v>
      </c>
      <c r="AZ23" s="7">
        <f>Input!AZ3</f>
        <v>44.32</v>
      </c>
      <c r="BA23" s="7">
        <f>Input!BA3</f>
        <v>43.24</v>
      </c>
      <c r="BB23" s="7">
        <f>Input!BB3</f>
        <v>43.13</v>
      </c>
      <c r="BC23" s="7">
        <f>Input!BC3</f>
        <v>42.3</v>
      </c>
      <c r="BD23" s="7">
        <f>Input!BD3</f>
        <v>42.86</v>
      </c>
      <c r="BE23" s="7">
        <f>Input!BE3</f>
        <v>42.82</v>
      </c>
      <c r="BF23" s="7">
        <f>Input!BF3</f>
        <v>41.75</v>
      </c>
      <c r="BG23" s="7">
        <f>Input!BG3</f>
        <v>41.26</v>
      </c>
      <c r="BH23" s="7">
        <f>Input!BH3</f>
        <v>42.62</v>
      </c>
      <c r="BI23" s="7">
        <f>Input!BI3</f>
        <v>41.5</v>
      </c>
      <c r="BJ23" s="7">
        <f>Input!BJ3</f>
        <v>41.82</v>
      </c>
      <c r="BK23" s="7">
        <f>Input!BK3</f>
        <v>0</v>
      </c>
      <c r="BL23" s="7">
        <f>Input!BL3</f>
        <v>0</v>
      </c>
      <c r="BM23" s="18">
        <f t="shared" ref="BM23:BM36" si="0">AVERAGE(B23:I23)</f>
        <v>45.017499999999998</v>
      </c>
      <c r="BN23" s="17">
        <f t="shared" ref="BN23:BN36" si="1">STDEV(B23:I23)</f>
        <v>0.7335578660590738</v>
      </c>
      <c r="BO23" s="2"/>
      <c r="BP23" s="2"/>
      <c r="BQ23" s="2"/>
      <c r="BR23" s="2"/>
      <c r="BS23" s="2"/>
    </row>
    <row r="24" spans="1:71" s="1" customFormat="1">
      <c r="A24" s="6" t="s">
        <v>265</v>
      </c>
      <c r="B24" s="54">
        <f>Input!B4</f>
        <v>0.44</v>
      </c>
      <c r="C24" s="7">
        <f>Input!C4</f>
        <v>0.55000000000000004</v>
      </c>
      <c r="D24" s="7">
        <f>Input!D4</f>
        <v>0.56999999999999995</v>
      </c>
      <c r="E24" s="7">
        <f>Input!E4</f>
        <v>0.39</v>
      </c>
      <c r="F24" s="7">
        <f>Input!F4</f>
        <v>0.62</v>
      </c>
      <c r="G24" s="7">
        <f>Input!G4</f>
        <v>0.57999999999999996</v>
      </c>
      <c r="H24" s="7">
        <f>Input!H4</f>
        <v>0.6</v>
      </c>
      <c r="I24" s="7">
        <f>Input!I4</f>
        <v>0.61</v>
      </c>
      <c r="J24" s="7">
        <f>Input!J4</f>
        <v>0.49</v>
      </c>
      <c r="K24" s="54">
        <f>Input!K4</f>
        <v>0.44</v>
      </c>
      <c r="L24" s="7">
        <f>Input!L4</f>
        <v>0.6</v>
      </c>
      <c r="M24" s="7">
        <f>Input!M4</f>
        <v>0.63</v>
      </c>
      <c r="N24" s="7">
        <f>Input!N4</f>
        <v>0.63</v>
      </c>
      <c r="O24" s="7">
        <f>Input!O4</f>
        <v>0.79</v>
      </c>
      <c r="P24" s="7">
        <f>Input!P4</f>
        <v>1.37</v>
      </c>
      <c r="Q24" s="54">
        <f>Input!Q4</f>
        <v>0.08</v>
      </c>
      <c r="R24" s="7">
        <f>Input!R4</f>
        <v>1.63</v>
      </c>
      <c r="S24" s="7">
        <f>Input!S4</f>
        <v>1.59</v>
      </c>
      <c r="T24" s="7">
        <f>Input!T4</f>
        <v>1.59</v>
      </c>
      <c r="U24" s="7">
        <f>Input!U4</f>
        <v>1.55</v>
      </c>
      <c r="V24" s="7">
        <f>Input!V4</f>
        <v>1.49</v>
      </c>
      <c r="W24" s="7">
        <f>Input!W4</f>
        <v>0.85</v>
      </c>
      <c r="X24" s="7">
        <f>Input!X4</f>
        <v>0.86</v>
      </c>
      <c r="Y24" s="54">
        <f>Input!Y4</f>
        <v>1.24</v>
      </c>
      <c r="Z24" s="7">
        <f>Input!Z4</f>
        <v>0.63</v>
      </c>
      <c r="AA24" s="54">
        <f>Input!AA4</f>
        <v>0.92</v>
      </c>
      <c r="AB24" s="7">
        <f>Input!AB4</f>
        <v>2.2400000000000002</v>
      </c>
      <c r="AC24" s="7">
        <f>Input!AC4</f>
        <v>2.48</v>
      </c>
      <c r="AD24" s="7">
        <f>Input!AD4</f>
        <v>2.52</v>
      </c>
      <c r="AE24" s="7">
        <f>Input!AE4</f>
        <v>2.5299999999999998</v>
      </c>
      <c r="AF24" s="7">
        <f>Input!AF4</f>
        <v>2.5</v>
      </c>
      <c r="AG24" s="7">
        <f>Input!AG4</f>
        <v>2.63</v>
      </c>
      <c r="AH24" s="7">
        <f>Input!AH4</f>
        <v>2.34</v>
      </c>
      <c r="AI24" s="7">
        <f>Input!AI4</f>
        <v>2.63</v>
      </c>
      <c r="AJ24" s="7">
        <f>Input!AJ4</f>
        <v>2.36</v>
      </c>
      <c r="AK24" s="7">
        <f>Input!AK4</f>
        <v>0.77</v>
      </c>
      <c r="AL24" s="7">
        <f>Input!AL4</f>
        <v>0.9</v>
      </c>
      <c r="AM24" s="7">
        <f>Input!AM4</f>
        <v>0.78</v>
      </c>
      <c r="AN24" s="7">
        <f>Input!AN4</f>
        <v>0.72</v>
      </c>
      <c r="AO24" s="7">
        <f>Input!AO4</f>
        <v>0.78</v>
      </c>
      <c r="AP24" s="7">
        <f>Input!AP4</f>
        <v>0.87</v>
      </c>
      <c r="AQ24" s="7">
        <f>Input!AQ4</f>
        <v>0.95</v>
      </c>
      <c r="AR24" s="7">
        <f>Input!AR4</f>
        <v>0.88</v>
      </c>
      <c r="AS24" s="7">
        <f>Input!AS4</f>
        <v>0.97</v>
      </c>
      <c r="AT24" s="7">
        <f>Input!AT4</f>
        <v>0.93</v>
      </c>
      <c r="AU24" s="54">
        <f>Input!AU4</f>
        <v>0.6</v>
      </c>
      <c r="AV24" s="7">
        <f>Input!AV4</f>
        <v>1.05</v>
      </c>
      <c r="AW24" s="7">
        <f>Input!AW4</f>
        <v>0.8</v>
      </c>
      <c r="AX24" s="7">
        <f>Input!AX4</f>
        <v>0.76</v>
      </c>
      <c r="AY24" s="7">
        <f>Input!AY4</f>
        <v>1.04</v>
      </c>
      <c r="AZ24" s="7">
        <f>Input!AZ4</f>
        <v>0.92</v>
      </c>
      <c r="BA24" s="7">
        <f>Input!BA4</f>
        <v>1.49</v>
      </c>
      <c r="BB24" s="7">
        <f>Input!BB4</f>
        <v>1.51</v>
      </c>
      <c r="BC24" s="7">
        <f>Input!BC4</f>
        <v>1.44</v>
      </c>
      <c r="BD24" s="7">
        <f>Input!BD4</f>
        <v>1.38</v>
      </c>
      <c r="BE24" s="7">
        <f>Input!BE4</f>
        <v>1.56</v>
      </c>
      <c r="BF24" s="7">
        <f>Input!BF4</f>
        <v>1.82</v>
      </c>
      <c r="BG24" s="7">
        <f>Input!BG4</f>
        <v>1.87</v>
      </c>
      <c r="BH24" s="7">
        <f>Input!BH4</f>
        <v>1.57</v>
      </c>
      <c r="BI24" s="7">
        <f>Input!BI4</f>
        <v>1.98</v>
      </c>
      <c r="BJ24" s="7">
        <f>Input!BJ4</f>
        <v>1.94</v>
      </c>
      <c r="BK24" s="7">
        <f>Input!BK4</f>
        <v>0</v>
      </c>
      <c r="BL24" s="7">
        <f>Input!BL4</f>
        <v>0</v>
      </c>
      <c r="BM24" s="18">
        <f t="shared" si="0"/>
        <v>0.54500000000000004</v>
      </c>
      <c r="BN24" s="17">
        <f t="shared" si="1"/>
        <v>8.4346225252145648E-2</v>
      </c>
      <c r="BO24" s="2"/>
      <c r="BP24" s="2"/>
      <c r="BQ24" s="2"/>
      <c r="BR24" s="2"/>
      <c r="BS24" s="2"/>
    </row>
    <row r="25" spans="1:71" s="1" customFormat="1">
      <c r="A25" s="6" t="s">
        <v>113</v>
      </c>
      <c r="B25" s="54">
        <f>Input!B5</f>
        <v>0.05</v>
      </c>
      <c r="C25" s="7">
        <f>Input!C5</f>
        <v>0.04</v>
      </c>
      <c r="D25" s="7">
        <f>Input!D5</f>
        <v>0.03</v>
      </c>
      <c r="E25" s="7">
        <f>Input!E5</f>
        <v>0.05</v>
      </c>
      <c r="F25" s="7">
        <f>Input!F5</f>
        <v>0.03</v>
      </c>
      <c r="G25" s="7">
        <f>Input!G5</f>
        <v>0.02</v>
      </c>
      <c r="H25" s="7">
        <f>Input!H5</f>
        <v>7.0000000000000007E-2</v>
      </c>
      <c r="I25" s="7">
        <f>Input!I5</f>
        <v>0.05</v>
      </c>
      <c r="J25" s="7">
        <f>Input!J5</f>
        <v>0.06</v>
      </c>
      <c r="K25" s="54">
        <f>Input!K5</f>
        <v>0.01</v>
      </c>
      <c r="L25" s="7">
        <f>Input!L5</f>
        <v>0.05</v>
      </c>
      <c r="M25" s="7">
        <f>Input!M5</f>
        <v>0.04</v>
      </c>
      <c r="N25" s="7">
        <f>Input!N5</f>
        <v>0.06</v>
      </c>
      <c r="O25" s="7">
        <f>Input!O5</f>
        <v>0.04</v>
      </c>
      <c r="P25" s="7">
        <f>Input!P5</f>
        <v>0.09</v>
      </c>
      <c r="Q25" s="54">
        <f>Input!Q5</f>
        <v>0.02</v>
      </c>
      <c r="R25" s="7">
        <f>Input!R5</f>
        <v>0.11</v>
      </c>
      <c r="S25" s="7">
        <f>Input!S5</f>
        <v>0.11</v>
      </c>
      <c r="T25" s="7">
        <f>Input!T5</f>
        <v>0.1</v>
      </c>
      <c r="U25" s="7">
        <f>Input!U5</f>
        <v>0.11</v>
      </c>
      <c r="V25" s="7">
        <f>Input!V5</f>
        <v>0.1</v>
      </c>
      <c r="W25" s="7">
        <f>Input!W5</f>
        <v>7.0000000000000007E-2</v>
      </c>
      <c r="X25" s="7">
        <f>Input!X5</f>
        <v>7.0000000000000007E-2</v>
      </c>
      <c r="Y25" s="54">
        <f>Input!Y5</f>
        <v>0.17</v>
      </c>
      <c r="Z25" s="7">
        <f>Input!Z5</f>
        <v>0.09</v>
      </c>
      <c r="AA25" s="54">
        <f>Input!AA5</f>
        <v>0.09</v>
      </c>
      <c r="AB25" s="7">
        <f>Input!AB5</f>
        <v>0.11</v>
      </c>
      <c r="AC25" s="7">
        <f>Input!AC5</f>
        <v>0.25</v>
      </c>
      <c r="AD25" s="7">
        <f>Input!AD5</f>
        <v>0.23</v>
      </c>
      <c r="AE25" s="7">
        <f>Input!AE5</f>
        <v>0.11</v>
      </c>
      <c r="AF25" s="7">
        <f>Input!AF5</f>
        <v>0.15</v>
      </c>
      <c r="AG25" s="7">
        <f>Input!AG5</f>
        <v>0.06</v>
      </c>
      <c r="AH25" s="7">
        <f>Input!AH5</f>
        <v>0.02</v>
      </c>
      <c r="AI25" s="7">
        <f>Input!AI5</f>
        <v>0.05</v>
      </c>
      <c r="AJ25" s="7">
        <f>Input!AJ5</f>
        <v>0.04</v>
      </c>
      <c r="AK25" s="7">
        <f>Input!AK5</f>
        <v>0.02</v>
      </c>
      <c r="AL25" s="7">
        <f>Input!AL5</f>
        <v>0.02</v>
      </c>
      <c r="AM25" s="7">
        <f>Input!AM5</f>
        <v>0.06</v>
      </c>
      <c r="AN25" s="7">
        <f>Input!AN5</f>
        <v>7.0000000000000007E-2</v>
      </c>
      <c r="AO25" s="7">
        <f>Input!AO5</f>
        <v>7.0000000000000007E-2</v>
      </c>
      <c r="AP25" s="7">
        <f>Input!AP5</f>
        <v>0.05</v>
      </c>
      <c r="AQ25" s="7">
        <f>Input!AQ5</f>
        <v>0.05</v>
      </c>
      <c r="AR25" s="7">
        <f>Input!AR5</f>
        <v>0.03</v>
      </c>
      <c r="AS25" s="7">
        <f>Input!AS5</f>
        <v>0.03</v>
      </c>
      <c r="AT25" s="7">
        <f>Input!AT5</f>
        <v>0.02</v>
      </c>
      <c r="AU25" s="54">
        <f>Input!AU5</f>
        <v>0.03</v>
      </c>
      <c r="AV25" s="7">
        <f>Input!AV5</f>
        <v>0.02</v>
      </c>
      <c r="AW25" s="7">
        <f>Input!AW5</f>
        <v>0</v>
      </c>
      <c r="AX25" s="7">
        <f>Input!AX5</f>
        <v>0.03</v>
      </c>
      <c r="AY25" s="7">
        <f>Input!AY5</f>
        <v>0.05</v>
      </c>
      <c r="AZ25" s="7">
        <f>Input!AZ5</f>
        <v>0.02</v>
      </c>
      <c r="BA25" s="7">
        <f>Input!BA5</f>
        <v>0.02</v>
      </c>
      <c r="BB25" s="7">
        <f>Input!BB5</f>
        <v>0.02</v>
      </c>
      <c r="BC25" s="7">
        <f>Input!BC5</f>
        <v>0.03</v>
      </c>
      <c r="BD25" s="7">
        <f>Input!BD5</f>
        <v>0.02</v>
      </c>
      <c r="BE25" s="7">
        <f>Input!BE5</f>
        <v>0.01</v>
      </c>
      <c r="BF25" s="7">
        <f>Input!BF5</f>
        <v>0.03</v>
      </c>
      <c r="BG25" s="7">
        <f>Input!BG5</f>
        <v>0</v>
      </c>
      <c r="BH25" s="7">
        <f>Input!BH5</f>
        <v>0.03</v>
      </c>
      <c r="BI25" s="7">
        <f>Input!BI5</f>
        <v>0.02</v>
      </c>
      <c r="BJ25" s="7">
        <f>Input!BJ5</f>
        <v>0.01</v>
      </c>
      <c r="BK25" s="7">
        <f>Input!BK5</f>
        <v>0</v>
      </c>
      <c r="BL25" s="7">
        <f>Input!BL5</f>
        <v>0</v>
      </c>
      <c r="BM25" s="18">
        <f t="shared" si="0"/>
        <v>4.2499999999999996E-2</v>
      </c>
      <c r="BN25" s="17">
        <f t="shared" si="1"/>
        <v>1.5811388300841903E-2</v>
      </c>
      <c r="BO25" s="2"/>
      <c r="BP25" s="2"/>
      <c r="BQ25" s="2"/>
      <c r="BR25" s="2"/>
      <c r="BS25" s="2"/>
    </row>
    <row r="26" spans="1:71" s="1" customFormat="1">
      <c r="A26" s="6" t="s">
        <v>266</v>
      </c>
      <c r="B26" s="54">
        <f>Input!B6</f>
        <v>9.56</v>
      </c>
      <c r="C26" s="7">
        <f>Input!C6</f>
        <v>11.21</v>
      </c>
      <c r="D26" s="7">
        <f>Input!D6</f>
        <v>11.78</v>
      </c>
      <c r="E26" s="7">
        <f>Input!E6</f>
        <v>11.73</v>
      </c>
      <c r="F26" s="7">
        <f>Input!F6</f>
        <v>11.48</v>
      </c>
      <c r="G26" s="7">
        <f>Input!G6</f>
        <v>11.91</v>
      </c>
      <c r="H26" s="7">
        <f>Input!H6</f>
        <v>11.54</v>
      </c>
      <c r="I26" s="7">
        <f>Input!I6</f>
        <v>11.44</v>
      </c>
      <c r="J26" s="7">
        <f>Input!J6</f>
        <v>10.87</v>
      </c>
      <c r="K26" s="54">
        <f>Input!K6</f>
        <v>9.27</v>
      </c>
      <c r="L26" s="7">
        <f>Input!L6</f>
        <v>11.37</v>
      </c>
      <c r="M26" s="7">
        <f>Input!M6</f>
        <v>11.74</v>
      </c>
      <c r="N26" s="7">
        <f>Input!N6</f>
        <v>11.6</v>
      </c>
      <c r="O26" s="7">
        <f>Input!O6</f>
        <v>12.23</v>
      </c>
      <c r="P26" s="7">
        <f>Input!P6</f>
        <v>9.49</v>
      </c>
      <c r="Q26" s="54">
        <f>Input!Q6</f>
        <v>4.8099999999999996</v>
      </c>
      <c r="R26" s="7">
        <f>Input!R6</f>
        <v>11.31</v>
      </c>
      <c r="S26" s="7">
        <f>Input!S6</f>
        <v>11.45</v>
      </c>
      <c r="T26" s="7">
        <f>Input!T6</f>
        <v>11.29</v>
      </c>
      <c r="U26" s="7">
        <f>Input!U6</f>
        <v>11.81</v>
      </c>
      <c r="V26" s="7">
        <f>Input!V6</f>
        <v>11.96</v>
      </c>
      <c r="W26" s="7">
        <f>Input!W6</f>
        <v>8.35</v>
      </c>
      <c r="X26" s="7">
        <f>Input!X6</f>
        <v>10.17</v>
      </c>
      <c r="Y26" s="54">
        <f>Input!Y6</f>
        <v>15.09</v>
      </c>
      <c r="Z26" s="7">
        <f>Input!Z6</f>
        <v>11.22</v>
      </c>
      <c r="AA26" s="54">
        <f>Input!AA6</f>
        <v>9.44</v>
      </c>
      <c r="AB26" s="7">
        <f>Input!AB6</f>
        <v>11.11</v>
      </c>
      <c r="AC26" s="7">
        <f>Input!AC6</f>
        <v>12.36</v>
      </c>
      <c r="AD26" s="7">
        <f>Input!AD6</f>
        <v>12.32</v>
      </c>
      <c r="AE26" s="7">
        <f>Input!AE6</f>
        <v>12.53</v>
      </c>
      <c r="AF26" s="7">
        <f>Input!AF6</f>
        <v>11.91</v>
      </c>
      <c r="AG26" s="7">
        <f>Input!AG6</f>
        <v>12.98</v>
      </c>
      <c r="AH26" s="7">
        <f>Input!AH6</f>
        <v>12.96</v>
      </c>
      <c r="AI26" s="7">
        <f>Input!AI6</f>
        <v>12.61</v>
      </c>
      <c r="AJ26" s="7">
        <f>Input!AJ6</f>
        <v>12.26</v>
      </c>
      <c r="AK26" s="7">
        <f>Input!AK6</f>
        <v>12.93</v>
      </c>
      <c r="AL26" s="7">
        <f>Input!AL6</f>
        <v>13.26</v>
      </c>
      <c r="AM26" s="7">
        <f>Input!AM6</f>
        <v>12.94</v>
      </c>
      <c r="AN26" s="7">
        <f>Input!AN6</f>
        <v>12.75</v>
      </c>
      <c r="AO26" s="7">
        <f>Input!AO6</f>
        <v>12.69</v>
      </c>
      <c r="AP26" s="7">
        <f>Input!AP6</f>
        <v>10.06</v>
      </c>
      <c r="AQ26" s="7">
        <f>Input!AQ6</f>
        <v>10.34</v>
      </c>
      <c r="AR26" s="7">
        <f>Input!AR6</f>
        <v>10.36</v>
      </c>
      <c r="AS26" s="7">
        <f>Input!AS6</f>
        <v>10.38</v>
      </c>
      <c r="AT26" s="7">
        <f>Input!AT6</f>
        <v>10.18</v>
      </c>
      <c r="AU26" s="54">
        <f>Input!AU6</f>
        <v>8.58</v>
      </c>
      <c r="AV26" s="7">
        <f>Input!AV6</f>
        <v>10.35</v>
      </c>
      <c r="AW26" s="7">
        <f>Input!AW6</f>
        <v>10.96</v>
      </c>
      <c r="AX26" s="7">
        <f>Input!AX6</f>
        <v>11.96</v>
      </c>
      <c r="AY26" s="7">
        <f>Input!AY6</f>
        <v>10.31</v>
      </c>
      <c r="AZ26" s="7">
        <f>Input!AZ6</f>
        <v>10.25</v>
      </c>
      <c r="BA26" s="7">
        <f>Input!BA6</f>
        <v>11.51</v>
      </c>
      <c r="BB26" s="7">
        <f>Input!BB6</f>
        <v>11.74</v>
      </c>
      <c r="BC26" s="7">
        <f>Input!BC6</f>
        <v>11.15</v>
      </c>
      <c r="BD26" s="7">
        <f>Input!BD6</f>
        <v>11.97</v>
      </c>
      <c r="BE26" s="7">
        <f>Input!BE6</f>
        <v>11.79</v>
      </c>
      <c r="BF26" s="7">
        <f>Input!BF6</f>
        <v>12.13</v>
      </c>
      <c r="BG26" s="7">
        <f>Input!BG6</f>
        <v>12.22</v>
      </c>
      <c r="BH26" s="7">
        <f>Input!BH6</f>
        <v>11.66</v>
      </c>
      <c r="BI26" s="7">
        <f>Input!BI6</f>
        <v>12.08</v>
      </c>
      <c r="BJ26" s="7">
        <f>Input!BJ6</f>
        <v>11.73</v>
      </c>
      <c r="BK26" s="7">
        <f>Input!BK6</f>
        <v>0</v>
      </c>
      <c r="BL26" s="7">
        <f>Input!BL6</f>
        <v>0</v>
      </c>
      <c r="BM26" s="18">
        <f t="shared" si="0"/>
        <v>11.331250000000001</v>
      </c>
      <c r="BN26" s="17">
        <f t="shared" si="1"/>
        <v>0.74879784607443545</v>
      </c>
      <c r="BO26" s="2"/>
      <c r="BP26" s="2"/>
      <c r="BQ26" s="2"/>
      <c r="BR26" s="2"/>
      <c r="BS26" s="2"/>
    </row>
    <row r="27" spans="1:71" s="1" customFormat="1">
      <c r="A27" s="6" t="s">
        <v>268</v>
      </c>
      <c r="B27" s="54">
        <f>Input!B7</f>
        <v>13.78</v>
      </c>
      <c r="C27" s="7">
        <f>Input!C7</f>
        <v>13.44</v>
      </c>
      <c r="D27" s="7">
        <f>Input!D7</f>
        <v>14.5</v>
      </c>
      <c r="E27" s="7">
        <f>Input!E7</f>
        <v>14.61</v>
      </c>
      <c r="F27" s="7">
        <f>Input!F7</f>
        <v>13.9</v>
      </c>
      <c r="G27" s="7">
        <f>Input!G7</f>
        <v>14.65</v>
      </c>
      <c r="H27" s="7">
        <f>Input!H7</f>
        <v>13.48</v>
      </c>
      <c r="I27" s="7">
        <f>Input!I7</f>
        <v>14.11</v>
      </c>
      <c r="J27" s="7">
        <f>Input!J7</f>
        <v>13.8</v>
      </c>
      <c r="K27" s="54">
        <f>Input!K7</f>
        <v>14.59</v>
      </c>
      <c r="L27" s="7">
        <f>Input!L7</f>
        <v>13.72</v>
      </c>
      <c r="M27" s="7">
        <f>Input!M7</f>
        <v>13.89</v>
      </c>
      <c r="N27" s="7">
        <f>Input!N7</f>
        <v>13.89</v>
      </c>
      <c r="O27" s="7">
        <f>Input!O7</f>
        <v>14.45</v>
      </c>
      <c r="P27" s="7">
        <f>Input!P7</f>
        <v>13.43</v>
      </c>
      <c r="Q27" s="54">
        <f>Input!Q7</f>
        <v>10.050000000000001</v>
      </c>
      <c r="R27" s="7">
        <f>Input!R7</f>
        <v>14.33</v>
      </c>
      <c r="S27" s="7">
        <f>Input!S7</f>
        <v>14.27</v>
      </c>
      <c r="T27" s="7">
        <f>Input!T7</f>
        <v>14.68</v>
      </c>
      <c r="U27" s="7">
        <f>Input!U7</f>
        <v>14.78</v>
      </c>
      <c r="V27" s="7">
        <f>Input!V7</f>
        <v>14.53</v>
      </c>
      <c r="W27" s="7">
        <f>Input!W7</f>
        <v>14.42</v>
      </c>
      <c r="X27" s="7">
        <f>Input!X7</f>
        <v>14.05</v>
      </c>
      <c r="Y27" s="54">
        <f>Input!Y7</f>
        <v>13.83</v>
      </c>
      <c r="Z27" s="7">
        <f>Input!Z7</f>
        <v>13.77</v>
      </c>
      <c r="AA27" s="54">
        <f>Input!AA7</f>
        <v>11.56</v>
      </c>
      <c r="AB27" s="7">
        <f>Input!AB7</f>
        <v>13.27</v>
      </c>
      <c r="AC27" s="7">
        <f>Input!AC7</f>
        <v>12.17</v>
      </c>
      <c r="AD27" s="7">
        <f>Input!AD7</f>
        <v>12.75</v>
      </c>
      <c r="AE27" s="7">
        <f>Input!AE7</f>
        <v>13.48</v>
      </c>
      <c r="AF27" s="7">
        <f>Input!AF7</f>
        <v>13.12</v>
      </c>
      <c r="AG27" s="7">
        <f>Input!AG7</f>
        <v>13.32</v>
      </c>
      <c r="AH27" s="7">
        <f>Input!AH7</f>
        <v>13.09</v>
      </c>
      <c r="AI27" s="7">
        <f>Input!AI7</f>
        <v>12.99</v>
      </c>
      <c r="AJ27" s="7">
        <f>Input!AJ7</f>
        <v>12.81</v>
      </c>
      <c r="AK27" s="7">
        <f>Input!AK7</f>
        <v>13.82</v>
      </c>
      <c r="AL27" s="7">
        <f>Input!AL7</f>
        <v>13.7</v>
      </c>
      <c r="AM27" s="7">
        <f>Input!AM7</f>
        <v>13.66</v>
      </c>
      <c r="AN27" s="7">
        <f>Input!AN7</f>
        <v>13.61</v>
      </c>
      <c r="AO27" s="7">
        <f>Input!AO7</f>
        <v>13.31</v>
      </c>
      <c r="AP27" s="7">
        <f>Input!AP7</f>
        <v>18.22</v>
      </c>
      <c r="AQ27" s="7">
        <f>Input!AQ7</f>
        <v>17.73</v>
      </c>
      <c r="AR27" s="7">
        <f>Input!AR7</f>
        <v>17.920000000000002</v>
      </c>
      <c r="AS27" s="7">
        <f>Input!AS7</f>
        <v>18.48</v>
      </c>
      <c r="AT27" s="7">
        <f>Input!AT7</f>
        <v>18.3</v>
      </c>
      <c r="AU27" s="54">
        <f>Input!AU7</f>
        <v>17.48</v>
      </c>
      <c r="AV27" s="7">
        <f>Input!AV7</f>
        <v>18.600000000000001</v>
      </c>
      <c r="AW27" s="7">
        <f>Input!AW7</f>
        <v>18.39</v>
      </c>
      <c r="AX27" s="7">
        <f>Input!AX7</f>
        <v>15.96</v>
      </c>
      <c r="AY27" s="7">
        <f>Input!AY7</f>
        <v>18.37</v>
      </c>
      <c r="AZ27" s="7">
        <f>Input!AZ7</f>
        <v>17.989999999999998</v>
      </c>
      <c r="BA27" s="7">
        <f>Input!BA7</f>
        <v>14.83</v>
      </c>
      <c r="BB27" s="7">
        <f>Input!BB7</f>
        <v>14.88</v>
      </c>
      <c r="BC27" s="7">
        <f>Input!BC7</f>
        <v>14.95</v>
      </c>
      <c r="BD27" s="7">
        <f>Input!BD7</f>
        <v>14.98</v>
      </c>
      <c r="BE27" s="7">
        <f>Input!BE7</f>
        <v>15.18</v>
      </c>
      <c r="BF27" s="7">
        <f>Input!BF7</f>
        <v>17</v>
      </c>
      <c r="BG27" s="7">
        <f>Input!BG7</f>
        <v>17.29</v>
      </c>
      <c r="BH27" s="7">
        <f>Input!BH7</f>
        <v>16.649999999999999</v>
      </c>
      <c r="BI27" s="7">
        <f>Input!BI7</f>
        <v>17.2</v>
      </c>
      <c r="BJ27" s="7">
        <f>Input!BJ7</f>
        <v>16.39</v>
      </c>
      <c r="BK27" s="7">
        <f>Input!BK7</f>
        <v>0</v>
      </c>
      <c r="BL27" s="7">
        <f>Input!BL7</f>
        <v>0</v>
      </c>
      <c r="BM27" s="18">
        <f t="shared" si="0"/>
        <v>14.058750000000002</v>
      </c>
      <c r="BN27" s="17">
        <f t="shared" si="1"/>
        <v>0.48865522464354005</v>
      </c>
      <c r="BO27" s="2"/>
      <c r="BP27" s="2"/>
      <c r="BQ27" s="2"/>
      <c r="BR27" s="2"/>
      <c r="BS27" s="2"/>
    </row>
    <row r="28" spans="1:71" s="1" customFormat="1">
      <c r="A28" s="6" t="s">
        <v>269</v>
      </c>
      <c r="B28" s="54">
        <f>Input!B8</f>
        <v>0.68</v>
      </c>
      <c r="C28" s="7">
        <f>Input!C8</f>
        <v>0.84</v>
      </c>
      <c r="D28" s="7">
        <f>Input!D8</f>
        <v>1.01</v>
      </c>
      <c r="E28" s="7">
        <f>Input!E8</f>
        <v>1.1100000000000001</v>
      </c>
      <c r="F28" s="7">
        <f>Input!F8</f>
        <v>0.85</v>
      </c>
      <c r="G28" s="7">
        <f>Input!G8</f>
        <v>0.84</v>
      </c>
      <c r="H28" s="7">
        <f>Input!H8</f>
        <v>0.81</v>
      </c>
      <c r="I28" s="7">
        <f>Input!I8</f>
        <v>0.85</v>
      </c>
      <c r="J28" s="7">
        <f>Input!J8</f>
        <v>0.89</v>
      </c>
      <c r="K28" s="54">
        <f>Input!K8</f>
        <v>0.89</v>
      </c>
      <c r="L28" s="7">
        <f>Input!L8</f>
        <v>0.9</v>
      </c>
      <c r="M28" s="7">
        <f>Input!M8</f>
        <v>0.77</v>
      </c>
      <c r="N28" s="7">
        <f>Input!N8</f>
        <v>0.69</v>
      </c>
      <c r="O28" s="7">
        <f>Input!O8</f>
        <v>0.7</v>
      </c>
      <c r="P28" s="7">
        <f>Input!P8</f>
        <v>0.22</v>
      </c>
      <c r="Q28" s="54">
        <f>Input!Q8</f>
        <v>0.23</v>
      </c>
      <c r="R28" s="7">
        <f>Input!R8</f>
        <v>0.18</v>
      </c>
      <c r="S28" s="7">
        <f>Input!S8</f>
        <v>0.2</v>
      </c>
      <c r="T28" s="7">
        <f>Input!T8</f>
        <v>0.21</v>
      </c>
      <c r="U28" s="7">
        <f>Input!U8</f>
        <v>0.19</v>
      </c>
      <c r="V28" s="7">
        <f>Input!V8</f>
        <v>0.26</v>
      </c>
      <c r="W28" s="7">
        <f>Input!W8</f>
        <v>0.25</v>
      </c>
      <c r="X28" s="7">
        <f>Input!X8</f>
        <v>0.23</v>
      </c>
      <c r="Y28" s="54">
        <f>Input!Y8</f>
        <v>0.15</v>
      </c>
      <c r="Z28" s="7">
        <f>Input!Z8</f>
        <v>0.21</v>
      </c>
      <c r="AA28" s="54">
        <f>Input!AA8</f>
        <v>0.18</v>
      </c>
      <c r="AB28" s="7">
        <f>Input!AB8</f>
        <v>0.26</v>
      </c>
      <c r="AC28" s="7">
        <f>Input!AC8</f>
        <v>0.14000000000000001</v>
      </c>
      <c r="AD28" s="7">
        <f>Input!AD8</f>
        <v>0.21</v>
      </c>
      <c r="AE28" s="7">
        <f>Input!AE8</f>
        <v>0.24</v>
      </c>
      <c r="AF28" s="7">
        <f>Input!AF8</f>
        <v>0.22</v>
      </c>
      <c r="AG28" s="7">
        <f>Input!AG8</f>
        <v>0.24</v>
      </c>
      <c r="AH28" s="7">
        <f>Input!AH8</f>
        <v>0.21</v>
      </c>
      <c r="AI28" s="7">
        <f>Input!AI8</f>
        <v>0.25</v>
      </c>
      <c r="AJ28" s="7">
        <f>Input!AJ8</f>
        <v>0.24</v>
      </c>
      <c r="AK28" s="7">
        <f>Input!AK8</f>
        <v>0.25</v>
      </c>
      <c r="AL28" s="7">
        <f>Input!AL8</f>
        <v>0.2</v>
      </c>
      <c r="AM28" s="7">
        <f>Input!AM8</f>
        <v>0.18</v>
      </c>
      <c r="AN28" s="7">
        <f>Input!AN8</f>
        <v>0.21</v>
      </c>
      <c r="AO28" s="7">
        <f>Input!AO8</f>
        <v>0.28000000000000003</v>
      </c>
      <c r="AP28" s="7">
        <f>Input!AP8</f>
        <v>0.31</v>
      </c>
      <c r="AQ28" s="7">
        <f>Input!AQ8</f>
        <v>0.27</v>
      </c>
      <c r="AR28" s="7">
        <f>Input!AR8</f>
        <v>0.34</v>
      </c>
      <c r="AS28" s="7">
        <f>Input!AS8</f>
        <v>0.34</v>
      </c>
      <c r="AT28" s="7">
        <f>Input!AT8</f>
        <v>0.33</v>
      </c>
      <c r="AU28" s="54">
        <f>Input!AU8</f>
        <v>0.27</v>
      </c>
      <c r="AV28" s="7">
        <f>Input!AV8</f>
        <v>0.28000000000000003</v>
      </c>
      <c r="AW28" s="7">
        <f>Input!AW8</f>
        <v>0.26</v>
      </c>
      <c r="AX28" s="7">
        <f>Input!AX8</f>
        <v>0.25</v>
      </c>
      <c r="AY28" s="7">
        <f>Input!AY8</f>
        <v>0.3</v>
      </c>
      <c r="AZ28" s="7">
        <f>Input!AZ8</f>
        <v>0.3</v>
      </c>
      <c r="BA28" s="7">
        <f>Input!BA8</f>
        <v>0.2</v>
      </c>
      <c r="BB28" s="7">
        <f>Input!BB8</f>
        <v>0.24</v>
      </c>
      <c r="BC28" s="7">
        <f>Input!BC8</f>
        <v>0.18</v>
      </c>
      <c r="BD28" s="7">
        <f>Input!BD8</f>
        <v>0.2</v>
      </c>
      <c r="BE28" s="7">
        <f>Input!BE8</f>
        <v>0.18</v>
      </c>
      <c r="BF28" s="7">
        <f>Input!BF8</f>
        <v>0.16</v>
      </c>
      <c r="BG28" s="7">
        <f>Input!BG8</f>
        <v>0.25</v>
      </c>
      <c r="BH28" s="7">
        <f>Input!BH8</f>
        <v>0.2</v>
      </c>
      <c r="BI28" s="7">
        <f>Input!BI8</f>
        <v>0.21</v>
      </c>
      <c r="BJ28" s="7">
        <f>Input!BJ8</f>
        <v>0.24</v>
      </c>
      <c r="BK28" s="7">
        <f>Input!BK8</f>
        <v>0</v>
      </c>
      <c r="BL28" s="7">
        <f>Input!BL8</f>
        <v>0</v>
      </c>
      <c r="BM28" s="18">
        <f t="shared" si="0"/>
        <v>0.87375000000000003</v>
      </c>
      <c r="BN28" s="17">
        <f t="shared" si="1"/>
        <v>0.13059616052111628</v>
      </c>
      <c r="BO28" s="2"/>
      <c r="BP28" s="2"/>
      <c r="BQ28" s="2"/>
      <c r="BR28" s="2"/>
      <c r="BS28" s="2"/>
    </row>
    <row r="29" spans="1:71" s="1" customFormat="1">
      <c r="A29" s="6" t="s">
        <v>114</v>
      </c>
      <c r="B29" s="54">
        <f>Input!B9</f>
        <v>0.03</v>
      </c>
      <c r="C29" s="7">
        <f>Input!C9</f>
        <v>0</v>
      </c>
      <c r="D29" s="7">
        <f>Input!D9</f>
        <v>0</v>
      </c>
      <c r="E29" s="7">
        <f>Input!E9</f>
        <v>0.03</v>
      </c>
      <c r="F29" s="7">
        <f>Input!F9</f>
        <v>0</v>
      </c>
      <c r="G29" s="7">
        <f>Input!G9</f>
        <v>0</v>
      </c>
      <c r="H29" s="7">
        <f>Input!H9</f>
        <v>0</v>
      </c>
      <c r="I29" s="7">
        <f>Input!I9</f>
        <v>0</v>
      </c>
      <c r="J29" s="7">
        <f>Input!J9</f>
        <v>0</v>
      </c>
      <c r="K29" s="54">
        <f>Input!K9</f>
        <v>0</v>
      </c>
      <c r="L29" s="7">
        <f>Input!L9</f>
        <v>0</v>
      </c>
      <c r="M29" s="7">
        <f>Input!M9</f>
        <v>0</v>
      </c>
      <c r="N29" s="7">
        <f>Input!N9</f>
        <v>0</v>
      </c>
      <c r="O29" s="7">
        <f>Input!O9</f>
        <v>0</v>
      </c>
      <c r="P29" s="7">
        <f>Input!P9</f>
        <v>0</v>
      </c>
      <c r="Q29" s="54">
        <f>Input!Q9</f>
        <v>0</v>
      </c>
      <c r="R29" s="7">
        <f>Input!R9</f>
        <v>0</v>
      </c>
      <c r="S29" s="7">
        <f>Input!S9</f>
        <v>0</v>
      </c>
      <c r="T29" s="7">
        <f>Input!T9</f>
        <v>0</v>
      </c>
      <c r="U29" s="7">
        <f>Input!U9</f>
        <v>0</v>
      </c>
      <c r="V29" s="7">
        <f>Input!V9</f>
        <v>0</v>
      </c>
      <c r="W29" s="7">
        <f>Input!W9</f>
        <v>0</v>
      </c>
      <c r="X29" s="7">
        <f>Input!X9</f>
        <v>0</v>
      </c>
      <c r="Y29" s="54">
        <f>Input!Y9</f>
        <v>0</v>
      </c>
      <c r="Z29" s="7">
        <f>Input!Z9</f>
        <v>0</v>
      </c>
      <c r="AA29" s="54">
        <f>Input!AA9</f>
        <v>0</v>
      </c>
      <c r="AB29" s="7">
        <f>Input!AB9</f>
        <v>0</v>
      </c>
      <c r="AC29" s="7">
        <f>Input!AC9</f>
        <v>0</v>
      </c>
      <c r="AD29" s="7">
        <f>Input!AD9</f>
        <v>0</v>
      </c>
      <c r="AE29" s="7">
        <f>Input!AE9</f>
        <v>0</v>
      </c>
      <c r="AF29" s="7">
        <f>Input!AF9</f>
        <v>0</v>
      </c>
      <c r="AG29" s="7">
        <f>Input!AG9</f>
        <v>0</v>
      </c>
      <c r="AH29" s="7">
        <f>Input!AH9</f>
        <v>0</v>
      </c>
      <c r="AI29" s="7">
        <f>Input!AI9</f>
        <v>0</v>
      </c>
      <c r="AJ29" s="7">
        <f>Input!AJ9</f>
        <v>0</v>
      </c>
      <c r="AK29" s="7">
        <f>Input!AK9</f>
        <v>0</v>
      </c>
      <c r="AL29" s="7">
        <f>Input!AL9</f>
        <v>0</v>
      </c>
      <c r="AM29" s="7">
        <f>Input!AM9</f>
        <v>0</v>
      </c>
      <c r="AN29" s="7">
        <f>Input!AN9</f>
        <v>0</v>
      </c>
      <c r="AO29" s="7">
        <f>Input!AO9</f>
        <v>0</v>
      </c>
      <c r="AP29" s="7">
        <f>Input!AP9</f>
        <v>0</v>
      </c>
      <c r="AQ29" s="7">
        <f>Input!AQ9</f>
        <v>0</v>
      </c>
      <c r="AR29" s="7">
        <f>Input!AR9</f>
        <v>0</v>
      </c>
      <c r="AS29" s="7">
        <f>Input!AS9</f>
        <v>0</v>
      </c>
      <c r="AT29" s="7">
        <f>Input!AT9</f>
        <v>0</v>
      </c>
      <c r="AU29" s="54">
        <f>Input!AU9</f>
        <v>0</v>
      </c>
      <c r="AV29" s="7">
        <f>Input!AV9</f>
        <v>0</v>
      </c>
      <c r="AW29" s="7">
        <f>Input!AW9</f>
        <v>0</v>
      </c>
      <c r="AX29" s="7">
        <f>Input!AX9</f>
        <v>0</v>
      </c>
      <c r="AY29" s="7">
        <f>Input!AY9</f>
        <v>0</v>
      </c>
      <c r="AZ29" s="7">
        <f>Input!AZ9</f>
        <v>0</v>
      </c>
      <c r="BA29" s="7">
        <f>Input!BA9</f>
        <v>0</v>
      </c>
      <c r="BB29" s="7">
        <f>Input!BB9</f>
        <v>0</v>
      </c>
      <c r="BC29" s="7">
        <f>Input!BC9</f>
        <v>0</v>
      </c>
      <c r="BD29" s="7">
        <f>Input!BD9</f>
        <v>0</v>
      </c>
      <c r="BE29" s="7">
        <f>Input!BE9</f>
        <v>0</v>
      </c>
      <c r="BF29" s="7">
        <f>Input!BF9</f>
        <v>0</v>
      </c>
      <c r="BG29" s="7">
        <f>Input!BG9</f>
        <v>0</v>
      </c>
      <c r="BH29" s="7">
        <f>Input!BH9</f>
        <v>0</v>
      </c>
      <c r="BI29" s="7">
        <f>Input!BI9</f>
        <v>0</v>
      </c>
      <c r="BJ29" s="7">
        <f>Input!BJ9</f>
        <v>0</v>
      </c>
      <c r="BK29" s="7">
        <f>Input!BK9</f>
        <v>0</v>
      </c>
      <c r="BL29" s="7">
        <f>Input!BL9</f>
        <v>0</v>
      </c>
      <c r="BM29" s="18">
        <f t="shared" si="0"/>
        <v>7.4999999999999997E-3</v>
      </c>
      <c r="BN29" s="17">
        <f t="shared" si="1"/>
        <v>1.3887301496588272E-2</v>
      </c>
      <c r="BO29" s="2"/>
      <c r="BP29" s="2"/>
      <c r="BQ29" s="2"/>
      <c r="BR29" s="2"/>
      <c r="BS29" s="2"/>
    </row>
    <row r="30" spans="1:71" s="1" customFormat="1">
      <c r="A30" s="6" t="s">
        <v>270</v>
      </c>
      <c r="B30" s="54">
        <f>Input!B10</f>
        <v>12.46</v>
      </c>
      <c r="C30" s="7">
        <f>Input!C10</f>
        <v>13</v>
      </c>
      <c r="D30" s="7">
        <f>Input!D10</f>
        <v>12.06</v>
      </c>
      <c r="E30" s="7">
        <f>Input!E10</f>
        <v>11.98</v>
      </c>
      <c r="F30" s="7">
        <f>Input!F10</f>
        <v>12.24</v>
      </c>
      <c r="G30" s="7">
        <f>Input!G10</f>
        <v>11.92</v>
      </c>
      <c r="H30" s="7">
        <f>Input!H10</f>
        <v>12.39</v>
      </c>
      <c r="I30" s="7">
        <f>Input!I10</f>
        <v>12.42</v>
      </c>
      <c r="J30" s="7">
        <f>Input!J10</f>
        <v>12.84</v>
      </c>
      <c r="K30" s="54">
        <f>Input!K10</f>
        <v>11.1</v>
      </c>
      <c r="L30" s="7">
        <f>Input!L10</f>
        <v>12.84</v>
      </c>
      <c r="M30" s="7">
        <f>Input!M10</f>
        <v>12.18</v>
      </c>
      <c r="N30" s="7">
        <f>Input!N10</f>
        <v>11.8</v>
      </c>
      <c r="O30" s="7">
        <f>Input!O10</f>
        <v>12.09</v>
      </c>
      <c r="P30" s="7">
        <f>Input!P10</f>
        <v>12.36</v>
      </c>
      <c r="Q30" s="54">
        <f>Input!Q10</f>
        <v>16.41</v>
      </c>
      <c r="R30" s="7">
        <f>Input!R10</f>
        <v>11.66</v>
      </c>
      <c r="S30" s="7">
        <f>Input!S10</f>
        <v>11.64</v>
      </c>
      <c r="T30" s="7">
        <f>Input!T10</f>
        <v>11.74</v>
      </c>
      <c r="U30" s="7">
        <f>Input!U10</f>
        <v>11.16</v>
      </c>
      <c r="V30" s="7">
        <f>Input!V10</f>
        <v>11.2</v>
      </c>
      <c r="W30" s="7">
        <f>Input!W10</f>
        <v>12.17</v>
      </c>
      <c r="X30" s="7">
        <f>Input!X10</f>
        <v>12.38</v>
      </c>
      <c r="Y30" s="54">
        <f>Input!Y10</f>
        <v>7.05</v>
      </c>
      <c r="Z30" s="7">
        <f>Input!Z10</f>
        <v>11.19</v>
      </c>
      <c r="AA30" s="54">
        <f>Input!AA10</f>
        <v>12.51</v>
      </c>
      <c r="AB30" s="7">
        <f>Input!AB10</f>
        <v>12.98</v>
      </c>
      <c r="AC30" s="7">
        <f>Input!AC10</f>
        <v>12.59</v>
      </c>
      <c r="AD30" s="7">
        <f>Input!AD10</f>
        <v>12.28</v>
      </c>
      <c r="AE30" s="7">
        <f>Input!AE10</f>
        <v>12.11</v>
      </c>
      <c r="AF30" s="7">
        <f>Input!AF10</f>
        <v>12.34</v>
      </c>
      <c r="AG30" s="7">
        <f>Input!AG10</f>
        <v>11.88</v>
      </c>
      <c r="AH30" s="7">
        <f>Input!AH10</f>
        <v>12.38</v>
      </c>
      <c r="AI30" s="7">
        <f>Input!AI10</f>
        <v>11.88</v>
      </c>
      <c r="AJ30" s="7">
        <f>Input!AJ10</f>
        <v>12.43</v>
      </c>
      <c r="AK30" s="7">
        <f>Input!AK10</f>
        <v>11.29</v>
      </c>
      <c r="AL30" s="7">
        <f>Input!AL10</f>
        <v>11.1</v>
      </c>
      <c r="AM30" s="7">
        <f>Input!AM10</f>
        <v>11.65</v>
      </c>
      <c r="AN30" s="7">
        <f>Input!AN10</f>
        <v>11.48</v>
      </c>
      <c r="AO30" s="7">
        <f>Input!AO10</f>
        <v>11.58</v>
      </c>
      <c r="AP30" s="7">
        <f>Input!AP10</f>
        <v>9.8800000000000008</v>
      </c>
      <c r="AQ30" s="7">
        <f>Input!AQ10</f>
        <v>9.89</v>
      </c>
      <c r="AR30" s="7">
        <f>Input!AR10</f>
        <v>9.8000000000000007</v>
      </c>
      <c r="AS30" s="7">
        <f>Input!AS10</f>
        <v>9.65</v>
      </c>
      <c r="AT30" s="7">
        <f>Input!AT10</f>
        <v>9.6199999999999992</v>
      </c>
      <c r="AU30" s="54">
        <f>Input!AU10</f>
        <v>10.79</v>
      </c>
      <c r="AV30" s="7">
        <f>Input!AV10</f>
        <v>9.58</v>
      </c>
      <c r="AW30" s="7">
        <f>Input!AW10</f>
        <v>9.42</v>
      </c>
      <c r="AX30" s="7">
        <f>Input!AX10</f>
        <v>7.53</v>
      </c>
      <c r="AY30" s="7">
        <f>Input!AY10</f>
        <v>9.4600000000000009</v>
      </c>
      <c r="AZ30" s="7">
        <f>Input!AZ10</f>
        <v>9.92</v>
      </c>
      <c r="BA30" s="7">
        <f>Input!BA10</f>
        <v>11.34</v>
      </c>
      <c r="BB30" s="7">
        <f>Input!BB10</f>
        <v>11.19</v>
      </c>
      <c r="BC30" s="7">
        <f>Input!BC10</f>
        <v>11.34</v>
      </c>
      <c r="BD30" s="7">
        <f>Input!BD10</f>
        <v>11.05</v>
      </c>
      <c r="BE30" s="7">
        <f>Input!BE10</f>
        <v>11.48</v>
      </c>
      <c r="BF30" s="7">
        <f>Input!BF10</f>
        <v>9.52</v>
      </c>
      <c r="BG30" s="7">
        <f>Input!BG10</f>
        <v>9.4499999999999993</v>
      </c>
      <c r="BH30" s="7">
        <f>Input!BH10</f>
        <v>9.83</v>
      </c>
      <c r="BI30" s="7">
        <f>Input!BI10</f>
        <v>9.33</v>
      </c>
      <c r="BJ30" s="7">
        <f>Input!BJ10</f>
        <v>9.73</v>
      </c>
      <c r="BK30" s="7">
        <f>Input!BK10</f>
        <v>0</v>
      </c>
      <c r="BL30" s="7">
        <f>Input!BL10</f>
        <v>0</v>
      </c>
      <c r="BM30" s="18">
        <f t="shared" si="0"/>
        <v>12.30875</v>
      </c>
      <c r="BN30" s="17">
        <f t="shared" si="1"/>
        <v>0.34753982300080161</v>
      </c>
      <c r="BO30" s="2"/>
      <c r="BP30" s="2"/>
      <c r="BQ30" s="2"/>
      <c r="BR30" s="2"/>
      <c r="BS30" s="2"/>
    </row>
    <row r="31" spans="1:71" s="1" customFormat="1">
      <c r="A31" s="6" t="s">
        <v>271</v>
      </c>
      <c r="B31" s="54">
        <f>Input!B11</f>
        <v>10.49</v>
      </c>
      <c r="C31" s="7">
        <f>Input!C11</f>
        <v>10.53</v>
      </c>
      <c r="D31" s="7">
        <f>Input!D11</f>
        <v>10.55</v>
      </c>
      <c r="E31" s="7">
        <f>Input!E11</f>
        <v>10</v>
      </c>
      <c r="F31" s="7">
        <f>Input!F11</f>
        <v>10.87</v>
      </c>
      <c r="G31" s="7">
        <f>Input!G11</f>
        <v>10.94</v>
      </c>
      <c r="H31" s="7">
        <f>Input!H11</f>
        <v>11.02</v>
      </c>
      <c r="I31" s="7">
        <f>Input!I11</f>
        <v>10.81</v>
      </c>
      <c r="J31" s="7">
        <f>Input!J11</f>
        <v>10.26</v>
      </c>
      <c r="K31" s="54">
        <f>Input!K11</f>
        <v>10.35</v>
      </c>
      <c r="L31" s="7">
        <f>Input!L11</f>
        <v>10.48</v>
      </c>
      <c r="M31" s="7">
        <f>Input!M11</f>
        <v>10.81</v>
      </c>
      <c r="N31" s="7">
        <f>Input!N11</f>
        <v>10.39</v>
      </c>
      <c r="O31" s="7">
        <f>Input!O11</f>
        <v>10.85</v>
      </c>
      <c r="P31" s="7">
        <f>Input!P11</f>
        <v>12.13</v>
      </c>
      <c r="Q31" s="54">
        <f>Input!Q11</f>
        <v>12.64</v>
      </c>
      <c r="R31" s="7">
        <f>Input!R11</f>
        <v>11.95</v>
      </c>
      <c r="S31" s="7">
        <f>Input!S11</f>
        <v>12.03</v>
      </c>
      <c r="T31" s="7">
        <f>Input!T11</f>
        <v>12.07</v>
      </c>
      <c r="U31" s="7">
        <f>Input!U11</f>
        <v>11.87</v>
      </c>
      <c r="V31" s="7">
        <f>Input!V11</f>
        <v>12.09</v>
      </c>
      <c r="W31" s="7">
        <f>Input!W11</f>
        <v>12.05</v>
      </c>
      <c r="X31" s="7">
        <f>Input!X11</f>
        <v>11.83</v>
      </c>
      <c r="Y31" s="54">
        <f>Input!Y11</f>
        <v>16.239999999999998</v>
      </c>
      <c r="Z31" s="7">
        <f>Input!Z11</f>
        <v>13.1</v>
      </c>
      <c r="AA31" s="54">
        <f>Input!AA11</f>
        <v>13.58</v>
      </c>
      <c r="AB31" s="7">
        <f>Input!AB11</f>
        <v>11.34</v>
      </c>
      <c r="AC31" s="7">
        <f>Input!AC11</f>
        <v>11.29</v>
      </c>
      <c r="AD31" s="7">
        <f>Input!AD11</f>
        <v>11.48</v>
      </c>
      <c r="AE31" s="7">
        <f>Input!AE11</f>
        <v>11.12</v>
      </c>
      <c r="AF31" s="7">
        <f>Input!AF11</f>
        <v>11.2</v>
      </c>
      <c r="AG31" s="7">
        <f>Input!AG11</f>
        <v>11.21</v>
      </c>
      <c r="AH31" s="7">
        <f>Input!AH11</f>
        <v>11.17</v>
      </c>
      <c r="AI31" s="7">
        <f>Input!AI11</f>
        <v>11.24</v>
      </c>
      <c r="AJ31" s="7">
        <f>Input!AJ11</f>
        <v>11.01</v>
      </c>
      <c r="AK31" s="7">
        <f>Input!AK11</f>
        <v>11.05</v>
      </c>
      <c r="AL31" s="7">
        <f>Input!AL11</f>
        <v>10.92</v>
      </c>
      <c r="AM31" s="7">
        <f>Input!AM11</f>
        <v>10.87</v>
      </c>
      <c r="AN31" s="7">
        <f>Input!AN11</f>
        <v>10.71</v>
      </c>
      <c r="AO31" s="7">
        <f>Input!AO11</f>
        <v>10.88</v>
      </c>
      <c r="AP31" s="7">
        <f>Input!AP11</f>
        <v>11.79</v>
      </c>
      <c r="AQ31" s="7">
        <f>Input!AQ11</f>
        <v>11.69</v>
      </c>
      <c r="AR31" s="7">
        <f>Input!AR11</f>
        <v>11.85</v>
      </c>
      <c r="AS31" s="7">
        <f>Input!AS11</f>
        <v>11.78</v>
      </c>
      <c r="AT31" s="7">
        <f>Input!AT11</f>
        <v>11.42</v>
      </c>
      <c r="AU31" s="54">
        <f>Input!AU11</f>
        <v>11.74</v>
      </c>
      <c r="AV31" s="7">
        <f>Input!AV11</f>
        <v>11.44</v>
      </c>
      <c r="AW31" s="7">
        <f>Input!AW11</f>
        <v>11.67</v>
      </c>
      <c r="AX31" s="7">
        <f>Input!AX11</f>
        <v>14.35</v>
      </c>
      <c r="AY31" s="7">
        <f>Input!AY11</f>
        <v>11.48</v>
      </c>
      <c r="AZ31" s="7">
        <f>Input!AZ11</f>
        <v>11.74</v>
      </c>
      <c r="BA31" s="7">
        <f>Input!BA11</f>
        <v>12.02</v>
      </c>
      <c r="BB31" s="7">
        <f>Input!BB11</f>
        <v>11.82</v>
      </c>
      <c r="BC31" s="7">
        <f>Input!BC11</f>
        <v>11.92</v>
      </c>
      <c r="BD31" s="7">
        <f>Input!BD11</f>
        <v>11.95</v>
      </c>
      <c r="BE31" s="7">
        <f>Input!BE11</f>
        <v>12</v>
      </c>
      <c r="BF31" s="7">
        <f>Input!BF11</f>
        <v>11.59</v>
      </c>
      <c r="BG31" s="7">
        <f>Input!BG11</f>
        <v>11.34</v>
      </c>
      <c r="BH31" s="7">
        <f>Input!BH11</f>
        <v>11.69</v>
      </c>
      <c r="BI31" s="7">
        <f>Input!BI11</f>
        <v>11.4</v>
      </c>
      <c r="BJ31" s="7">
        <f>Input!BJ11</f>
        <v>11.98</v>
      </c>
      <c r="BK31" s="7">
        <f>Input!BK11</f>
        <v>0</v>
      </c>
      <c r="BL31" s="7">
        <f>Input!BL11</f>
        <v>0</v>
      </c>
      <c r="BM31" s="18">
        <f t="shared" si="0"/>
        <v>10.651249999999999</v>
      </c>
      <c r="BN31" s="17">
        <f t="shared" si="1"/>
        <v>0.33112093172823021</v>
      </c>
      <c r="BO31" s="2"/>
      <c r="BP31" s="2"/>
      <c r="BQ31" s="2"/>
      <c r="BR31" s="2"/>
      <c r="BS31" s="2"/>
    </row>
    <row r="32" spans="1:71" s="1" customFormat="1">
      <c r="A32" s="6" t="s">
        <v>272</v>
      </c>
      <c r="B32" s="54">
        <f>Input!B12</f>
        <v>1.35</v>
      </c>
      <c r="C32" s="7">
        <f>Input!C12</f>
        <v>1.4</v>
      </c>
      <c r="D32" s="7">
        <f>Input!D12</f>
        <v>1.51</v>
      </c>
      <c r="E32" s="7">
        <f>Input!E12</f>
        <v>1.39</v>
      </c>
      <c r="F32" s="7">
        <f>Input!F12</f>
        <v>1.39</v>
      </c>
      <c r="G32" s="7">
        <f>Input!G12</f>
        <v>1.47</v>
      </c>
      <c r="H32" s="7">
        <f>Input!H12</f>
        <v>1.37</v>
      </c>
      <c r="I32" s="7">
        <f>Input!I12</f>
        <v>1.41</v>
      </c>
      <c r="J32" s="7">
        <f>Input!J12</f>
        <v>1.41</v>
      </c>
      <c r="K32" s="54">
        <f>Input!K12</f>
        <v>1.29</v>
      </c>
      <c r="L32" s="7">
        <f>Input!L12</f>
        <v>1.53</v>
      </c>
      <c r="M32" s="7">
        <f>Input!M12</f>
        <v>1.45</v>
      </c>
      <c r="N32" s="7">
        <f>Input!N12</f>
        <v>1.63</v>
      </c>
      <c r="O32" s="7">
        <f>Input!O12</f>
        <v>1.51</v>
      </c>
      <c r="P32" s="7">
        <f>Input!P12</f>
        <v>1.38</v>
      </c>
      <c r="Q32" s="54">
        <f>Input!Q12</f>
        <v>0.74</v>
      </c>
      <c r="R32" s="7">
        <f>Input!R12</f>
        <v>1.67</v>
      </c>
      <c r="S32" s="7">
        <f>Input!S12</f>
        <v>1.57</v>
      </c>
      <c r="T32" s="7">
        <f>Input!T12</f>
        <v>1.6</v>
      </c>
      <c r="U32" s="7">
        <f>Input!U12</f>
        <v>1.64</v>
      </c>
      <c r="V32" s="7">
        <f>Input!V12</f>
        <v>1.68</v>
      </c>
      <c r="W32" s="7">
        <f>Input!W12</f>
        <v>1.24</v>
      </c>
      <c r="X32" s="7">
        <f>Input!X12</f>
        <v>1.52</v>
      </c>
      <c r="Y32" s="54">
        <f>Input!Y12</f>
        <v>1.05</v>
      </c>
      <c r="Z32" s="7">
        <f>Input!Z12</f>
        <v>1.26</v>
      </c>
      <c r="AA32" s="54">
        <f>Input!AA12</f>
        <v>1.17</v>
      </c>
      <c r="AB32" s="7">
        <f>Input!AB12</f>
        <v>2.08</v>
      </c>
      <c r="AC32" s="7">
        <f>Input!AC12</f>
        <v>2.4700000000000002</v>
      </c>
      <c r="AD32" s="7">
        <f>Input!AD12</f>
        <v>2.5099999999999998</v>
      </c>
      <c r="AE32" s="7">
        <f>Input!AE12</f>
        <v>2.58</v>
      </c>
      <c r="AF32" s="7">
        <f>Input!AF12</f>
        <v>2.63</v>
      </c>
      <c r="AG32" s="7">
        <f>Input!AG12</f>
        <v>2.64</v>
      </c>
      <c r="AH32" s="7">
        <f>Input!AH12</f>
        <v>2.59</v>
      </c>
      <c r="AI32" s="7">
        <f>Input!AI12</f>
        <v>2.5499999999999998</v>
      </c>
      <c r="AJ32" s="7">
        <f>Input!AJ12</f>
        <v>2.56</v>
      </c>
      <c r="AK32" s="7">
        <f>Input!AK12</f>
        <v>2.44</v>
      </c>
      <c r="AL32" s="7">
        <f>Input!AL12</f>
        <v>2.59</v>
      </c>
      <c r="AM32" s="7">
        <f>Input!AM12</f>
        <v>2.4700000000000002</v>
      </c>
      <c r="AN32" s="7">
        <f>Input!AN12</f>
        <v>2.4900000000000002</v>
      </c>
      <c r="AO32" s="7">
        <f>Input!AO12</f>
        <v>2.58</v>
      </c>
      <c r="AP32" s="7">
        <f>Input!AP12</f>
        <v>1.41</v>
      </c>
      <c r="AQ32" s="7">
        <f>Input!AQ12</f>
        <v>1.3</v>
      </c>
      <c r="AR32" s="7">
        <f>Input!AR12</f>
        <v>1.44</v>
      </c>
      <c r="AS32" s="7">
        <f>Input!AS12</f>
        <v>1.49</v>
      </c>
      <c r="AT32" s="7">
        <f>Input!AT12</f>
        <v>1.58</v>
      </c>
      <c r="AU32" s="54">
        <f>Input!AU12</f>
        <v>1.1599999999999999</v>
      </c>
      <c r="AV32" s="7">
        <f>Input!AV12</f>
        <v>1.54</v>
      </c>
      <c r="AW32" s="7">
        <f>Input!AW12</f>
        <v>1.53</v>
      </c>
      <c r="AX32" s="7">
        <f>Input!AX12</f>
        <v>1</v>
      </c>
      <c r="AY32" s="7">
        <f>Input!AY12</f>
        <v>1.59</v>
      </c>
      <c r="AZ32" s="7">
        <f>Input!AZ12</f>
        <v>1.44</v>
      </c>
      <c r="BA32" s="7">
        <f>Input!BA12</f>
        <v>1.97</v>
      </c>
      <c r="BB32" s="7">
        <f>Input!BB12</f>
        <v>1.99</v>
      </c>
      <c r="BC32" s="7">
        <f>Input!BC12</f>
        <v>1.91</v>
      </c>
      <c r="BD32" s="7">
        <f>Input!BD12</f>
        <v>1.95</v>
      </c>
      <c r="BE32" s="7">
        <f>Input!BE12</f>
        <v>1.96</v>
      </c>
      <c r="BF32" s="7">
        <f>Input!BF12</f>
        <v>2.38</v>
      </c>
      <c r="BG32" s="7">
        <f>Input!BG12</f>
        <v>2.42</v>
      </c>
      <c r="BH32" s="7">
        <f>Input!BH12</f>
        <v>2.25</v>
      </c>
      <c r="BI32" s="7">
        <f>Input!BI12</f>
        <v>2.2200000000000002</v>
      </c>
      <c r="BJ32" s="7">
        <f>Input!BJ12</f>
        <v>2.1800000000000002</v>
      </c>
      <c r="BK32" s="7">
        <f>Input!BK12</f>
        <v>0</v>
      </c>
      <c r="BL32" s="7">
        <f>Input!BL12</f>
        <v>0</v>
      </c>
      <c r="BM32" s="18">
        <f t="shared" si="0"/>
        <v>1.4112499999999999</v>
      </c>
      <c r="BN32" s="17">
        <f t="shared" si="1"/>
        <v>5.303300858899105E-2</v>
      </c>
      <c r="BO32" s="2"/>
      <c r="BP32" s="2"/>
      <c r="BQ32" s="2"/>
      <c r="BR32" s="2"/>
      <c r="BS32" s="2"/>
    </row>
    <row r="33" spans="1:78" s="1" customFormat="1">
      <c r="A33" s="6" t="s">
        <v>273</v>
      </c>
      <c r="B33" s="54">
        <f>Input!B13</f>
        <v>0.24</v>
      </c>
      <c r="C33" s="7">
        <f>Input!C13</f>
        <v>0.14000000000000001</v>
      </c>
      <c r="D33" s="7">
        <f>Input!D13</f>
        <v>0.27</v>
      </c>
      <c r="E33" s="7">
        <f>Input!E13</f>
        <v>0.25</v>
      </c>
      <c r="F33" s="7">
        <f>Input!F13</f>
        <v>0.34</v>
      </c>
      <c r="G33" s="7">
        <f>Input!G13</f>
        <v>0.26</v>
      </c>
      <c r="H33" s="7">
        <f>Input!H13</f>
        <v>0.21</v>
      </c>
      <c r="I33" s="7">
        <f>Input!I13</f>
        <v>0.23</v>
      </c>
      <c r="J33" s="7">
        <f>Input!J13</f>
        <v>0.16</v>
      </c>
      <c r="K33" s="54">
        <f>Input!K13</f>
        <v>0.27</v>
      </c>
      <c r="L33" s="7">
        <f>Input!L13</f>
        <v>0.14000000000000001</v>
      </c>
      <c r="M33" s="7">
        <f>Input!M13</f>
        <v>0.22</v>
      </c>
      <c r="N33" s="7">
        <f>Input!N13</f>
        <v>0.25</v>
      </c>
      <c r="O33" s="7">
        <f>Input!O13</f>
        <v>0.25</v>
      </c>
      <c r="P33" s="7">
        <f>Input!P13</f>
        <v>0.73</v>
      </c>
      <c r="Q33" s="54">
        <f>Input!Q13</f>
        <v>0.26</v>
      </c>
      <c r="R33" s="7">
        <f>Input!R13</f>
        <v>0.99</v>
      </c>
      <c r="S33" s="7">
        <f>Input!S13</f>
        <v>1.02</v>
      </c>
      <c r="T33" s="7">
        <f>Input!T13</f>
        <v>0.94</v>
      </c>
      <c r="U33" s="7">
        <f>Input!U13</f>
        <v>1.01</v>
      </c>
      <c r="V33" s="7">
        <f>Input!V13</f>
        <v>1.07</v>
      </c>
      <c r="W33" s="7">
        <f>Input!W13</f>
        <v>0.7</v>
      </c>
      <c r="X33" s="7">
        <f>Input!X13</f>
        <v>0.76</v>
      </c>
      <c r="Y33" s="54">
        <f>Input!Y13</f>
        <v>0.67</v>
      </c>
      <c r="Z33" s="7">
        <f>Input!Z13</f>
        <v>0.69</v>
      </c>
      <c r="AA33" s="54">
        <f>Input!AA13</f>
        <v>0.04</v>
      </c>
      <c r="AB33" s="7">
        <f>Input!AB13</f>
        <v>0.1</v>
      </c>
      <c r="AC33" s="7">
        <f>Input!AC13</f>
        <v>0.15</v>
      </c>
      <c r="AD33" s="7">
        <f>Input!AD13</f>
        <v>0.14000000000000001</v>
      </c>
      <c r="AE33" s="7">
        <f>Input!AE13</f>
        <v>0.14000000000000001</v>
      </c>
      <c r="AF33" s="7">
        <f>Input!AF13</f>
        <v>0.12</v>
      </c>
      <c r="AG33" s="7">
        <f>Input!AG13</f>
        <v>0.14000000000000001</v>
      </c>
      <c r="AH33" s="7">
        <f>Input!AH13</f>
        <v>0.12</v>
      </c>
      <c r="AI33" s="7">
        <f>Input!AI13</f>
        <v>0.18</v>
      </c>
      <c r="AJ33" s="7">
        <f>Input!AJ13</f>
        <v>0.12</v>
      </c>
      <c r="AK33" s="7">
        <f>Input!AK13</f>
        <v>0.45</v>
      </c>
      <c r="AL33" s="7">
        <f>Input!AL13</f>
        <v>0.32</v>
      </c>
      <c r="AM33" s="7">
        <f>Input!AM13</f>
        <v>0.38</v>
      </c>
      <c r="AN33" s="7">
        <f>Input!AN13</f>
        <v>0.37</v>
      </c>
      <c r="AO33" s="7">
        <f>Input!AO13</f>
        <v>0.28000000000000003</v>
      </c>
      <c r="AP33" s="7">
        <f>Input!AP13</f>
        <v>0.13</v>
      </c>
      <c r="AQ33" s="7">
        <f>Input!AQ13</f>
        <v>0.18</v>
      </c>
      <c r="AR33" s="7">
        <f>Input!AR13</f>
        <v>0.15</v>
      </c>
      <c r="AS33" s="7">
        <f>Input!AS13</f>
        <v>0.16</v>
      </c>
      <c r="AT33" s="7">
        <f>Input!AT13</f>
        <v>0.04</v>
      </c>
      <c r="AU33" s="54">
        <f>Input!AU13</f>
        <v>0.16</v>
      </c>
      <c r="AV33" s="7">
        <f>Input!AV13</f>
        <v>0.14000000000000001</v>
      </c>
      <c r="AW33" s="7">
        <f>Input!AW13</f>
        <v>0.17</v>
      </c>
      <c r="AX33" s="7">
        <f>Input!AX13</f>
        <v>7.0000000000000007E-2</v>
      </c>
      <c r="AY33" s="7">
        <f>Input!AY13</f>
        <v>0.08</v>
      </c>
      <c r="AZ33" s="7">
        <f>Input!AZ13</f>
        <v>0.17</v>
      </c>
      <c r="BA33" s="7">
        <f>Input!BA13</f>
        <v>0.04</v>
      </c>
      <c r="BB33" s="7">
        <f>Input!BB13</f>
        <v>0.03</v>
      </c>
      <c r="BC33" s="7">
        <f>Input!BC13</f>
        <v>0.04</v>
      </c>
      <c r="BD33" s="7">
        <f>Input!BD13</f>
        <v>7.0000000000000007E-2</v>
      </c>
      <c r="BE33" s="7">
        <f>Input!BE13</f>
        <v>0.09</v>
      </c>
      <c r="BF33" s="7">
        <f>Input!BF13</f>
        <v>0.09</v>
      </c>
      <c r="BG33" s="7">
        <f>Input!BG13</f>
        <v>0.14000000000000001</v>
      </c>
      <c r="BH33" s="7">
        <f>Input!BH13</f>
        <v>0.08</v>
      </c>
      <c r="BI33" s="7">
        <f>Input!BI13</f>
        <v>0.05</v>
      </c>
      <c r="BJ33" s="7">
        <f>Input!BJ13</f>
        <v>0.12</v>
      </c>
      <c r="BK33" s="7">
        <f>Input!BK13</f>
        <v>0</v>
      </c>
      <c r="BL33" s="7">
        <f>Input!BL13</f>
        <v>0</v>
      </c>
      <c r="BM33" s="18">
        <f t="shared" si="0"/>
        <v>0.24249999999999999</v>
      </c>
      <c r="BN33" s="17">
        <f t="shared" si="1"/>
        <v>5.6505372690188918E-2</v>
      </c>
      <c r="BO33" s="2"/>
      <c r="BP33" s="2"/>
      <c r="BQ33" s="2"/>
      <c r="BR33" s="2"/>
      <c r="BS33" s="2"/>
    </row>
    <row r="34" spans="1:78" s="1" customFormat="1">
      <c r="A34" s="6" t="s">
        <v>85</v>
      </c>
      <c r="B34" s="54">
        <f>Input!B14</f>
        <v>0</v>
      </c>
      <c r="C34" s="7">
        <f>Input!C14</f>
        <v>0</v>
      </c>
      <c r="D34" s="7">
        <f>Input!D14</f>
        <v>0</v>
      </c>
      <c r="E34" s="7">
        <f>Input!E14</f>
        <v>0</v>
      </c>
      <c r="F34" s="7">
        <f>Input!F14</f>
        <v>0</v>
      </c>
      <c r="G34" s="7">
        <f>Input!G14</f>
        <v>0</v>
      </c>
      <c r="H34" s="7">
        <f>Input!H14</f>
        <v>0</v>
      </c>
      <c r="I34" s="7">
        <f>Input!I14</f>
        <v>0</v>
      </c>
      <c r="J34" s="7">
        <f>Input!J14</f>
        <v>0</v>
      </c>
      <c r="K34" s="54">
        <f>Input!K14</f>
        <v>0</v>
      </c>
      <c r="L34" s="7">
        <f>Input!L14</f>
        <v>0</v>
      </c>
      <c r="M34" s="7">
        <f>Input!M14</f>
        <v>0</v>
      </c>
      <c r="N34" s="7">
        <f>Input!N14</f>
        <v>0</v>
      </c>
      <c r="O34" s="7">
        <f>Input!O14</f>
        <v>0</v>
      </c>
      <c r="P34" s="7">
        <f>Input!P14</f>
        <v>0</v>
      </c>
      <c r="Q34" s="54">
        <f>Input!Q14</f>
        <v>0</v>
      </c>
      <c r="R34" s="7">
        <f>Input!R14</f>
        <v>0</v>
      </c>
      <c r="S34" s="7">
        <f>Input!S14</f>
        <v>0</v>
      </c>
      <c r="T34" s="7">
        <f>Input!T14</f>
        <v>0</v>
      </c>
      <c r="U34" s="7">
        <f>Input!U14</f>
        <v>0</v>
      </c>
      <c r="V34" s="7">
        <f>Input!V14</f>
        <v>0</v>
      </c>
      <c r="W34" s="7">
        <f>Input!W14</f>
        <v>0</v>
      </c>
      <c r="X34" s="7">
        <f>Input!X14</f>
        <v>0</v>
      </c>
      <c r="Y34" s="54">
        <f>Input!Y14</f>
        <v>0</v>
      </c>
      <c r="Z34" s="7">
        <f>Input!Z14</f>
        <v>0</v>
      </c>
      <c r="AA34" s="54">
        <f>Input!AA14</f>
        <v>0</v>
      </c>
      <c r="AB34" s="7">
        <f>Input!AB14</f>
        <v>0</v>
      </c>
      <c r="AC34" s="7">
        <f>Input!AC14</f>
        <v>0</v>
      </c>
      <c r="AD34" s="7">
        <f>Input!AD14</f>
        <v>0</v>
      </c>
      <c r="AE34" s="7">
        <f>Input!AE14</f>
        <v>0</v>
      </c>
      <c r="AF34" s="7">
        <f>Input!AF14</f>
        <v>0</v>
      </c>
      <c r="AG34" s="7">
        <f>Input!AG14</f>
        <v>0</v>
      </c>
      <c r="AH34" s="7">
        <f>Input!AH14</f>
        <v>0</v>
      </c>
      <c r="AI34" s="7">
        <f>Input!AI14</f>
        <v>0</v>
      </c>
      <c r="AJ34" s="7">
        <f>Input!AJ14</f>
        <v>0</v>
      </c>
      <c r="AK34" s="7">
        <f>Input!AK14</f>
        <v>0</v>
      </c>
      <c r="AL34" s="7">
        <f>Input!AL14</f>
        <v>0</v>
      </c>
      <c r="AM34" s="7">
        <f>Input!AM14</f>
        <v>0</v>
      </c>
      <c r="AN34" s="7">
        <f>Input!AN14</f>
        <v>0</v>
      </c>
      <c r="AO34" s="7">
        <f>Input!AO14</f>
        <v>0</v>
      </c>
      <c r="AP34" s="7">
        <f>Input!AP14</f>
        <v>0</v>
      </c>
      <c r="AQ34" s="7">
        <f>Input!AQ14</f>
        <v>0</v>
      </c>
      <c r="AR34" s="7">
        <f>Input!AR14</f>
        <v>0</v>
      </c>
      <c r="AS34" s="7">
        <f>Input!AS14</f>
        <v>0</v>
      </c>
      <c r="AT34" s="7">
        <f>Input!AT14</f>
        <v>0</v>
      </c>
      <c r="AU34" s="54">
        <f>Input!AU14</f>
        <v>0</v>
      </c>
      <c r="AV34" s="7">
        <f>Input!AV14</f>
        <v>0</v>
      </c>
      <c r="AW34" s="7">
        <f>Input!AW14</f>
        <v>0</v>
      </c>
      <c r="AX34" s="7">
        <f>Input!AX14</f>
        <v>0</v>
      </c>
      <c r="AY34" s="7">
        <f>Input!AY14</f>
        <v>0</v>
      </c>
      <c r="AZ34" s="7">
        <f>Input!AZ14</f>
        <v>0</v>
      </c>
      <c r="BA34" s="7">
        <f>Input!BA14</f>
        <v>0</v>
      </c>
      <c r="BB34" s="7">
        <f>Input!BB14</f>
        <v>0</v>
      </c>
      <c r="BC34" s="7">
        <f>Input!BC14</f>
        <v>0</v>
      </c>
      <c r="BD34" s="7">
        <f>Input!BD14</f>
        <v>0</v>
      </c>
      <c r="BE34" s="7">
        <f>Input!BE14</f>
        <v>0</v>
      </c>
      <c r="BF34" s="7">
        <f>Input!BF14</f>
        <v>0</v>
      </c>
      <c r="BG34" s="7">
        <f>Input!BG14</f>
        <v>0</v>
      </c>
      <c r="BH34" s="7">
        <f>Input!BH14</f>
        <v>0</v>
      </c>
      <c r="BI34" s="7">
        <f>Input!BI14</f>
        <v>0</v>
      </c>
      <c r="BJ34" s="7">
        <f>Input!BJ14</f>
        <v>0</v>
      </c>
      <c r="BK34" s="7">
        <f>Input!BK14</f>
        <v>0</v>
      </c>
      <c r="BL34" s="7">
        <f>Input!BL14</f>
        <v>0</v>
      </c>
      <c r="BM34" s="18">
        <f t="shared" si="0"/>
        <v>0</v>
      </c>
      <c r="BN34" s="17">
        <f t="shared" si="1"/>
        <v>0</v>
      </c>
      <c r="BO34" s="2"/>
      <c r="BP34" s="2"/>
      <c r="BQ34" s="2"/>
      <c r="BR34" s="2"/>
      <c r="BS34" s="2"/>
    </row>
    <row r="35" spans="1:78" s="1" customFormat="1">
      <c r="A35" s="6" t="s">
        <v>86</v>
      </c>
      <c r="B35" s="54">
        <f>Input!B15</f>
        <v>0</v>
      </c>
      <c r="C35" s="7">
        <f>Input!C15</f>
        <v>0</v>
      </c>
      <c r="D35" s="7">
        <f>Input!D15</f>
        <v>0</v>
      </c>
      <c r="E35" s="7">
        <f>Input!E15</f>
        <v>0</v>
      </c>
      <c r="F35" s="7">
        <f>Input!F15</f>
        <v>0</v>
      </c>
      <c r="G35" s="7">
        <f>Input!G15</f>
        <v>0</v>
      </c>
      <c r="H35" s="7">
        <f>Input!H15</f>
        <v>0</v>
      </c>
      <c r="I35" s="7">
        <f>Input!I15</f>
        <v>0</v>
      </c>
      <c r="J35" s="7">
        <f>Input!J15</f>
        <v>0</v>
      </c>
      <c r="K35" s="54">
        <f>Input!K15</f>
        <v>0</v>
      </c>
      <c r="L35" s="7">
        <f>Input!L15</f>
        <v>0</v>
      </c>
      <c r="M35" s="7">
        <f>Input!M15</f>
        <v>0</v>
      </c>
      <c r="N35" s="7">
        <f>Input!N15</f>
        <v>0</v>
      </c>
      <c r="O35" s="7">
        <f>Input!O15</f>
        <v>0</v>
      </c>
      <c r="P35" s="7">
        <f>Input!P15</f>
        <v>0</v>
      </c>
      <c r="Q35" s="54">
        <f>Input!Q15</f>
        <v>0</v>
      </c>
      <c r="R35" s="7">
        <f>Input!R15</f>
        <v>0</v>
      </c>
      <c r="S35" s="7">
        <f>Input!S15</f>
        <v>0</v>
      </c>
      <c r="T35" s="7">
        <f>Input!T15</f>
        <v>0</v>
      </c>
      <c r="U35" s="7">
        <f>Input!U15</f>
        <v>0</v>
      </c>
      <c r="V35" s="7">
        <f>Input!V15</f>
        <v>0</v>
      </c>
      <c r="W35" s="7">
        <f>Input!W15</f>
        <v>0</v>
      </c>
      <c r="X35" s="7">
        <f>Input!X15</f>
        <v>0</v>
      </c>
      <c r="Y35" s="54">
        <f>Input!Y15</f>
        <v>0</v>
      </c>
      <c r="Z35" s="7">
        <f>Input!Z15</f>
        <v>0</v>
      </c>
      <c r="AA35" s="54">
        <f>Input!AA15</f>
        <v>0</v>
      </c>
      <c r="AB35" s="7">
        <f>Input!AB15</f>
        <v>0</v>
      </c>
      <c r="AC35" s="7">
        <f>Input!AC15</f>
        <v>0</v>
      </c>
      <c r="AD35" s="7">
        <f>Input!AD15</f>
        <v>0</v>
      </c>
      <c r="AE35" s="7">
        <f>Input!AE15</f>
        <v>0</v>
      </c>
      <c r="AF35" s="7">
        <f>Input!AF15</f>
        <v>0</v>
      </c>
      <c r="AG35" s="7">
        <f>Input!AG15</f>
        <v>0</v>
      </c>
      <c r="AH35" s="7">
        <f>Input!AH15</f>
        <v>0</v>
      </c>
      <c r="AI35" s="7">
        <f>Input!AI15</f>
        <v>0</v>
      </c>
      <c r="AJ35" s="7">
        <f>Input!AJ15</f>
        <v>0</v>
      </c>
      <c r="AK35" s="7">
        <f>Input!AK15</f>
        <v>0</v>
      </c>
      <c r="AL35" s="7">
        <f>Input!AL15</f>
        <v>0</v>
      </c>
      <c r="AM35" s="7">
        <f>Input!AM15</f>
        <v>0</v>
      </c>
      <c r="AN35" s="7">
        <f>Input!AN15</f>
        <v>0</v>
      </c>
      <c r="AO35" s="7">
        <f>Input!AO15</f>
        <v>0</v>
      </c>
      <c r="AP35" s="7">
        <f>Input!AP15</f>
        <v>0</v>
      </c>
      <c r="AQ35" s="7">
        <f>Input!AQ15</f>
        <v>0</v>
      </c>
      <c r="AR35" s="7">
        <f>Input!AR15</f>
        <v>0</v>
      </c>
      <c r="AS35" s="7">
        <f>Input!AS15</f>
        <v>0</v>
      </c>
      <c r="AT35" s="7">
        <f>Input!AT15</f>
        <v>0</v>
      </c>
      <c r="AU35" s="54">
        <f>Input!AU15</f>
        <v>0</v>
      </c>
      <c r="AV35" s="7">
        <f>Input!AV15</f>
        <v>0</v>
      </c>
      <c r="AW35" s="7">
        <f>Input!AW15</f>
        <v>0</v>
      </c>
      <c r="AX35" s="7">
        <f>Input!AX15</f>
        <v>0</v>
      </c>
      <c r="AY35" s="7">
        <f>Input!AY15</f>
        <v>0</v>
      </c>
      <c r="AZ35" s="7">
        <f>Input!AZ15</f>
        <v>0</v>
      </c>
      <c r="BA35" s="7">
        <f>Input!BA15</f>
        <v>0</v>
      </c>
      <c r="BB35" s="7">
        <f>Input!BB15</f>
        <v>0</v>
      </c>
      <c r="BC35" s="7">
        <f>Input!BC15</f>
        <v>0</v>
      </c>
      <c r="BD35" s="7">
        <f>Input!BD15</f>
        <v>0</v>
      </c>
      <c r="BE35" s="7">
        <f>Input!BE15</f>
        <v>0</v>
      </c>
      <c r="BF35" s="7">
        <f>Input!BF15</f>
        <v>0</v>
      </c>
      <c r="BG35" s="7">
        <f>Input!BG15</f>
        <v>0</v>
      </c>
      <c r="BH35" s="7">
        <f>Input!BH15</f>
        <v>0</v>
      </c>
      <c r="BI35" s="7">
        <f>Input!BI15</f>
        <v>0</v>
      </c>
      <c r="BJ35" s="7">
        <f>Input!BJ15</f>
        <v>0</v>
      </c>
      <c r="BK35" s="7">
        <f>Input!BK15</f>
        <v>0</v>
      </c>
      <c r="BL35" s="7">
        <f>Input!BL15</f>
        <v>0</v>
      </c>
      <c r="BM35" s="18">
        <f t="shared" si="0"/>
        <v>0</v>
      </c>
      <c r="BN35" s="17">
        <f t="shared" si="1"/>
        <v>0</v>
      </c>
      <c r="BO35" s="2"/>
      <c r="BP35" s="2"/>
      <c r="BQ35" s="2"/>
      <c r="BR35" s="2"/>
      <c r="BS35" s="2"/>
    </row>
    <row r="36" spans="1:78" s="1" customFormat="1">
      <c r="A36" s="6" t="s">
        <v>87</v>
      </c>
      <c r="B36" s="54">
        <f>Input!B16</f>
        <v>0</v>
      </c>
      <c r="C36" s="7">
        <f>Input!C16</f>
        <v>0</v>
      </c>
      <c r="D36" s="7">
        <f>Input!D16</f>
        <v>0</v>
      </c>
      <c r="E36" s="7">
        <f>Input!E16</f>
        <v>0</v>
      </c>
      <c r="F36" s="7">
        <f>Input!F16</f>
        <v>0</v>
      </c>
      <c r="G36" s="7">
        <f>Input!G16</f>
        <v>0</v>
      </c>
      <c r="H36" s="7">
        <f>Input!H16</f>
        <v>0</v>
      </c>
      <c r="I36" s="7">
        <f>Input!I16</f>
        <v>0</v>
      </c>
      <c r="J36" s="7">
        <f>Input!J16</f>
        <v>0</v>
      </c>
      <c r="K36" s="54">
        <f>Input!K16</f>
        <v>0</v>
      </c>
      <c r="L36" s="7">
        <f>Input!L16</f>
        <v>0</v>
      </c>
      <c r="M36" s="7">
        <f>Input!M16</f>
        <v>0</v>
      </c>
      <c r="N36" s="7">
        <f>Input!N16</f>
        <v>0</v>
      </c>
      <c r="O36" s="7">
        <f>Input!O16</f>
        <v>0</v>
      </c>
      <c r="P36" s="7">
        <f>Input!P16</f>
        <v>0</v>
      </c>
      <c r="Q36" s="54">
        <f>Input!Q16</f>
        <v>0</v>
      </c>
      <c r="R36" s="7">
        <f>Input!R16</f>
        <v>0</v>
      </c>
      <c r="S36" s="7">
        <f>Input!S16</f>
        <v>0</v>
      </c>
      <c r="T36" s="7">
        <f>Input!T16</f>
        <v>0</v>
      </c>
      <c r="U36" s="7">
        <f>Input!U16</f>
        <v>0</v>
      </c>
      <c r="V36" s="7">
        <f>Input!V16</f>
        <v>0</v>
      </c>
      <c r="W36" s="7">
        <f>Input!W16</f>
        <v>0</v>
      </c>
      <c r="X36" s="7">
        <f>Input!X16</f>
        <v>0</v>
      </c>
      <c r="Y36" s="54">
        <f>Input!Y16</f>
        <v>0</v>
      </c>
      <c r="Z36" s="7">
        <f>Input!Z16</f>
        <v>0</v>
      </c>
      <c r="AA36" s="54">
        <f>Input!AA16</f>
        <v>0</v>
      </c>
      <c r="AB36" s="7">
        <f>Input!AB16</f>
        <v>0</v>
      </c>
      <c r="AC36" s="7">
        <f>Input!AC16</f>
        <v>0</v>
      </c>
      <c r="AD36" s="7">
        <f>Input!AD16</f>
        <v>0</v>
      </c>
      <c r="AE36" s="7">
        <f>Input!AE16</f>
        <v>0</v>
      </c>
      <c r="AF36" s="7">
        <f>Input!AF16</f>
        <v>0</v>
      </c>
      <c r="AG36" s="7">
        <f>Input!AG16</f>
        <v>0</v>
      </c>
      <c r="AH36" s="7">
        <f>Input!AH16</f>
        <v>0</v>
      </c>
      <c r="AI36" s="7">
        <f>Input!AI16</f>
        <v>0</v>
      </c>
      <c r="AJ36" s="7">
        <f>Input!AJ16</f>
        <v>0</v>
      </c>
      <c r="AK36" s="7">
        <f>Input!AK16</f>
        <v>0</v>
      </c>
      <c r="AL36" s="7">
        <f>Input!AL16</f>
        <v>0</v>
      </c>
      <c r="AM36" s="7">
        <f>Input!AM16</f>
        <v>0</v>
      </c>
      <c r="AN36" s="7">
        <f>Input!AN16</f>
        <v>0</v>
      </c>
      <c r="AO36" s="7">
        <f>Input!AO16</f>
        <v>0</v>
      </c>
      <c r="AP36" s="7">
        <f>Input!AP16</f>
        <v>0</v>
      </c>
      <c r="AQ36" s="7">
        <f>Input!AQ16</f>
        <v>0</v>
      </c>
      <c r="AR36" s="7">
        <f>Input!AR16</f>
        <v>0</v>
      </c>
      <c r="AS36" s="7">
        <f>Input!AS16</f>
        <v>0</v>
      </c>
      <c r="AT36" s="7">
        <f>Input!AT16</f>
        <v>0</v>
      </c>
      <c r="AU36" s="54">
        <f>Input!AU16</f>
        <v>0</v>
      </c>
      <c r="AV36" s="7">
        <f>Input!AV16</f>
        <v>0</v>
      </c>
      <c r="AW36" s="7">
        <f>Input!AW16</f>
        <v>0</v>
      </c>
      <c r="AX36" s="7">
        <f>Input!AX16</f>
        <v>0</v>
      </c>
      <c r="AY36" s="7">
        <f>Input!AY16</f>
        <v>0</v>
      </c>
      <c r="AZ36" s="7">
        <f>Input!AZ16</f>
        <v>0</v>
      </c>
      <c r="BA36" s="7">
        <f>Input!BA16</f>
        <v>0</v>
      </c>
      <c r="BB36" s="7">
        <f>Input!BB16</f>
        <v>0</v>
      </c>
      <c r="BC36" s="7">
        <f>Input!BC16</f>
        <v>0</v>
      </c>
      <c r="BD36" s="7">
        <f>Input!BD16</f>
        <v>0</v>
      </c>
      <c r="BE36" s="7">
        <f>Input!BE16</f>
        <v>0</v>
      </c>
      <c r="BF36" s="7">
        <f>Input!BF16</f>
        <v>0</v>
      </c>
      <c r="BG36" s="7">
        <f>Input!BG16</f>
        <v>0</v>
      </c>
      <c r="BH36" s="7">
        <f>Input!BH16</f>
        <v>0</v>
      </c>
      <c r="BI36" s="7">
        <f>Input!BI16</f>
        <v>0</v>
      </c>
      <c r="BJ36" s="7">
        <f>Input!BJ16</f>
        <v>0</v>
      </c>
      <c r="BK36" s="7">
        <f>Input!BK16</f>
        <v>0</v>
      </c>
      <c r="BL36" s="7">
        <f>Input!BL16</f>
        <v>0</v>
      </c>
      <c r="BM36" s="18">
        <f t="shared" si="0"/>
        <v>0</v>
      </c>
      <c r="BN36" s="17">
        <f t="shared" si="1"/>
        <v>0</v>
      </c>
      <c r="BO36" s="2"/>
      <c r="BP36" s="2"/>
      <c r="BQ36" s="2"/>
      <c r="BR36" s="2"/>
      <c r="BS36" s="2"/>
    </row>
    <row r="37" spans="1:78" s="1" customFormat="1" ht="14" thickBot="1">
      <c r="A37" s="14"/>
      <c r="B37" s="56"/>
      <c r="C37" s="15"/>
      <c r="D37" s="15"/>
      <c r="E37" s="15"/>
      <c r="F37" s="15"/>
      <c r="G37" s="15"/>
      <c r="H37" s="15"/>
      <c r="I37" s="15"/>
      <c r="J37" s="15"/>
      <c r="K37" s="56"/>
      <c r="L37" s="15"/>
      <c r="M37" s="15"/>
      <c r="N37" s="15"/>
      <c r="O37" s="15"/>
      <c r="P37" s="15"/>
      <c r="Q37" s="56"/>
      <c r="R37" s="15"/>
      <c r="S37" s="15"/>
      <c r="T37" s="15"/>
      <c r="U37" s="15"/>
      <c r="V37" s="15"/>
      <c r="W37" s="15"/>
      <c r="X37" s="15"/>
      <c r="Y37" s="56"/>
      <c r="Z37" s="15"/>
      <c r="AA37" s="56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56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9"/>
      <c r="BN37" s="20"/>
      <c r="BO37" s="2"/>
      <c r="BP37" s="2"/>
      <c r="BQ37" s="2"/>
      <c r="BR37" s="2"/>
      <c r="BS37" s="2"/>
    </row>
    <row r="38" spans="1:78" s="1" customFormat="1">
      <c r="A38" s="1" t="s">
        <v>115</v>
      </c>
      <c r="B38" s="54">
        <f>SUM(B23:B33)</f>
        <v>95.519999999999982</v>
      </c>
      <c r="C38" s="2">
        <f t="shared" ref="C38:BM38" si="2">SUM(C23:C33)</f>
        <v>96.37</v>
      </c>
      <c r="D38" s="2">
        <f t="shared" si="2"/>
        <v>97.26</v>
      </c>
      <c r="E38" s="2">
        <f t="shared" si="2"/>
        <v>95.570000000000007</v>
      </c>
      <c r="F38" s="2">
        <f t="shared" si="2"/>
        <v>96.67</v>
      </c>
      <c r="G38" s="2">
        <f t="shared" si="2"/>
        <v>96.820000000000007</v>
      </c>
      <c r="H38" s="2">
        <f t="shared" si="2"/>
        <v>96.45</v>
      </c>
      <c r="I38" s="2">
        <f t="shared" si="2"/>
        <v>97.259999999999991</v>
      </c>
      <c r="J38" s="2">
        <f t="shared" si="2"/>
        <v>96.73</v>
      </c>
      <c r="K38" s="54">
        <f t="shared" si="2"/>
        <v>92.399999999999991</v>
      </c>
      <c r="L38" s="2">
        <f t="shared" si="2"/>
        <v>97.260000000000019</v>
      </c>
      <c r="M38" s="2">
        <f t="shared" si="2"/>
        <v>96.46</v>
      </c>
      <c r="N38" s="2">
        <f t="shared" si="2"/>
        <v>96.66</v>
      </c>
      <c r="O38" s="2">
        <f t="shared" si="2"/>
        <v>97.220000000000013</v>
      </c>
      <c r="P38" s="2">
        <f t="shared" si="2"/>
        <v>95.9</v>
      </c>
      <c r="Q38" s="54">
        <f t="shared" si="2"/>
        <v>96.330000000000013</v>
      </c>
      <c r="R38" s="2">
        <f t="shared" si="2"/>
        <v>96.740000000000009</v>
      </c>
      <c r="S38" s="2">
        <f t="shared" si="2"/>
        <v>96.77</v>
      </c>
      <c r="T38" s="2">
        <f t="shared" si="2"/>
        <v>96.829999999999984</v>
      </c>
      <c r="U38" s="2">
        <f t="shared" ref="U38:AF38" si="3">SUM(U23:U33)</f>
        <v>96.19</v>
      </c>
      <c r="V38" s="2">
        <f t="shared" si="3"/>
        <v>96.610000000000014</v>
      </c>
      <c r="W38" s="2">
        <f t="shared" si="3"/>
        <v>95.649999999999991</v>
      </c>
      <c r="X38" s="2">
        <f t="shared" si="3"/>
        <v>96.14</v>
      </c>
      <c r="Y38" s="54">
        <f t="shared" si="3"/>
        <v>96.52</v>
      </c>
      <c r="Z38" s="2">
        <f t="shared" si="3"/>
        <v>96.58</v>
      </c>
      <c r="AA38" s="54">
        <f t="shared" si="3"/>
        <v>96.480000000000018</v>
      </c>
      <c r="AB38" s="2">
        <f t="shared" si="3"/>
        <v>97.76</v>
      </c>
      <c r="AC38" s="2">
        <f t="shared" si="3"/>
        <v>97.44</v>
      </c>
      <c r="AD38" s="2">
        <f t="shared" si="3"/>
        <v>97.25</v>
      </c>
      <c r="AE38" s="2">
        <f t="shared" si="3"/>
        <v>97.34</v>
      </c>
      <c r="AF38" s="2">
        <f t="shared" si="3"/>
        <v>97.250000000000014</v>
      </c>
      <c r="AG38" s="2">
        <f t="shared" ref="AG38:BB38" si="4">SUM(AG23:AG33)</f>
        <v>97.47</v>
      </c>
      <c r="AH38" s="2">
        <f t="shared" si="4"/>
        <v>98.26</v>
      </c>
      <c r="AI38" s="2">
        <f t="shared" si="4"/>
        <v>96.639999999999986</v>
      </c>
      <c r="AJ38" s="2">
        <f t="shared" si="4"/>
        <v>97.100000000000009</v>
      </c>
      <c r="AK38" s="2">
        <f t="shared" si="4"/>
        <v>96.94</v>
      </c>
      <c r="AL38" s="2">
        <f t="shared" si="4"/>
        <v>96.52</v>
      </c>
      <c r="AM38" s="2">
        <f t="shared" si="4"/>
        <v>97.260000000000019</v>
      </c>
      <c r="AN38" s="2">
        <f t="shared" si="4"/>
        <v>96.600000000000009</v>
      </c>
      <c r="AO38" s="2">
        <f t="shared" si="4"/>
        <v>96.72</v>
      </c>
      <c r="AP38" s="2">
        <f t="shared" si="4"/>
        <v>97.009999999999991</v>
      </c>
      <c r="AQ38" s="2">
        <f t="shared" si="4"/>
        <v>96.960000000000008</v>
      </c>
      <c r="AR38" s="2">
        <f t="shared" si="4"/>
        <v>96.95</v>
      </c>
      <c r="AS38" s="2">
        <f t="shared" si="4"/>
        <v>97.29</v>
      </c>
      <c r="AT38" s="2">
        <f t="shared" si="4"/>
        <v>96.330000000000013</v>
      </c>
      <c r="AU38" s="54">
        <f t="shared" si="4"/>
        <v>96.569999999999979</v>
      </c>
      <c r="AV38" s="2">
        <f t="shared" si="4"/>
        <v>96.95</v>
      </c>
      <c r="AW38" s="2">
        <f t="shared" si="4"/>
        <v>96.12</v>
      </c>
      <c r="AX38" s="2">
        <f t="shared" si="4"/>
        <v>95.179999999999993</v>
      </c>
      <c r="AY38" s="2">
        <f t="shared" si="4"/>
        <v>96.490000000000009</v>
      </c>
      <c r="AZ38" s="2">
        <f t="shared" si="4"/>
        <v>97.07</v>
      </c>
      <c r="BA38" s="2">
        <f t="shared" si="4"/>
        <v>96.660000000000011</v>
      </c>
      <c r="BB38" s="2">
        <f t="shared" si="4"/>
        <v>96.55</v>
      </c>
      <c r="BC38" s="2">
        <f t="shared" ref="BC38:BL38" si="5">SUM(BC23:BC33)</f>
        <v>95.26</v>
      </c>
      <c r="BD38" s="2">
        <f t="shared" si="5"/>
        <v>96.43</v>
      </c>
      <c r="BE38" s="2">
        <f t="shared" si="5"/>
        <v>97.070000000000007</v>
      </c>
      <c r="BF38" s="2">
        <f t="shared" si="5"/>
        <v>96.47</v>
      </c>
      <c r="BG38" s="2">
        <f t="shared" si="5"/>
        <v>96.24</v>
      </c>
      <c r="BH38" s="2">
        <f t="shared" si="5"/>
        <v>96.58</v>
      </c>
      <c r="BI38" s="2">
        <f t="shared" si="5"/>
        <v>95.99</v>
      </c>
      <c r="BJ38" s="2">
        <f t="shared" si="5"/>
        <v>96.140000000000015</v>
      </c>
      <c r="BK38" s="2">
        <f t="shared" si="5"/>
        <v>0</v>
      </c>
      <c r="BL38" s="2">
        <f t="shared" si="5"/>
        <v>0</v>
      </c>
      <c r="BM38" s="2">
        <f t="shared" si="2"/>
        <v>96.490000000000009</v>
      </c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1" customFormat="1">
      <c r="B39" s="54"/>
      <c r="C39" s="2"/>
      <c r="D39" s="2"/>
      <c r="E39" s="2"/>
      <c r="F39" s="2"/>
      <c r="G39" s="2"/>
      <c r="H39" s="2"/>
      <c r="I39" s="2"/>
      <c r="J39" s="2"/>
      <c r="K39" s="54"/>
      <c r="L39" s="2"/>
      <c r="M39" s="2"/>
      <c r="N39" s="2"/>
      <c r="O39" s="2"/>
      <c r="P39" s="2"/>
      <c r="Q39" s="54"/>
      <c r="R39" s="2"/>
      <c r="S39" s="2"/>
      <c r="T39" s="2"/>
      <c r="U39" s="2"/>
      <c r="V39" s="2"/>
      <c r="W39" s="2"/>
      <c r="X39" s="2"/>
      <c r="Y39" s="54"/>
      <c r="Z39" s="2"/>
      <c r="AA39" s="54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54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1" customFormat="1">
      <c r="B40" s="54"/>
      <c r="C40" s="2"/>
      <c r="D40" s="2"/>
      <c r="E40" s="2"/>
      <c r="F40" s="2"/>
      <c r="G40" s="2"/>
      <c r="H40" s="2"/>
      <c r="I40" s="2"/>
      <c r="J40" s="2"/>
      <c r="K40" s="54"/>
      <c r="L40" s="2"/>
      <c r="M40" s="2"/>
      <c r="N40" s="2"/>
      <c r="O40" s="2"/>
      <c r="P40" s="2"/>
      <c r="Q40" s="54"/>
      <c r="R40" s="2"/>
      <c r="S40" s="2"/>
      <c r="T40" s="2"/>
      <c r="U40" s="2"/>
      <c r="V40" s="2"/>
      <c r="W40" s="2"/>
      <c r="X40" s="2"/>
      <c r="Y40" s="54"/>
      <c r="Z40" s="2"/>
      <c r="AA40" s="54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54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1" customFormat="1">
      <c r="A41" s="1" t="s">
        <v>110</v>
      </c>
      <c r="B41" s="54"/>
      <c r="C41" s="2"/>
      <c r="D41" s="2"/>
      <c r="E41" s="2"/>
      <c r="F41" s="2"/>
      <c r="G41" s="2"/>
      <c r="H41" s="2"/>
      <c r="I41" s="2"/>
      <c r="J41" s="2"/>
      <c r="K41" s="54"/>
      <c r="L41" s="2"/>
      <c r="M41" s="2"/>
      <c r="N41" s="2"/>
      <c r="O41" s="2"/>
      <c r="P41" s="2"/>
      <c r="Q41" s="54"/>
      <c r="R41" s="2"/>
      <c r="S41" s="2"/>
      <c r="T41" s="2"/>
      <c r="U41" s="2"/>
      <c r="V41" s="2"/>
      <c r="W41" s="2"/>
      <c r="X41" s="2"/>
      <c r="Y41" s="54"/>
      <c r="Z41" s="2"/>
      <c r="AA41" s="54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54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1" customFormat="1">
      <c r="A42" s="1" t="s">
        <v>116</v>
      </c>
      <c r="B42" s="54">
        <f>B23*$C4/$B4</f>
        <v>0.77296937416777634</v>
      </c>
      <c r="C42" s="2">
        <f t="shared" ref="C42:BM42" si="6">C23*$C4/$B4</f>
        <v>0.75266311584553924</v>
      </c>
      <c r="D42" s="2">
        <f t="shared" si="6"/>
        <v>0.74866844207723038</v>
      </c>
      <c r="E42" s="2">
        <f t="shared" si="6"/>
        <v>0.73285619174434091</v>
      </c>
      <c r="F42" s="2">
        <f t="shared" si="6"/>
        <v>0.74816910785619184</v>
      </c>
      <c r="G42" s="2">
        <f t="shared" si="6"/>
        <v>0.73618508655126491</v>
      </c>
      <c r="H42" s="2">
        <f t="shared" si="6"/>
        <v>0.74833555259653795</v>
      </c>
      <c r="I42" s="2">
        <f t="shared" si="6"/>
        <v>0.75449400798934751</v>
      </c>
      <c r="J42" s="2">
        <f t="shared" si="6"/>
        <v>0.76481358189081228</v>
      </c>
      <c r="K42" s="54">
        <f t="shared" si="6"/>
        <v>0.73551930758988016</v>
      </c>
      <c r="L42" s="2">
        <f t="shared" si="6"/>
        <v>0.75948735019973379</v>
      </c>
      <c r="M42" s="2">
        <f t="shared" si="6"/>
        <v>0.74450732356857519</v>
      </c>
      <c r="N42" s="2">
        <f t="shared" si="6"/>
        <v>0.76098535286284952</v>
      </c>
      <c r="O42" s="2">
        <f t="shared" si="6"/>
        <v>0.73751664447403464</v>
      </c>
      <c r="P42" s="2">
        <f t="shared" si="6"/>
        <v>0.74400798934753665</v>
      </c>
      <c r="Q42" s="54">
        <f t="shared" si="6"/>
        <v>0.85036617842876172</v>
      </c>
      <c r="R42" s="2">
        <f t="shared" si="6"/>
        <v>0.71421438082556588</v>
      </c>
      <c r="S42" s="2">
        <f t="shared" si="6"/>
        <v>0.71388149134487355</v>
      </c>
      <c r="T42" s="2">
        <f t="shared" si="6"/>
        <v>0.70922103861517982</v>
      </c>
      <c r="U42" s="2">
        <f t="shared" ref="U42:BK42" si="7">U23*$C4/$B4</f>
        <v>0.70023302263648468</v>
      </c>
      <c r="V42" s="2">
        <f t="shared" si="7"/>
        <v>0.70289613848202392</v>
      </c>
      <c r="W42" s="2">
        <f t="shared" si="7"/>
        <v>0.75815579227696406</v>
      </c>
      <c r="X42" s="2">
        <f t="shared" si="7"/>
        <v>0.73685086551264989</v>
      </c>
      <c r="Y42" s="54">
        <f t="shared" si="7"/>
        <v>0.68292276964047938</v>
      </c>
      <c r="Z42" s="2">
        <f t="shared" si="7"/>
        <v>0.73934753661784292</v>
      </c>
      <c r="AA42" s="54">
        <f t="shared" si="7"/>
        <v>0.78212383488681758</v>
      </c>
      <c r="AB42" s="2">
        <f t="shared" si="7"/>
        <v>0.73685086551264989</v>
      </c>
      <c r="AC42" s="2">
        <f t="shared" si="7"/>
        <v>0.72470039946737685</v>
      </c>
      <c r="AD42" s="2">
        <f t="shared" si="7"/>
        <v>0.71254993342210393</v>
      </c>
      <c r="AE42" s="2">
        <f t="shared" si="7"/>
        <v>0.70739014647137155</v>
      </c>
      <c r="AF42" s="2">
        <f t="shared" si="7"/>
        <v>0.71671105193075901</v>
      </c>
      <c r="AG42" s="2">
        <f t="shared" si="7"/>
        <v>0.70522636484687085</v>
      </c>
      <c r="AH42" s="2">
        <f t="shared" si="7"/>
        <v>0.72203728362183761</v>
      </c>
      <c r="AI42" s="2">
        <f t="shared" si="7"/>
        <v>0.70339547270306257</v>
      </c>
      <c r="AJ42" s="2">
        <f t="shared" si="7"/>
        <v>0.72020639147802934</v>
      </c>
      <c r="AK42" s="2">
        <f t="shared" si="7"/>
        <v>0.73102529960053264</v>
      </c>
      <c r="AL42" s="2">
        <f t="shared" si="7"/>
        <v>0.7242010652463382</v>
      </c>
      <c r="AM42" s="2">
        <f t="shared" si="7"/>
        <v>0.73685086551264989</v>
      </c>
      <c r="AN42" s="2">
        <f t="shared" si="7"/>
        <v>0.73551930758988016</v>
      </c>
      <c r="AO42" s="2">
        <f t="shared" si="7"/>
        <v>0.73685086551264989</v>
      </c>
      <c r="AP42" s="2">
        <f t="shared" si="7"/>
        <v>0.73718375499334221</v>
      </c>
      <c r="AQ42" s="2">
        <f t="shared" si="7"/>
        <v>0.74167776298268984</v>
      </c>
      <c r="AR42" s="2">
        <f t="shared" si="7"/>
        <v>0.73535286284953394</v>
      </c>
      <c r="AS42" s="2">
        <f t="shared" si="7"/>
        <v>0.73252330226364848</v>
      </c>
      <c r="AT42" s="2">
        <f t="shared" si="7"/>
        <v>0.73085885486018642</v>
      </c>
      <c r="AU42" s="54">
        <f t="shared" si="7"/>
        <v>0.76165113182423438</v>
      </c>
      <c r="AV42" s="2">
        <f t="shared" si="7"/>
        <v>0.73152463382157129</v>
      </c>
      <c r="AW42" s="2">
        <f t="shared" si="7"/>
        <v>0.7143808255659122</v>
      </c>
      <c r="AX42" s="2">
        <f t="shared" si="7"/>
        <v>0.72020639147802934</v>
      </c>
      <c r="AY42" s="2">
        <f t="shared" si="7"/>
        <v>0.72919440745672448</v>
      </c>
      <c r="AZ42" s="2">
        <f t="shared" si="7"/>
        <v>0.73768308921438086</v>
      </c>
      <c r="BA42" s="2">
        <f t="shared" si="7"/>
        <v>0.71970705725699069</v>
      </c>
      <c r="BB42" s="2">
        <f t="shared" si="7"/>
        <v>0.71787616511318253</v>
      </c>
      <c r="BC42" s="2">
        <f t="shared" si="7"/>
        <v>0.70406125166444733</v>
      </c>
      <c r="BD42" s="2">
        <f t="shared" si="7"/>
        <v>0.7133821571238349</v>
      </c>
      <c r="BE42" s="2">
        <f t="shared" si="7"/>
        <v>0.71271637816245004</v>
      </c>
      <c r="BF42" s="2">
        <f t="shared" si="7"/>
        <v>0.69490679094540619</v>
      </c>
      <c r="BG42" s="2">
        <f t="shared" si="7"/>
        <v>0.68675099866844203</v>
      </c>
      <c r="BH42" s="2">
        <f t="shared" si="7"/>
        <v>0.70938748335552593</v>
      </c>
      <c r="BI42" s="2">
        <f t="shared" si="7"/>
        <v>0.690745672436751</v>
      </c>
      <c r="BJ42" s="2">
        <f t="shared" si="7"/>
        <v>0.6960719041278296</v>
      </c>
      <c r="BK42" s="2">
        <f t="shared" si="7"/>
        <v>0</v>
      </c>
      <c r="BL42" s="2"/>
      <c r="BM42" s="2">
        <f t="shared" si="6"/>
        <v>0.74929260985352863</v>
      </c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1" customFormat="1">
      <c r="A43" s="1" t="s">
        <v>117</v>
      </c>
      <c r="B43" s="54">
        <f>B24*$C5/$B5</f>
        <v>5.5068836045056319E-3</v>
      </c>
      <c r="C43" s="2">
        <f t="shared" ref="C43:BM43" si="8">C24*$C5/$B5</f>
        <v>6.8836045056320403E-3</v>
      </c>
      <c r="D43" s="2">
        <f t="shared" si="8"/>
        <v>7.1339173967459313E-3</v>
      </c>
      <c r="E43" s="2">
        <f t="shared" si="8"/>
        <v>4.8811013767209007E-3</v>
      </c>
      <c r="F43" s="2">
        <f t="shared" si="8"/>
        <v>7.7596996245306625E-3</v>
      </c>
      <c r="G43" s="2">
        <f t="shared" si="8"/>
        <v>7.2590738423028772E-3</v>
      </c>
      <c r="H43" s="2">
        <f t="shared" si="8"/>
        <v>7.5093867334167699E-3</v>
      </c>
      <c r="I43" s="2">
        <f t="shared" si="8"/>
        <v>7.6345431789737166E-3</v>
      </c>
      <c r="J43" s="2">
        <f t="shared" si="8"/>
        <v>6.1326658322903623E-3</v>
      </c>
      <c r="K43" s="54">
        <f t="shared" si="8"/>
        <v>5.5068836045056319E-3</v>
      </c>
      <c r="L43" s="2">
        <f t="shared" si="8"/>
        <v>7.5093867334167699E-3</v>
      </c>
      <c r="M43" s="2">
        <f t="shared" si="8"/>
        <v>7.8848560700876084E-3</v>
      </c>
      <c r="N43" s="2">
        <f t="shared" si="8"/>
        <v>7.8848560700876084E-3</v>
      </c>
      <c r="O43" s="2">
        <f t="shared" si="8"/>
        <v>9.8873591989987481E-3</v>
      </c>
      <c r="P43" s="2">
        <f t="shared" si="8"/>
        <v>1.7146433041301628E-2</v>
      </c>
      <c r="Q43" s="54">
        <f t="shared" si="8"/>
        <v>1.0012515644555694E-3</v>
      </c>
      <c r="R43" s="2">
        <f t="shared" si="8"/>
        <v>2.0400500625782227E-2</v>
      </c>
      <c r="S43" s="2">
        <f t="shared" si="8"/>
        <v>1.9899874843554443E-2</v>
      </c>
      <c r="T43" s="2">
        <f t="shared" si="8"/>
        <v>1.9899874843554443E-2</v>
      </c>
      <c r="U43" s="2">
        <f t="shared" ref="U43:BK43" si="9">U24*$C5/$B5</f>
        <v>1.9399249061326656E-2</v>
      </c>
      <c r="V43" s="2">
        <f t="shared" si="9"/>
        <v>1.8648310387984979E-2</v>
      </c>
      <c r="W43" s="2">
        <f t="shared" si="9"/>
        <v>1.0638297872340425E-2</v>
      </c>
      <c r="X43" s="2">
        <f t="shared" si="9"/>
        <v>1.076345431789737E-2</v>
      </c>
      <c r="Y43" s="54">
        <f t="shared" si="9"/>
        <v>1.5519399249061325E-2</v>
      </c>
      <c r="Z43" s="2">
        <f t="shared" si="9"/>
        <v>7.8848560700876084E-3</v>
      </c>
      <c r="AA43" s="54">
        <f t="shared" si="9"/>
        <v>1.1514392991239049E-2</v>
      </c>
      <c r="AB43" s="2">
        <f t="shared" si="9"/>
        <v>2.8035043804755945E-2</v>
      </c>
      <c r="AC43" s="2">
        <f t="shared" si="9"/>
        <v>3.103879849812265E-2</v>
      </c>
      <c r="AD43" s="2">
        <f t="shared" si="9"/>
        <v>3.1539424280350434E-2</v>
      </c>
      <c r="AE43" s="2">
        <f t="shared" si="9"/>
        <v>3.1664580725907381E-2</v>
      </c>
      <c r="AF43" s="2">
        <f t="shared" si="9"/>
        <v>3.128911138923654E-2</v>
      </c>
      <c r="AG43" s="2">
        <f t="shared" si="9"/>
        <v>3.2916145181476841E-2</v>
      </c>
      <c r="AH43" s="2">
        <f t="shared" si="9"/>
        <v>2.9286608260325402E-2</v>
      </c>
      <c r="AI43" s="2">
        <f t="shared" si="9"/>
        <v>3.2916145181476841E-2</v>
      </c>
      <c r="AJ43" s="2">
        <f t="shared" si="9"/>
        <v>2.9536921151439296E-2</v>
      </c>
      <c r="AK43" s="2">
        <f t="shared" si="9"/>
        <v>9.6370463078848563E-3</v>
      </c>
      <c r="AL43" s="2">
        <f t="shared" si="9"/>
        <v>1.1264080100125156E-2</v>
      </c>
      <c r="AM43" s="2">
        <f t="shared" si="9"/>
        <v>9.7622027534418013E-3</v>
      </c>
      <c r="AN43" s="2">
        <f t="shared" si="9"/>
        <v>9.0112640801001242E-3</v>
      </c>
      <c r="AO43" s="2">
        <f t="shared" si="9"/>
        <v>9.7622027534418013E-3</v>
      </c>
      <c r="AP43" s="2">
        <f t="shared" si="9"/>
        <v>1.0888610763454317E-2</v>
      </c>
      <c r="AQ43" s="2">
        <f t="shared" si="9"/>
        <v>1.1889862327909886E-2</v>
      </c>
      <c r="AR43" s="2">
        <f t="shared" si="9"/>
        <v>1.1013767209011264E-2</v>
      </c>
      <c r="AS43" s="2">
        <f t="shared" si="9"/>
        <v>1.2140175219023778E-2</v>
      </c>
      <c r="AT43" s="2">
        <f t="shared" si="9"/>
        <v>1.1639549436795994E-2</v>
      </c>
      <c r="AU43" s="54">
        <f t="shared" si="9"/>
        <v>7.5093867334167699E-3</v>
      </c>
      <c r="AV43" s="2">
        <f t="shared" si="9"/>
        <v>1.3141426783479349E-2</v>
      </c>
      <c r="AW43" s="2">
        <f t="shared" si="9"/>
        <v>1.0012515644555695E-2</v>
      </c>
      <c r="AX43" s="2">
        <f t="shared" si="9"/>
        <v>9.5118898623279095E-3</v>
      </c>
      <c r="AY43" s="2">
        <f t="shared" si="9"/>
        <v>1.3016270337922402E-2</v>
      </c>
      <c r="AZ43" s="2">
        <f t="shared" si="9"/>
        <v>1.1514392991239049E-2</v>
      </c>
      <c r="BA43" s="2">
        <f t="shared" si="9"/>
        <v>1.8648310387984979E-2</v>
      </c>
      <c r="BB43" s="2">
        <f t="shared" si="9"/>
        <v>1.8898623279098872E-2</v>
      </c>
      <c r="BC43" s="2">
        <f t="shared" si="9"/>
        <v>1.8022528160200248E-2</v>
      </c>
      <c r="BD43" s="2">
        <f t="shared" si="9"/>
        <v>1.7271589486858571E-2</v>
      </c>
      <c r="BE43" s="2">
        <f t="shared" si="9"/>
        <v>1.9524405506883603E-2</v>
      </c>
      <c r="BF43" s="2">
        <f t="shared" si="9"/>
        <v>2.2778473091364205E-2</v>
      </c>
      <c r="BG43" s="2">
        <f t="shared" si="9"/>
        <v>2.3404255319148935E-2</v>
      </c>
      <c r="BH43" s="2">
        <f t="shared" si="9"/>
        <v>1.9649561952440549E-2</v>
      </c>
      <c r="BI43" s="2">
        <f t="shared" si="9"/>
        <v>2.4780976220275343E-2</v>
      </c>
      <c r="BJ43" s="2">
        <f t="shared" si="9"/>
        <v>2.4280350438047556E-2</v>
      </c>
      <c r="BK43" s="2">
        <f t="shared" si="9"/>
        <v>0</v>
      </c>
      <c r="BL43" s="2"/>
      <c r="BM43" s="2">
        <f t="shared" si="8"/>
        <v>6.821026282853567E-3</v>
      </c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1" customFormat="1">
      <c r="A44" s="1" t="s">
        <v>118</v>
      </c>
      <c r="B44" s="54">
        <f>B25*$C6/$B6</f>
        <v>6.5793455919700402E-4</v>
      </c>
      <c r="C44" s="2">
        <f t="shared" ref="C44:BM44" si="10">C25*$C6/$B6</f>
        <v>5.2634764735760321E-4</v>
      </c>
      <c r="D44" s="2">
        <f t="shared" si="10"/>
        <v>3.9476073551820241E-4</v>
      </c>
      <c r="E44" s="2">
        <f t="shared" si="10"/>
        <v>6.5793455919700402E-4</v>
      </c>
      <c r="F44" s="2">
        <f t="shared" si="10"/>
        <v>3.9476073551820241E-4</v>
      </c>
      <c r="G44" s="2">
        <f t="shared" si="10"/>
        <v>2.6317382367880161E-4</v>
      </c>
      <c r="H44" s="2">
        <f t="shared" si="10"/>
        <v>9.2110838287580573E-4</v>
      </c>
      <c r="I44" s="2">
        <f t="shared" si="10"/>
        <v>6.5793455919700402E-4</v>
      </c>
      <c r="J44" s="2">
        <f t="shared" si="10"/>
        <v>7.8952147103640482E-4</v>
      </c>
      <c r="K44" s="54">
        <f t="shared" si="10"/>
        <v>1.315869118394008E-4</v>
      </c>
      <c r="L44" s="2">
        <f t="shared" si="10"/>
        <v>6.5793455919700402E-4</v>
      </c>
      <c r="M44" s="2">
        <f t="shared" si="10"/>
        <v>5.2634764735760321E-4</v>
      </c>
      <c r="N44" s="2">
        <f t="shared" si="10"/>
        <v>7.8952147103640482E-4</v>
      </c>
      <c r="O44" s="2">
        <f t="shared" si="10"/>
        <v>5.2634764735760321E-4</v>
      </c>
      <c r="P44" s="2">
        <f t="shared" si="10"/>
        <v>1.1842822065546072E-3</v>
      </c>
      <c r="Q44" s="54">
        <f t="shared" si="10"/>
        <v>2.6317382367880161E-4</v>
      </c>
      <c r="R44" s="2">
        <f t="shared" si="10"/>
        <v>1.4474560302334088E-3</v>
      </c>
      <c r="S44" s="2">
        <f t="shared" si="10"/>
        <v>1.4474560302334088E-3</v>
      </c>
      <c r="T44" s="2">
        <f t="shared" si="10"/>
        <v>1.315869118394008E-3</v>
      </c>
      <c r="U44" s="2">
        <f t="shared" ref="U44:BK44" si="11">U25*$C6/$B6</f>
        <v>1.4474560302334088E-3</v>
      </c>
      <c r="V44" s="2">
        <f t="shared" si="11"/>
        <v>1.315869118394008E-3</v>
      </c>
      <c r="W44" s="2">
        <f t="shared" si="11"/>
        <v>9.2110838287580573E-4</v>
      </c>
      <c r="X44" s="2">
        <f t="shared" si="11"/>
        <v>9.2110838287580573E-4</v>
      </c>
      <c r="Y44" s="54">
        <f t="shared" si="11"/>
        <v>2.2369775012698137E-3</v>
      </c>
      <c r="Z44" s="2">
        <f t="shared" si="11"/>
        <v>1.1842822065546072E-3</v>
      </c>
      <c r="AA44" s="54">
        <f t="shared" si="11"/>
        <v>1.1842822065546072E-3</v>
      </c>
      <c r="AB44" s="2">
        <f t="shared" si="11"/>
        <v>1.4474560302334088E-3</v>
      </c>
      <c r="AC44" s="2">
        <f t="shared" si="11"/>
        <v>3.2896727959850201E-3</v>
      </c>
      <c r="AD44" s="2">
        <f t="shared" si="11"/>
        <v>3.0264989723062185E-3</v>
      </c>
      <c r="AE44" s="2">
        <f t="shared" si="11"/>
        <v>1.4474560302334088E-3</v>
      </c>
      <c r="AF44" s="2">
        <f t="shared" si="11"/>
        <v>1.973803677591012E-3</v>
      </c>
      <c r="AG44" s="2">
        <f t="shared" si="11"/>
        <v>7.8952147103640482E-4</v>
      </c>
      <c r="AH44" s="2">
        <f t="shared" si="11"/>
        <v>2.6317382367880161E-4</v>
      </c>
      <c r="AI44" s="2">
        <f t="shared" si="11"/>
        <v>6.5793455919700402E-4</v>
      </c>
      <c r="AJ44" s="2">
        <f t="shared" si="11"/>
        <v>5.2634764735760321E-4</v>
      </c>
      <c r="AK44" s="2">
        <f t="shared" si="11"/>
        <v>2.6317382367880161E-4</v>
      </c>
      <c r="AL44" s="2">
        <f t="shared" si="11"/>
        <v>2.6317382367880161E-4</v>
      </c>
      <c r="AM44" s="2">
        <f t="shared" si="11"/>
        <v>7.8952147103640482E-4</v>
      </c>
      <c r="AN44" s="2">
        <f t="shared" si="11"/>
        <v>9.2110838287580573E-4</v>
      </c>
      <c r="AO44" s="2">
        <f t="shared" si="11"/>
        <v>9.2110838287580573E-4</v>
      </c>
      <c r="AP44" s="2">
        <f t="shared" si="11"/>
        <v>6.5793455919700402E-4</v>
      </c>
      <c r="AQ44" s="2">
        <f t="shared" si="11"/>
        <v>6.5793455919700402E-4</v>
      </c>
      <c r="AR44" s="2">
        <f t="shared" si="11"/>
        <v>3.9476073551820241E-4</v>
      </c>
      <c r="AS44" s="2">
        <f t="shared" si="11"/>
        <v>3.9476073551820241E-4</v>
      </c>
      <c r="AT44" s="2">
        <f t="shared" si="11"/>
        <v>2.6317382367880161E-4</v>
      </c>
      <c r="AU44" s="54">
        <f t="shared" si="11"/>
        <v>3.9476073551820241E-4</v>
      </c>
      <c r="AV44" s="2">
        <f t="shared" si="11"/>
        <v>2.6317382367880161E-4</v>
      </c>
      <c r="AW44" s="2">
        <f t="shared" si="11"/>
        <v>0</v>
      </c>
      <c r="AX44" s="2">
        <f t="shared" si="11"/>
        <v>3.9476073551820241E-4</v>
      </c>
      <c r="AY44" s="2">
        <f t="shared" si="11"/>
        <v>6.5793455919700402E-4</v>
      </c>
      <c r="AZ44" s="2">
        <f t="shared" si="11"/>
        <v>2.6317382367880161E-4</v>
      </c>
      <c r="BA44" s="2">
        <f t="shared" si="11"/>
        <v>2.6317382367880161E-4</v>
      </c>
      <c r="BB44" s="2">
        <f t="shared" si="11"/>
        <v>2.6317382367880161E-4</v>
      </c>
      <c r="BC44" s="2">
        <f t="shared" si="11"/>
        <v>3.9476073551820241E-4</v>
      </c>
      <c r="BD44" s="2">
        <f t="shared" si="11"/>
        <v>2.6317382367880161E-4</v>
      </c>
      <c r="BE44" s="2">
        <f t="shared" si="11"/>
        <v>1.315869118394008E-4</v>
      </c>
      <c r="BF44" s="2">
        <f t="shared" si="11"/>
        <v>3.9476073551820241E-4</v>
      </c>
      <c r="BG44" s="2">
        <f t="shared" si="11"/>
        <v>0</v>
      </c>
      <c r="BH44" s="2">
        <f t="shared" si="11"/>
        <v>3.9476073551820241E-4</v>
      </c>
      <c r="BI44" s="2">
        <f t="shared" si="11"/>
        <v>2.6317382367880161E-4</v>
      </c>
      <c r="BJ44" s="2">
        <f t="shared" si="11"/>
        <v>1.315869118394008E-4</v>
      </c>
      <c r="BK44" s="2">
        <f t="shared" si="11"/>
        <v>0</v>
      </c>
      <c r="BL44" s="2"/>
      <c r="BM44" s="2">
        <f t="shared" si="10"/>
        <v>5.5924437531745331E-4</v>
      </c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1" customFormat="1">
      <c r="A45" s="1" t="s">
        <v>119</v>
      </c>
      <c r="B45" s="54">
        <f>B26*$C7/$B7</f>
        <v>0.18756131057484796</v>
      </c>
      <c r="C45" s="2">
        <f t="shared" ref="C45:BM45" si="12">C26*$C7/$B7</f>
        <v>0.21993329409456544</v>
      </c>
      <c r="D45" s="2">
        <f t="shared" si="12"/>
        <v>0.23111634294683145</v>
      </c>
      <c r="E45" s="2">
        <f t="shared" si="12"/>
        <v>0.23013537374926429</v>
      </c>
      <c r="F45" s="2">
        <f t="shared" si="12"/>
        <v>0.2252305277614283</v>
      </c>
      <c r="G45" s="2">
        <f t="shared" si="12"/>
        <v>0.2336668628605062</v>
      </c>
      <c r="H45" s="2">
        <f t="shared" si="12"/>
        <v>0.22640769079850892</v>
      </c>
      <c r="I45" s="2">
        <f t="shared" si="12"/>
        <v>0.22444575240337453</v>
      </c>
      <c r="J45" s="2">
        <f t="shared" si="12"/>
        <v>0.21326270355110849</v>
      </c>
      <c r="K45" s="54">
        <f t="shared" si="12"/>
        <v>0.18187168922895822</v>
      </c>
      <c r="L45" s="2">
        <f t="shared" si="12"/>
        <v>0.22307239552678046</v>
      </c>
      <c r="M45" s="2">
        <f t="shared" si="12"/>
        <v>0.23033156758877771</v>
      </c>
      <c r="N45" s="2">
        <f t="shared" si="12"/>
        <v>0.22758485383558957</v>
      </c>
      <c r="O45" s="2">
        <f t="shared" si="12"/>
        <v>0.23994506572493626</v>
      </c>
      <c r="P45" s="2">
        <f t="shared" si="12"/>
        <v>0.18618795369825389</v>
      </c>
      <c r="Q45" s="54">
        <f t="shared" si="12"/>
        <v>9.4369236805964291E-2</v>
      </c>
      <c r="R45" s="2">
        <f t="shared" si="12"/>
        <v>0.22189523248969983</v>
      </c>
      <c r="S45" s="2">
        <f t="shared" si="12"/>
        <v>0.22464194624288797</v>
      </c>
      <c r="T45" s="2">
        <f t="shared" si="12"/>
        <v>0.22150284481067292</v>
      </c>
      <c r="U45" s="2">
        <f t="shared" ref="U45:BK45" si="13">U26*$C7/$B7</f>
        <v>0.2317049244653718</v>
      </c>
      <c r="V45" s="2">
        <f t="shared" si="13"/>
        <v>0.23464783205807341</v>
      </c>
      <c r="W45" s="2">
        <f t="shared" si="13"/>
        <v>0.16382185599372179</v>
      </c>
      <c r="X45" s="2">
        <f t="shared" si="13"/>
        <v>0.19952913478516776</v>
      </c>
      <c r="Y45" s="54">
        <f t="shared" si="13"/>
        <v>0.29605650382577986</v>
      </c>
      <c r="Z45" s="2">
        <f t="shared" si="13"/>
        <v>0.22012948793407888</v>
      </c>
      <c r="AA45" s="54">
        <f t="shared" si="13"/>
        <v>0.18520698450068668</v>
      </c>
      <c r="AB45" s="2">
        <f t="shared" si="13"/>
        <v>0.21797135569943102</v>
      </c>
      <c r="AC45" s="2">
        <f t="shared" si="13"/>
        <v>0.24249558563861096</v>
      </c>
      <c r="AD45" s="2">
        <f t="shared" si="13"/>
        <v>0.24171081028055721</v>
      </c>
      <c r="AE45" s="2">
        <f t="shared" si="13"/>
        <v>0.24583088091033942</v>
      </c>
      <c r="AF45" s="2">
        <f t="shared" si="13"/>
        <v>0.2336668628605062</v>
      </c>
      <c r="AG45" s="2">
        <f t="shared" si="13"/>
        <v>0.2546596036884442</v>
      </c>
      <c r="AH45" s="2">
        <f t="shared" si="13"/>
        <v>0.25426721600941732</v>
      </c>
      <c r="AI45" s="2">
        <f t="shared" si="13"/>
        <v>0.24740043162644693</v>
      </c>
      <c r="AJ45" s="2">
        <f t="shared" si="13"/>
        <v>0.24053364724347656</v>
      </c>
      <c r="AK45" s="2">
        <f t="shared" si="13"/>
        <v>0.25367863449087696</v>
      </c>
      <c r="AL45" s="2">
        <f t="shared" si="13"/>
        <v>0.26015303119482047</v>
      </c>
      <c r="AM45" s="2">
        <f t="shared" si="13"/>
        <v>0.25387482833039043</v>
      </c>
      <c r="AN45" s="2">
        <f t="shared" si="13"/>
        <v>0.25014714537963506</v>
      </c>
      <c r="AO45" s="2">
        <f t="shared" si="13"/>
        <v>0.24896998234255444</v>
      </c>
      <c r="AP45" s="2">
        <f t="shared" si="13"/>
        <v>0.19737100255051993</v>
      </c>
      <c r="AQ45" s="2">
        <f t="shared" si="13"/>
        <v>0.20286443005689622</v>
      </c>
      <c r="AR45" s="2">
        <f t="shared" si="13"/>
        <v>0.20325681773592308</v>
      </c>
      <c r="AS45" s="2">
        <f t="shared" si="13"/>
        <v>0.20364920541494999</v>
      </c>
      <c r="AT45" s="2">
        <f t="shared" si="13"/>
        <v>0.19972532862468118</v>
      </c>
      <c r="AU45" s="54">
        <f t="shared" si="13"/>
        <v>0.1683343143025309</v>
      </c>
      <c r="AV45" s="2">
        <f t="shared" si="13"/>
        <v>0.20306062389640964</v>
      </c>
      <c r="AW45" s="2">
        <f t="shared" si="13"/>
        <v>0.21502844810672947</v>
      </c>
      <c r="AX45" s="2">
        <f t="shared" si="13"/>
        <v>0.23464783205807341</v>
      </c>
      <c r="AY45" s="2">
        <f t="shared" si="13"/>
        <v>0.20227584853835592</v>
      </c>
      <c r="AZ45" s="2">
        <f t="shared" si="13"/>
        <v>0.20109868550127527</v>
      </c>
      <c r="BA45" s="2">
        <f t="shared" si="13"/>
        <v>0.22581910927996862</v>
      </c>
      <c r="BB45" s="2">
        <f t="shared" si="13"/>
        <v>0.23033156758877771</v>
      </c>
      <c r="BC45" s="2">
        <f t="shared" si="13"/>
        <v>0.21875613105748482</v>
      </c>
      <c r="BD45" s="2">
        <f t="shared" si="13"/>
        <v>0.23484402589758682</v>
      </c>
      <c r="BE45" s="2">
        <f t="shared" si="13"/>
        <v>0.23131253678634489</v>
      </c>
      <c r="BF45" s="2">
        <f t="shared" si="13"/>
        <v>0.23798312732980187</v>
      </c>
      <c r="BG45" s="2">
        <f t="shared" si="13"/>
        <v>0.23974887188542282</v>
      </c>
      <c r="BH45" s="2">
        <f t="shared" si="13"/>
        <v>0.2287620168726702</v>
      </c>
      <c r="BI45" s="2">
        <f t="shared" si="13"/>
        <v>0.23700215813223466</v>
      </c>
      <c r="BJ45" s="2">
        <f t="shared" si="13"/>
        <v>0.23013537374926429</v>
      </c>
      <c r="BK45" s="2">
        <f t="shared" si="13"/>
        <v>0</v>
      </c>
      <c r="BL45" s="2"/>
      <c r="BM45" s="2">
        <f t="shared" si="12"/>
        <v>0.2223121443986659</v>
      </c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1" customFormat="1">
      <c r="A46" s="1" t="s">
        <v>131</v>
      </c>
      <c r="B46" s="54">
        <f>B27*$C8*Input!$B20/$B8</f>
        <v>3.835768963117607E-2</v>
      </c>
      <c r="C46" s="2">
        <f>C27*$C8*Input!$B20/$B8</f>
        <v>3.7411273486430065E-2</v>
      </c>
      <c r="D46" s="2">
        <f>D27*$C8*Input!$B20/$B8</f>
        <v>4.0361864996520537E-2</v>
      </c>
      <c r="E46" s="2">
        <f>E27*$C8*Input!$B20/$B8</f>
        <v>4.0668058455114828E-2</v>
      </c>
      <c r="F46" s="2">
        <f>F27*$C8*Input!$B20/$B8</f>
        <v>3.869171885873348E-2</v>
      </c>
      <c r="G46" s="2">
        <f>G27*$C8*Input!$B20/$B8</f>
        <v>4.0779401530967298E-2</v>
      </c>
      <c r="H46" s="2">
        <f>H27*$C8*Input!$B20/$B8</f>
        <v>3.7522616562282542E-2</v>
      </c>
      <c r="I46" s="2">
        <f>I27*$C8*Input!$B20/$B8</f>
        <v>3.9276270006958949E-2</v>
      </c>
      <c r="J46" s="2">
        <f>J27*$C8*Input!$B20/$B8</f>
        <v>3.8413361169102302E-2</v>
      </c>
      <c r="K46" s="54">
        <f>K27*$C8*Input!$B20/$B8</f>
        <v>4.0612386917188589E-2</v>
      </c>
      <c r="L46" s="2">
        <f>L27*$C8*Input!$B20/$B8</f>
        <v>3.8190675017397362E-2</v>
      </c>
      <c r="M46" s="2">
        <f>M27*$C8*Input!$B20/$B8</f>
        <v>3.8663883089770368E-2</v>
      </c>
      <c r="N46" s="2">
        <f>N27*$C8*Input!$B20/$B8</f>
        <v>3.8663883089770368E-2</v>
      </c>
      <c r="O46" s="2">
        <f>O27*$C8*Input!$B20/$B8</f>
        <v>4.0222686151704948E-2</v>
      </c>
      <c r="P46" s="2">
        <f>P27*$C8*Input!$B20/$B8</f>
        <v>3.7383437717466945E-2</v>
      </c>
      <c r="Q46" s="54">
        <f>Q27*$C8*Input!$B20/$B8</f>
        <v>2.79749478079332E-2</v>
      </c>
      <c r="R46" s="2">
        <f>R27*$C8*Input!$B20/$B8</f>
        <v>3.9888656924147531E-2</v>
      </c>
      <c r="S46" s="2">
        <f>S27*$C8*Input!$B20/$B8</f>
        <v>3.9721642310368829E-2</v>
      </c>
      <c r="T46" s="2">
        <f>T27*$C8*Input!$B20/$B8</f>
        <v>4.0862908837856649E-2</v>
      </c>
      <c r="U46" s="2">
        <f>U27*$C8*Input!$B20/$B8</f>
        <v>4.1141266527487827E-2</v>
      </c>
      <c r="V46" s="2">
        <f>V27*$C8*Input!$B20/$B8</f>
        <v>4.0445372303409888E-2</v>
      </c>
      <c r="W46" s="2">
        <f>W27*$C8*Input!$B20/$B8</f>
        <v>4.0139178844815597E-2</v>
      </c>
      <c r="X46" s="2">
        <f>X27*$C8*Input!$B20/$B8</f>
        <v>3.9109255393180248E-2</v>
      </c>
      <c r="Y46" s="54">
        <f>Y27*$C8*Input!$B20/$B8</f>
        <v>3.8496868475991652E-2</v>
      </c>
      <c r="Z46" s="2">
        <f>Z27*$C8*Input!$B20/$B8</f>
        <v>3.8329853862212944E-2</v>
      </c>
      <c r="AA46" s="54">
        <f>AA27*$C8*Input!$B20/$B8</f>
        <v>3.2178148921363961E-2</v>
      </c>
      <c r="AB46" s="2">
        <f>AB27*$C8*Input!$B20/$B8</f>
        <v>3.6938065414057066E-2</v>
      </c>
      <c r="AC46" s="2">
        <f>AC27*$C8*Input!$B20/$B8</f>
        <v>3.387613082811413E-2</v>
      </c>
      <c r="AD46" s="2">
        <f>AD27*$C8*Input!$B20/$B8</f>
        <v>3.5490605427974956E-2</v>
      </c>
      <c r="AE46" s="2">
        <f>AE27*$C8*Input!$B20/$B8</f>
        <v>3.7522616562282542E-2</v>
      </c>
      <c r="AF46" s="2">
        <f>AF27*$C8*Input!$B20/$B8</f>
        <v>3.6520528879610305E-2</v>
      </c>
      <c r="AG46" s="2">
        <f>AG27*$C8*Input!$B20/$B8</f>
        <v>3.7077244258872655E-2</v>
      </c>
      <c r="AH46" s="2">
        <f>AH27*$C8*Input!$B20/$B8</f>
        <v>3.6437021572720954E-2</v>
      </c>
      <c r="AI46" s="2">
        <f>AI27*$C8*Input!$B20/$B8</f>
        <v>3.6158663883089776E-2</v>
      </c>
      <c r="AJ46" s="2">
        <f>AJ27*$C8*Input!$B20/$B8</f>
        <v>3.5657620041753657E-2</v>
      </c>
      <c r="AK46" s="2">
        <f>AK27*$C8*Input!$B20/$B8</f>
        <v>3.846903270702854E-2</v>
      </c>
      <c r="AL46" s="2">
        <f>AL27*$C8*Input!$B20/$B8</f>
        <v>3.8135003479471123E-2</v>
      </c>
      <c r="AM46" s="2">
        <f>AM27*$C8*Input!$B20/$B8</f>
        <v>3.8023660403618653E-2</v>
      </c>
      <c r="AN46" s="2">
        <f>AN27*$C8*Input!$B20/$B8</f>
        <v>3.7884481558803064E-2</v>
      </c>
      <c r="AO46" s="2">
        <f>AO27*$C8*Input!$B20/$B8</f>
        <v>3.7049408489909542E-2</v>
      </c>
      <c r="AP46" s="2">
        <f>AP27*$C8*Input!$B20/$B8</f>
        <v>5.0716771050800281E-2</v>
      </c>
      <c r="AQ46" s="2">
        <f>AQ27*$C8*Input!$B20/$B8</f>
        <v>4.9352818371607522E-2</v>
      </c>
      <c r="AR46" s="2">
        <f>AR27*$C8*Input!$B20/$B8</f>
        <v>4.988169798190676E-2</v>
      </c>
      <c r="AS46" s="2">
        <f>AS27*$C8*Input!$B20/$B8</f>
        <v>5.144050104384134E-2</v>
      </c>
      <c r="AT46" s="2">
        <f>AT27*$C8*Input!$B20/$B8</f>
        <v>5.0939457202505228E-2</v>
      </c>
      <c r="AU46" s="54">
        <f>AU27*$C8*Input!$B20/$B8</f>
        <v>4.8656924147529583E-2</v>
      </c>
      <c r="AV46" s="2">
        <f>AV27*$C8*Input!$B20/$B8</f>
        <v>5.1774530271398764E-2</v>
      </c>
      <c r="AW46" s="2">
        <f>AW27*$C8*Input!$B20/$B8</f>
        <v>5.1189979123173288E-2</v>
      </c>
      <c r="AX46" s="2">
        <f>AX27*$C8*Input!$B20/$B8</f>
        <v>4.4425887265135702E-2</v>
      </c>
      <c r="AY46" s="2">
        <f>AY27*$C8*Input!$B20/$B8</f>
        <v>5.1134307585247049E-2</v>
      </c>
      <c r="AZ46" s="2">
        <f>AZ27*$C8*Input!$B20/$B8</f>
        <v>5.0076548364648574E-2</v>
      </c>
      <c r="BA46" s="2">
        <f>BA27*$C8*Input!$B20/$B8</f>
        <v>4.1280445372303416E-2</v>
      </c>
      <c r="BB46" s="2">
        <f>BB27*$C8*Input!$B20/$B8</f>
        <v>4.1419624217119005E-2</v>
      </c>
      <c r="BC46" s="2">
        <f>BC27*$C8*Input!$B20/$B8</f>
        <v>4.1614474599860826E-2</v>
      </c>
      <c r="BD46" s="2">
        <f>BD27*$C8*Input!$B20/$B8</f>
        <v>4.1697981906750184E-2</v>
      </c>
      <c r="BE46" s="2">
        <f>BE27*$C8*Input!$B20/$B8</f>
        <v>4.2254697286012527E-2</v>
      </c>
      <c r="BF46" s="2">
        <f>BF27*$C8*Input!$B20/$B8</f>
        <v>4.7320807237299936E-2</v>
      </c>
      <c r="BG46" s="2">
        <f>BG27*$C8*Input!$B20/$B8</f>
        <v>4.8128044537230345E-2</v>
      </c>
      <c r="BH46" s="2">
        <f>BH27*$C8*Input!$B20/$B8</f>
        <v>4.6346555323590818E-2</v>
      </c>
      <c r="BI46" s="2">
        <f>BI27*$C8*Input!$B20/$B8</f>
        <v>4.7877522616562286E-2</v>
      </c>
      <c r="BJ46" s="2">
        <f>BJ27*$C8*Input!$B20/$B8</f>
        <v>4.5622825330549767E-2</v>
      </c>
      <c r="BK46" s="2">
        <f>BK27*$C8*Input!$B20/$B8</f>
        <v>0</v>
      </c>
      <c r="BL46" s="2"/>
      <c r="BM46" s="2">
        <f>BM27*$C8*Input!$B20/$B8</f>
        <v>3.9133611691022974E-2</v>
      </c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1" customFormat="1">
      <c r="A47" s="1" t="s">
        <v>130</v>
      </c>
      <c r="B47" s="54">
        <f>B27*$C8*(1-Input!$B20)/$B8</f>
        <v>0.15343075852470428</v>
      </c>
      <c r="C47" s="2">
        <f>C27*$C8*(1-Input!$B20)/$B8</f>
        <v>0.14964509394572026</v>
      </c>
      <c r="D47" s="2">
        <f>D27*$C8*(1-Input!$B20)/$B8</f>
        <v>0.16144745998608215</v>
      </c>
      <c r="E47" s="2">
        <f>E27*$C8*(1-Input!$B20)/$B8</f>
        <v>0.16267223382045931</v>
      </c>
      <c r="F47" s="2">
        <f>F27*$C8*(1-Input!$B20)/$B8</f>
        <v>0.15476687543493392</v>
      </c>
      <c r="G47" s="2">
        <f>G27*$C8*(1-Input!$B20)/$B8</f>
        <v>0.16311760612386919</v>
      </c>
      <c r="H47" s="2">
        <f>H27*$C8*(1-Input!$B20)/$B8</f>
        <v>0.15009046624913017</v>
      </c>
      <c r="I47" s="2">
        <f>I27*$C8*(1-Input!$B20)/$B8</f>
        <v>0.1571050800278358</v>
      </c>
      <c r="J47" s="2">
        <f>J27*$C8*(1-Input!$B20)/$B8</f>
        <v>0.15365344467640921</v>
      </c>
      <c r="K47" s="54">
        <f>K27*$C8*(1-Input!$B20)/$B8</f>
        <v>0.16244954766875436</v>
      </c>
      <c r="L47" s="2">
        <f>L27*$C8*(1-Input!$B20)/$B8</f>
        <v>0.15276270006958945</v>
      </c>
      <c r="M47" s="2">
        <f>M27*$C8*(1-Input!$B20)/$B8</f>
        <v>0.15465553235908147</v>
      </c>
      <c r="N47" s="2">
        <f>N27*$C8*(1-Input!$B20)/$B8</f>
        <v>0.15465553235908147</v>
      </c>
      <c r="O47" s="2">
        <f>O27*$C8*(1-Input!$B20)/$B8</f>
        <v>0.16089074460681979</v>
      </c>
      <c r="P47" s="2">
        <f>P27*$C8*(1-Input!$B20)/$B8</f>
        <v>0.14953375086986778</v>
      </c>
      <c r="Q47" s="54">
        <f>Q27*$C8*(1-Input!$B20)/$B8</f>
        <v>0.1118997912317328</v>
      </c>
      <c r="R47" s="2">
        <f>R27*$C8*(1-Input!$B20)/$B8</f>
        <v>0.15955462769659012</v>
      </c>
      <c r="S47" s="2">
        <f>S27*$C8*(1-Input!$B20)/$B8</f>
        <v>0.15888656924147532</v>
      </c>
      <c r="T47" s="2">
        <f>T27*$C8*(1-Input!$B20)/$B8</f>
        <v>0.16345163535142659</v>
      </c>
      <c r="U47" s="2">
        <f>U27*$C8*(1-Input!$B20)/$B8</f>
        <v>0.16456506610995131</v>
      </c>
      <c r="V47" s="2">
        <f>V27*$C8*(1-Input!$B20)/$B8</f>
        <v>0.16178148921363955</v>
      </c>
      <c r="W47" s="2">
        <f>W27*$C8*(1-Input!$B20)/$B8</f>
        <v>0.16055671537926239</v>
      </c>
      <c r="X47" s="2">
        <f>X27*$C8*(1-Input!$B20)/$B8</f>
        <v>0.15643702157272099</v>
      </c>
      <c r="Y47" s="54">
        <f>Y27*$C8*(1-Input!$B20)/$B8</f>
        <v>0.15398747390396661</v>
      </c>
      <c r="Z47" s="2">
        <f>Z27*$C8*(1-Input!$B20)/$B8</f>
        <v>0.15331941544885178</v>
      </c>
      <c r="AA47" s="54">
        <f>AA27*$C8*(1-Input!$B20)/$B8</f>
        <v>0.12871259568545584</v>
      </c>
      <c r="AB47" s="2">
        <f>AB27*$C8*(1-Input!$B20)/$B8</f>
        <v>0.14775226165622826</v>
      </c>
      <c r="AC47" s="2">
        <f>AC27*$C8*(1-Input!$B20)/$B8</f>
        <v>0.13550452331245652</v>
      </c>
      <c r="AD47" s="2">
        <f>AD27*$C8*(1-Input!$B20)/$B8</f>
        <v>0.14196242171189982</v>
      </c>
      <c r="AE47" s="2">
        <f>AE27*$C8*(1-Input!$B20)/$B8</f>
        <v>0.15009046624913017</v>
      </c>
      <c r="AF47" s="2">
        <f>AF27*$C8*(1-Input!$B20)/$B8</f>
        <v>0.14608211551844122</v>
      </c>
      <c r="AG47" s="2">
        <f>AG27*$C8*(1-Input!$B20)/$B8</f>
        <v>0.14830897703549062</v>
      </c>
      <c r="AH47" s="2">
        <f>AH27*$C8*(1-Input!$B20)/$B8</f>
        <v>0.14574808629088382</v>
      </c>
      <c r="AI47" s="2">
        <f>AI27*$C8*(1-Input!$B20)/$B8</f>
        <v>0.1446346555323591</v>
      </c>
      <c r="AJ47" s="2">
        <f>AJ27*$C8*(1-Input!$B20)/$B8</f>
        <v>0.14263048016701463</v>
      </c>
      <c r="AK47" s="2">
        <f>AK27*$C8*(1-Input!$B20)/$B8</f>
        <v>0.15387613082811416</v>
      </c>
      <c r="AL47" s="2">
        <f>AL27*$C8*(1-Input!$B20)/$B8</f>
        <v>0.15254001391788449</v>
      </c>
      <c r="AM47" s="2">
        <f>AM27*$C8*(1-Input!$B20)/$B8</f>
        <v>0.15209464161447461</v>
      </c>
      <c r="AN47" s="2">
        <f>AN27*$C8*(1-Input!$B20)/$B8</f>
        <v>0.15153792623521226</v>
      </c>
      <c r="AO47" s="2">
        <f>AO27*$C8*(1-Input!$B20)/$B8</f>
        <v>0.14819763395963817</v>
      </c>
      <c r="AP47" s="2">
        <f>AP27*$C8*(1-Input!$B20)/$B8</f>
        <v>0.20286708420320113</v>
      </c>
      <c r="AQ47" s="2">
        <f>AQ27*$C8*(1-Input!$B20)/$B8</f>
        <v>0.19741127348643009</v>
      </c>
      <c r="AR47" s="2">
        <f>AR27*$C8*(1-Input!$B20)/$B8</f>
        <v>0.19952679192762704</v>
      </c>
      <c r="AS47" s="2">
        <f>AS27*$C8*(1-Input!$B20)/$B8</f>
        <v>0.20576200417536536</v>
      </c>
      <c r="AT47" s="2">
        <f>AT27*$C8*(1-Input!$B20)/$B8</f>
        <v>0.20375782881002091</v>
      </c>
      <c r="AU47" s="54">
        <f>AU27*$C8*(1-Input!$B20)/$B8</f>
        <v>0.19462769659011833</v>
      </c>
      <c r="AV47" s="2">
        <f>AV27*$C8*(1-Input!$B20)/$B8</f>
        <v>0.20709812108559505</v>
      </c>
      <c r="AW47" s="2">
        <f>AW27*$C8*(1-Input!$B20)/$B8</f>
        <v>0.20475991649269315</v>
      </c>
      <c r="AX47" s="2">
        <f>AX27*$C8*(1-Input!$B20)/$B8</f>
        <v>0.17770354906054281</v>
      </c>
      <c r="AY47" s="2">
        <f>AY27*$C8*(1-Input!$B20)/$B8</f>
        <v>0.2045372303409882</v>
      </c>
      <c r="AZ47" s="2">
        <f>AZ27*$C8*(1-Input!$B20)/$B8</f>
        <v>0.20030619345859429</v>
      </c>
      <c r="BA47" s="2">
        <f>BA27*$C8*(1-Input!$B20)/$B8</f>
        <v>0.16512178148921366</v>
      </c>
      <c r="BB47" s="2">
        <f>BB27*$C8*(1-Input!$B20)/$B8</f>
        <v>0.16567849686847602</v>
      </c>
      <c r="BC47" s="2">
        <f>BC27*$C8*(1-Input!$B20)/$B8</f>
        <v>0.1664578983994433</v>
      </c>
      <c r="BD47" s="2">
        <f>BD27*$C8*(1-Input!$B20)/$B8</f>
        <v>0.16679192762700074</v>
      </c>
      <c r="BE47" s="2">
        <f>BE27*$C8*(1-Input!$B20)/$B8</f>
        <v>0.16901878914405011</v>
      </c>
      <c r="BF47" s="2">
        <f>BF27*$C8*(1-Input!$B20)/$B8</f>
        <v>0.18928322894919974</v>
      </c>
      <c r="BG47" s="2">
        <f>BG27*$C8*(1-Input!$B20)/$B8</f>
        <v>0.19251217814892138</v>
      </c>
      <c r="BH47" s="2">
        <f>BH27*$C8*(1-Input!$B20)/$B8</f>
        <v>0.18538622129436327</v>
      </c>
      <c r="BI47" s="2">
        <f>BI27*$C8*(1-Input!$B20)/$B8</f>
        <v>0.19151009046624914</v>
      </c>
      <c r="BJ47" s="2">
        <f>BJ27*$C8*(1-Input!$B20)/$B8</f>
        <v>0.18249130132219907</v>
      </c>
      <c r="BK47" s="2">
        <f>BK27*$C8*(1-Input!$B20)/$B8</f>
        <v>0</v>
      </c>
      <c r="BL47" s="2"/>
      <c r="BM47" s="2">
        <f>BM27*$C8*(1-Input!$B20)/$B8</f>
        <v>0.15653444676409189</v>
      </c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1" customFormat="1">
      <c r="A48" s="1" t="s">
        <v>121</v>
      </c>
      <c r="B48" s="54">
        <f t="shared" ref="B48:B53" si="14">B28*$C9/$B9</f>
        <v>9.585970650013393E-3</v>
      </c>
      <c r="C48" s="2">
        <f t="shared" ref="C48:BM48" si="15">C28*$C9/$B9</f>
        <v>1.1841493155898896E-2</v>
      </c>
      <c r="D48" s="2">
        <f t="shared" si="15"/>
        <v>1.4237985818402245E-2</v>
      </c>
      <c r="E48" s="2">
        <f t="shared" si="15"/>
        <v>1.5647687384580687E-2</v>
      </c>
      <c r="F48" s="2">
        <f t="shared" si="15"/>
        <v>1.198246331251674E-2</v>
      </c>
      <c r="G48" s="2">
        <f t="shared" si="15"/>
        <v>1.1841493155898896E-2</v>
      </c>
      <c r="H48" s="2">
        <f t="shared" si="15"/>
        <v>1.1418582686045365E-2</v>
      </c>
      <c r="I48" s="2">
        <f t="shared" si="15"/>
        <v>1.198246331251674E-2</v>
      </c>
      <c r="J48" s="2">
        <f t="shared" si="15"/>
        <v>1.2546343938988116E-2</v>
      </c>
      <c r="K48" s="54">
        <f t="shared" si="15"/>
        <v>1.2546343938988116E-2</v>
      </c>
      <c r="L48" s="2">
        <f t="shared" si="15"/>
        <v>1.2687314095605961E-2</v>
      </c>
      <c r="M48" s="2">
        <f t="shared" si="15"/>
        <v>1.0854702059573989E-2</v>
      </c>
      <c r="N48" s="2">
        <f t="shared" si="15"/>
        <v>9.7269408066312357E-3</v>
      </c>
      <c r="O48" s="2">
        <f t="shared" si="15"/>
        <v>9.86791096324908E-3</v>
      </c>
      <c r="P48" s="2">
        <f t="shared" si="15"/>
        <v>3.1013434455925684E-3</v>
      </c>
      <c r="Q48" s="54">
        <f t="shared" si="15"/>
        <v>3.2423136022104123E-3</v>
      </c>
      <c r="R48" s="2">
        <f t="shared" si="15"/>
        <v>2.5374628191211922E-3</v>
      </c>
      <c r="S48" s="2">
        <f t="shared" si="15"/>
        <v>2.8194031323568805E-3</v>
      </c>
      <c r="T48" s="2">
        <f t="shared" si="15"/>
        <v>2.960373288974724E-3</v>
      </c>
      <c r="U48" s="2">
        <f t="shared" ref="U48:BK48" si="16">U28*$C9/$B9</f>
        <v>2.6784329757390361E-3</v>
      </c>
      <c r="V48" s="2">
        <f t="shared" si="16"/>
        <v>3.6652240720639441E-3</v>
      </c>
      <c r="W48" s="2">
        <f t="shared" si="16"/>
        <v>3.5242539154461002E-3</v>
      </c>
      <c r="X48" s="2">
        <f t="shared" si="16"/>
        <v>3.2423136022104123E-3</v>
      </c>
      <c r="Y48" s="54">
        <f t="shared" si="16"/>
        <v>2.1145523492676599E-3</v>
      </c>
      <c r="Z48" s="2">
        <f t="shared" si="16"/>
        <v>2.960373288974724E-3</v>
      </c>
      <c r="AA48" s="54">
        <f t="shared" si="16"/>
        <v>2.5374628191211922E-3</v>
      </c>
      <c r="AB48" s="2">
        <f t="shared" si="16"/>
        <v>3.6652240720639441E-3</v>
      </c>
      <c r="AC48" s="2">
        <f t="shared" si="16"/>
        <v>1.9735821926498164E-3</v>
      </c>
      <c r="AD48" s="2">
        <f t="shared" si="16"/>
        <v>2.960373288974724E-3</v>
      </c>
      <c r="AE48" s="2">
        <f t="shared" si="16"/>
        <v>3.3832837588282563E-3</v>
      </c>
      <c r="AF48" s="2">
        <f t="shared" si="16"/>
        <v>3.1013434455925684E-3</v>
      </c>
      <c r="AG48" s="2">
        <f t="shared" si="16"/>
        <v>3.3832837588282563E-3</v>
      </c>
      <c r="AH48" s="2">
        <f t="shared" si="16"/>
        <v>2.960373288974724E-3</v>
      </c>
      <c r="AI48" s="2">
        <f t="shared" si="16"/>
        <v>3.5242539154461002E-3</v>
      </c>
      <c r="AJ48" s="2">
        <f t="shared" si="16"/>
        <v>3.3832837588282563E-3</v>
      </c>
      <c r="AK48" s="2">
        <f t="shared" si="16"/>
        <v>3.5242539154461002E-3</v>
      </c>
      <c r="AL48" s="2">
        <f t="shared" si="16"/>
        <v>2.8194031323568805E-3</v>
      </c>
      <c r="AM48" s="2">
        <f t="shared" si="16"/>
        <v>2.5374628191211922E-3</v>
      </c>
      <c r="AN48" s="2">
        <f t="shared" si="16"/>
        <v>2.960373288974724E-3</v>
      </c>
      <c r="AO48" s="2">
        <f t="shared" si="16"/>
        <v>3.9471643852996329E-3</v>
      </c>
      <c r="AP48" s="2">
        <f t="shared" si="16"/>
        <v>4.3700748551531643E-3</v>
      </c>
      <c r="AQ48" s="2">
        <f t="shared" si="16"/>
        <v>3.8061942286817885E-3</v>
      </c>
      <c r="AR48" s="2">
        <f t="shared" si="16"/>
        <v>4.7929853250066965E-3</v>
      </c>
      <c r="AS48" s="2">
        <f t="shared" si="16"/>
        <v>4.7929853250066965E-3</v>
      </c>
      <c r="AT48" s="2">
        <f t="shared" si="16"/>
        <v>4.6520151683888521E-3</v>
      </c>
      <c r="AU48" s="54">
        <f t="shared" si="16"/>
        <v>3.8061942286817885E-3</v>
      </c>
      <c r="AV48" s="2">
        <f t="shared" si="16"/>
        <v>3.9471643852996329E-3</v>
      </c>
      <c r="AW48" s="2">
        <f t="shared" si="16"/>
        <v>3.6652240720639441E-3</v>
      </c>
      <c r="AX48" s="2">
        <f t="shared" si="16"/>
        <v>3.5242539154461002E-3</v>
      </c>
      <c r="AY48" s="2">
        <f t="shared" si="16"/>
        <v>4.2291046985353199E-3</v>
      </c>
      <c r="AZ48" s="2">
        <f t="shared" si="16"/>
        <v>4.2291046985353199E-3</v>
      </c>
      <c r="BA48" s="2">
        <f t="shared" si="16"/>
        <v>2.8194031323568805E-3</v>
      </c>
      <c r="BB48" s="2">
        <f t="shared" si="16"/>
        <v>3.3832837588282563E-3</v>
      </c>
      <c r="BC48" s="2">
        <f t="shared" si="16"/>
        <v>2.5374628191211922E-3</v>
      </c>
      <c r="BD48" s="2">
        <f t="shared" si="16"/>
        <v>2.8194031323568805E-3</v>
      </c>
      <c r="BE48" s="2">
        <f t="shared" si="16"/>
        <v>2.5374628191211922E-3</v>
      </c>
      <c r="BF48" s="2">
        <f t="shared" si="16"/>
        <v>2.2555225058855043E-3</v>
      </c>
      <c r="BG48" s="2">
        <f t="shared" si="16"/>
        <v>3.5242539154461002E-3</v>
      </c>
      <c r="BH48" s="2">
        <f t="shared" si="16"/>
        <v>2.8194031323568805E-3</v>
      </c>
      <c r="BI48" s="2">
        <f t="shared" si="16"/>
        <v>2.960373288974724E-3</v>
      </c>
      <c r="BJ48" s="2">
        <f t="shared" si="16"/>
        <v>3.3832837588282563E-3</v>
      </c>
      <c r="BK48" s="2">
        <f t="shared" si="16"/>
        <v>0</v>
      </c>
      <c r="BL48" s="2"/>
      <c r="BM48" s="2">
        <f t="shared" si="15"/>
        <v>1.231726743448412E-2</v>
      </c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1" customFormat="1">
      <c r="A49" s="1" t="s">
        <v>122</v>
      </c>
      <c r="B49" s="54">
        <f t="shared" si="14"/>
        <v>4.0155589524209801E-4</v>
      </c>
      <c r="C49" s="2">
        <f t="shared" ref="C49:BM49" si="17">C29*$C10/$B10</f>
        <v>0</v>
      </c>
      <c r="D49" s="2">
        <f t="shared" si="17"/>
        <v>0</v>
      </c>
      <c r="E49" s="2">
        <f t="shared" si="17"/>
        <v>4.0155589524209801E-4</v>
      </c>
      <c r="F49" s="2">
        <f t="shared" si="17"/>
        <v>0</v>
      </c>
      <c r="G49" s="2">
        <f t="shared" si="17"/>
        <v>0</v>
      </c>
      <c r="H49" s="2">
        <f t="shared" si="17"/>
        <v>0</v>
      </c>
      <c r="I49" s="2">
        <f t="shared" si="17"/>
        <v>0</v>
      </c>
      <c r="J49" s="2">
        <f t="shared" si="17"/>
        <v>0</v>
      </c>
      <c r="K49" s="54">
        <f t="shared" si="17"/>
        <v>0</v>
      </c>
      <c r="L49" s="2">
        <f t="shared" si="17"/>
        <v>0</v>
      </c>
      <c r="M49" s="2">
        <f t="shared" si="17"/>
        <v>0</v>
      </c>
      <c r="N49" s="2">
        <f t="shared" si="17"/>
        <v>0</v>
      </c>
      <c r="O49" s="2">
        <f t="shared" si="17"/>
        <v>0</v>
      </c>
      <c r="P49" s="2">
        <f t="shared" si="17"/>
        <v>0</v>
      </c>
      <c r="Q49" s="54">
        <f t="shared" si="17"/>
        <v>0</v>
      </c>
      <c r="R49" s="2">
        <f t="shared" si="17"/>
        <v>0</v>
      </c>
      <c r="S49" s="2">
        <f t="shared" si="17"/>
        <v>0</v>
      </c>
      <c r="T49" s="2">
        <f t="shared" si="17"/>
        <v>0</v>
      </c>
      <c r="U49" s="2">
        <f t="shared" ref="U49:BK49" si="18">U29*$C10/$B10</f>
        <v>0</v>
      </c>
      <c r="V49" s="2">
        <f t="shared" si="18"/>
        <v>0</v>
      </c>
      <c r="W49" s="2">
        <f t="shared" si="18"/>
        <v>0</v>
      </c>
      <c r="X49" s="2">
        <f t="shared" si="18"/>
        <v>0</v>
      </c>
      <c r="Y49" s="54">
        <f t="shared" si="18"/>
        <v>0</v>
      </c>
      <c r="Z49" s="2">
        <f t="shared" si="18"/>
        <v>0</v>
      </c>
      <c r="AA49" s="54">
        <f t="shared" si="18"/>
        <v>0</v>
      </c>
      <c r="AB49" s="2">
        <f t="shared" si="18"/>
        <v>0</v>
      </c>
      <c r="AC49" s="2">
        <f t="shared" si="18"/>
        <v>0</v>
      </c>
      <c r="AD49" s="2">
        <f t="shared" si="18"/>
        <v>0</v>
      </c>
      <c r="AE49" s="2">
        <f t="shared" si="18"/>
        <v>0</v>
      </c>
      <c r="AF49" s="2">
        <f t="shared" si="18"/>
        <v>0</v>
      </c>
      <c r="AG49" s="2">
        <f t="shared" si="18"/>
        <v>0</v>
      </c>
      <c r="AH49" s="2">
        <f t="shared" si="18"/>
        <v>0</v>
      </c>
      <c r="AI49" s="2">
        <f t="shared" si="18"/>
        <v>0</v>
      </c>
      <c r="AJ49" s="2">
        <f t="shared" si="18"/>
        <v>0</v>
      </c>
      <c r="AK49" s="2">
        <f t="shared" si="18"/>
        <v>0</v>
      </c>
      <c r="AL49" s="2">
        <f t="shared" si="18"/>
        <v>0</v>
      </c>
      <c r="AM49" s="2">
        <f t="shared" si="18"/>
        <v>0</v>
      </c>
      <c r="AN49" s="2">
        <f t="shared" si="18"/>
        <v>0</v>
      </c>
      <c r="AO49" s="2">
        <f t="shared" si="18"/>
        <v>0</v>
      </c>
      <c r="AP49" s="2">
        <f t="shared" si="18"/>
        <v>0</v>
      </c>
      <c r="AQ49" s="2">
        <f t="shared" si="18"/>
        <v>0</v>
      </c>
      <c r="AR49" s="2">
        <f t="shared" si="18"/>
        <v>0</v>
      </c>
      <c r="AS49" s="2">
        <f t="shared" si="18"/>
        <v>0</v>
      </c>
      <c r="AT49" s="2">
        <f t="shared" si="18"/>
        <v>0</v>
      </c>
      <c r="AU49" s="54">
        <f t="shared" si="18"/>
        <v>0</v>
      </c>
      <c r="AV49" s="2">
        <f t="shared" si="18"/>
        <v>0</v>
      </c>
      <c r="AW49" s="2">
        <f t="shared" si="18"/>
        <v>0</v>
      </c>
      <c r="AX49" s="2">
        <f t="shared" si="18"/>
        <v>0</v>
      </c>
      <c r="AY49" s="2">
        <f t="shared" si="18"/>
        <v>0</v>
      </c>
      <c r="AZ49" s="2">
        <f t="shared" si="18"/>
        <v>0</v>
      </c>
      <c r="BA49" s="2">
        <f t="shared" si="18"/>
        <v>0</v>
      </c>
      <c r="BB49" s="2">
        <f t="shared" si="18"/>
        <v>0</v>
      </c>
      <c r="BC49" s="2">
        <f t="shared" si="18"/>
        <v>0</v>
      </c>
      <c r="BD49" s="2">
        <f t="shared" si="18"/>
        <v>0</v>
      </c>
      <c r="BE49" s="2">
        <f t="shared" si="18"/>
        <v>0</v>
      </c>
      <c r="BF49" s="2">
        <f t="shared" si="18"/>
        <v>0</v>
      </c>
      <c r="BG49" s="2">
        <f t="shared" si="18"/>
        <v>0</v>
      </c>
      <c r="BH49" s="2">
        <f t="shared" si="18"/>
        <v>0</v>
      </c>
      <c r="BI49" s="2">
        <f t="shared" si="18"/>
        <v>0</v>
      </c>
      <c r="BJ49" s="2">
        <f t="shared" si="18"/>
        <v>0</v>
      </c>
      <c r="BK49" s="2">
        <f t="shared" si="18"/>
        <v>0</v>
      </c>
      <c r="BL49" s="2"/>
      <c r="BM49" s="2">
        <f t="shared" si="17"/>
        <v>1.003889738105245E-4</v>
      </c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1" customFormat="1">
      <c r="A50" s="1" t="s">
        <v>123</v>
      </c>
      <c r="B50" s="54">
        <f t="shared" si="14"/>
        <v>0.30910444058546266</v>
      </c>
      <c r="C50" s="2">
        <f t="shared" ref="C50:BM50" si="19">C30*$C11/$B11</f>
        <v>0.32250062019350034</v>
      </c>
      <c r="D50" s="2">
        <f t="shared" si="19"/>
        <v>0.29918134457950879</v>
      </c>
      <c r="E50" s="2">
        <f t="shared" si="19"/>
        <v>0.29719672537831804</v>
      </c>
      <c r="F50" s="2">
        <f t="shared" si="19"/>
        <v>0.30364673778218804</v>
      </c>
      <c r="G50" s="2">
        <f t="shared" si="19"/>
        <v>0.29570826097742492</v>
      </c>
      <c r="H50" s="2">
        <f t="shared" si="19"/>
        <v>0.30736789878442072</v>
      </c>
      <c r="I50" s="2">
        <f t="shared" si="19"/>
        <v>0.30811213098486728</v>
      </c>
      <c r="J50" s="2">
        <f t="shared" si="19"/>
        <v>0.31853138179111878</v>
      </c>
      <c r="K50" s="54">
        <f t="shared" si="19"/>
        <v>0.27536591416521955</v>
      </c>
      <c r="L50" s="2">
        <f t="shared" si="19"/>
        <v>0.31853138179111878</v>
      </c>
      <c r="M50" s="2">
        <f t="shared" si="19"/>
        <v>0.30215827338129492</v>
      </c>
      <c r="N50" s="2">
        <f t="shared" si="19"/>
        <v>0.29273133217563879</v>
      </c>
      <c r="O50" s="2">
        <f t="shared" si="19"/>
        <v>0.29992557677995535</v>
      </c>
      <c r="P50" s="2">
        <f t="shared" si="19"/>
        <v>0.30662366658397416</v>
      </c>
      <c r="Q50" s="54">
        <f t="shared" si="19"/>
        <v>0.40709501364425699</v>
      </c>
      <c r="R50" s="2">
        <f t="shared" si="19"/>
        <v>0.28925824857355492</v>
      </c>
      <c r="S50" s="2">
        <f t="shared" si="19"/>
        <v>0.28876209377325723</v>
      </c>
      <c r="T50" s="2">
        <f t="shared" si="19"/>
        <v>0.29124286777474573</v>
      </c>
      <c r="U50" s="2">
        <f t="shared" ref="U50:BK50" si="20">U30*$C11/$B11</f>
        <v>0.27685437856611261</v>
      </c>
      <c r="V50" s="2">
        <f t="shared" si="20"/>
        <v>0.27784668816670799</v>
      </c>
      <c r="W50" s="2">
        <f t="shared" si="20"/>
        <v>0.3019101959811461</v>
      </c>
      <c r="X50" s="2">
        <f t="shared" si="20"/>
        <v>0.30711982138427191</v>
      </c>
      <c r="Y50" s="54">
        <f t="shared" si="20"/>
        <v>0.17489456710493673</v>
      </c>
      <c r="Z50" s="2">
        <f t="shared" si="20"/>
        <v>0.27759861076655912</v>
      </c>
      <c r="AA50" s="54">
        <f t="shared" si="20"/>
        <v>0.31034482758620685</v>
      </c>
      <c r="AB50" s="2">
        <f t="shared" si="20"/>
        <v>0.32200446539320265</v>
      </c>
      <c r="AC50" s="2">
        <f t="shared" si="20"/>
        <v>0.31232944678739766</v>
      </c>
      <c r="AD50" s="2">
        <f t="shared" si="20"/>
        <v>0.30463904738278341</v>
      </c>
      <c r="AE50" s="2">
        <f t="shared" si="20"/>
        <v>0.30042173158025298</v>
      </c>
      <c r="AF50" s="2">
        <f t="shared" si="20"/>
        <v>0.30612751178367648</v>
      </c>
      <c r="AG50" s="2">
        <f t="shared" si="20"/>
        <v>0.2947159513768296</v>
      </c>
      <c r="AH50" s="2">
        <f t="shared" si="20"/>
        <v>0.30711982138427191</v>
      </c>
      <c r="AI50" s="2">
        <f t="shared" si="20"/>
        <v>0.2947159513768296</v>
      </c>
      <c r="AJ50" s="2">
        <f t="shared" si="20"/>
        <v>0.3083602083850161</v>
      </c>
      <c r="AK50" s="2">
        <f t="shared" si="20"/>
        <v>0.28007938476804761</v>
      </c>
      <c r="AL50" s="2">
        <f t="shared" si="20"/>
        <v>0.27536591416521955</v>
      </c>
      <c r="AM50" s="2">
        <f t="shared" si="20"/>
        <v>0.28901017117340611</v>
      </c>
      <c r="AN50" s="2">
        <f t="shared" si="20"/>
        <v>0.28479285537087573</v>
      </c>
      <c r="AO50" s="2">
        <f t="shared" si="20"/>
        <v>0.28727362937236417</v>
      </c>
      <c r="AP50" s="2">
        <f t="shared" si="20"/>
        <v>0.24510047134706028</v>
      </c>
      <c r="AQ50" s="2">
        <f t="shared" si="20"/>
        <v>0.24534854874720913</v>
      </c>
      <c r="AR50" s="2">
        <f t="shared" si="20"/>
        <v>0.2431158521458695</v>
      </c>
      <c r="AS50" s="2">
        <f t="shared" si="20"/>
        <v>0.23939469114363682</v>
      </c>
      <c r="AT50" s="2">
        <f t="shared" si="20"/>
        <v>0.23865045894319023</v>
      </c>
      <c r="AU50" s="54">
        <f t="shared" si="20"/>
        <v>0.26767551476060525</v>
      </c>
      <c r="AV50" s="2">
        <f t="shared" si="20"/>
        <v>0.23765814934259488</v>
      </c>
      <c r="AW50" s="2">
        <f t="shared" si="20"/>
        <v>0.23368891094021332</v>
      </c>
      <c r="AX50" s="2">
        <f t="shared" si="20"/>
        <v>0.18680228231208137</v>
      </c>
      <c r="AY50" s="2">
        <f t="shared" si="20"/>
        <v>0.23468122054080873</v>
      </c>
      <c r="AZ50" s="2">
        <f t="shared" si="20"/>
        <v>0.24609278094765566</v>
      </c>
      <c r="BA50" s="2">
        <f t="shared" si="20"/>
        <v>0.28131977176879186</v>
      </c>
      <c r="BB50" s="2">
        <f t="shared" si="20"/>
        <v>0.27759861076655912</v>
      </c>
      <c r="BC50" s="2">
        <f t="shared" si="20"/>
        <v>0.28131977176879186</v>
      </c>
      <c r="BD50" s="2">
        <f t="shared" si="20"/>
        <v>0.2741255271644753</v>
      </c>
      <c r="BE50" s="2">
        <f t="shared" si="20"/>
        <v>0.28479285537087573</v>
      </c>
      <c r="BF50" s="2">
        <f t="shared" si="20"/>
        <v>0.23616968494170179</v>
      </c>
      <c r="BG50" s="2">
        <f t="shared" si="20"/>
        <v>0.23443314314065986</v>
      </c>
      <c r="BH50" s="2">
        <f t="shared" si="20"/>
        <v>0.24386008434631604</v>
      </c>
      <c r="BI50" s="2">
        <f t="shared" si="20"/>
        <v>0.23145621433887373</v>
      </c>
      <c r="BJ50" s="2">
        <f t="shared" si="20"/>
        <v>0.2413793103448276</v>
      </c>
      <c r="BK50" s="2">
        <f t="shared" si="20"/>
        <v>0</v>
      </c>
      <c r="BL50" s="2"/>
      <c r="BM50" s="2">
        <f t="shared" si="19"/>
        <v>0.30535226990821135</v>
      </c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1" customFormat="1">
      <c r="A51" s="1" t="s">
        <v>124</v>
      </c>
      <c r="B51" s="54">
        <f t="shared" si="14"/>
        <v>0.18705420827389443</v>
      </c>
      <c r="C51" s="2">
        <f t="shared" ref="C51:BM51" si="21">C31*$C12/$B12</f>
        <v>0.18776747503566332</v>
      </c>
      <c r="D51" s="2">
        <f t="shared" si="21"/>
        <v>0.18812410841654781</v>
      </c>
      <c r="E51" s="2">
        <f t="shared" si="21"/>
        <v>0.1783166904422254</v>
      </c>
      <c r="F51" s="2">
        <f t="shared" si="21"/>
        <v>0.193830242510699</v>
      </c>
      <c r="G51" s="2">
        <f t="shared" si="21"/>
        <v>0.19507845934379459</v>
      </c>
      <c r="H51" s="2">
        <f t="shared" si="21"/>
        <v>0.19650499286733239</v>
      </c>
      <c r="I51" s="2">
        <f t="shared" si="21"/>
        <v>0.19276034236804565</v>
      </c>
      <c r="J51" s="2">
        <f t="shared" si="21"/>
        <v>0.18295292439372327</v>
      </c>
      <c r="K51" s="54">
        <f t="shared" si="21"/>
        <v>0.18455777460770328</v>
      </c>
      <c r="L51" s="2">
        <f t="shared" si="21"/>
        <v>0.18687589158345222</v>
      </c>
      <c r="M51" s="2">
        <f t="shared" si="21"/>
        <v>0.19276034236804565</v>
      </c>
      <c r="N51" s="2">
        <f t="shared" si="21"/>
        <v>0.1852710413694722</v>
      </c>
      <c r="O51" s="2">
        <f t="shared" si="21"/>
        <v>0.19347360912981454</v>
      </c>
      <c r="P51" s="2">
        <f t="shared" si="21"/>
        <v>0.21629814550641943</v>
      </c>
      <c r="Q51" s="54">
        <f t="shared" si="21"/>
        <v>0.2253922967189729</v>
      </c>
      <c r="R51" s="2">
        <f t="shared" si="21"/>
        <v>0.21308844507845934</v>
      </c>
      <c r="S51" s="2">
        <f t="shared" si="21"/>
        <v>0.21451497860199714</v>
      </c>
      <c r="T51" s="2">
        <f t="shared" si="21"/>
        <v>0.21522824536376606</v>
      </c>
      <c r="U51" s="2">
        <f t="shared" ref="U51:BK51" si="22">U31*$C12/$B12</f>
        <v>0.21166191155492153</v>
      </c>
      <c r="V51" s="2">
        <f t="shared" si="22"/>
        <v>0.21558487874465052</v>
      </c>
      <c r="W51" s="2">
        <f t="shared" si="22"/>
        <v>0.21487161198288163</v>
      </c>
      <c r="X51" s="2">
        <f t="shared" si="22"/>
        <v>0.21094864479315265</v>
      </c>
      <c r="Y51" s="54">
        <f t="shared" si="22"/>
        <v>0.28958630527817403</v>
      </c>
      <c r="Z51" s="2">
        <f t="shared" si="22"/>
        <v>0.23359486447931527</v>
      </c>
      <c r="AA51" s="54">
        <f t="shared" si="22"/>
        <v>0.24215406562054209</v>
      </c>
      <c r="AB51" s="2">
        <f t="shared" si="22"/>
        <v>0.20221112696148361</v>
      </c>
      <c r="AC51" s="2">
        <f t="shared" si="22"/>
        <v>0.20131954350927245</v>
      </c>
      <c r="AD51" s="2">
        <f t="shared" si="22"/>
        <v>0.20470756062767476</v>
      </c>
      <c r="AE51" s="2">
        <f t="shared" si="22"/>
        <v>0.19828815977175462</v>
      </c>
      <c r="AF51" s="2">
        <f t="shared" si="22"/>
        <v>0.19971469329529243</v>
      </c>
      <c r="AG51" s="2">
        <f t="shared" si="22"/>
        <v>0.1998930099857347</v>
      </c>
      <c r="AH51" s="2">
        <f t="shared" si="22"/>
        <v>0.19917974322396576</v>
      </c>
      <c r="AI51" s="2">
        <f t="shared" si="22"/>
        <v>0.20042796005706134</v>
      </c>
      <c r="AJ51" s="2">
        <f t="shared" si="22"/>
        <v>0.19632667617689015</v>
      </c>
      <c r="AK51" s="2">
        <f t="shared" si="22"/>
        <v>0.19703994293865909</v>
      </c>
      <c r="AL51" s="2">
        <f t="shared" si="22"/>
        <v>0.19472182596291013</v>
      </c>
      <c r="AM51" s="2">
        <f t="shared" si="22"/>
        <v>0.193830242510699</v>
      </c>
      <c r="AN51" s="2">
        <f t="shared" si="22"/>
        <v>0.19097717546362342</v>
      </c>
      <c r="AO51" s="2">
        <f t="shared" si="22"/>
        <v>0.19400855920114124</v>
      </c>
      <c r="AP51" s="2">
        <f t="shared" si="22"/>
        <v>0.21023537803138373</v>
      </c>
      <c r="AQ51" s="2">
        <f t="shared" si="22"/>
        <v>0.20845221112696147</v>
      </c>
      <c r="AR51" s="2">
        <f t="shared" si="22"/>
        <v>0.2113052781740371</v>
      </c>
      <c r="AS51" s="2">
        <f t="shared" si="22"/>
        <v>0.21005706134094151</v>
      </c>
      <c r="AT51" s="2">
        <f t="shared" si="22"/>
        <v>0.20363766048502141</v>
      </c>
      <c r="AU51" s="54">
        <f t="shared" si="22"/>
        <v>0.20934379457917263</v>
      </c>
      <c r="AV51" s="2">
        <f t="shared" si="22"/>
        <v>0.20399429386590584</v>
      </c>
      <c r="AW51" s="2">
        <f t="shared" si="22"/>
        <v>0.20809557774607704</v>
      </c>
      <c r="AX51" s="2">
        <f t="shared" si="22"/>
        <v>0.25588445078459343</v>
      </c>
      <c r="AY51" s="2">
        <f t="shared" si="22"/>
        <v>0.20470756062767476</v>
      </c>
      <c r="AZ51" s="2">
        <f t="shared" si="22"/>
        <v>0.20934379457917263</v>
      </c>
      <c r="BA51" s="2">
        <f t="shared" si="22"/>
        <v>0.21433666191155493</v>
      </c>
      <c r="BB51" s="2">
        <f t="shared" si="22"/>
        <v>0.21077032810271043</v>
      </c>
      <c r="BC51" s="2">
        <f t="shared" si="22"/>
        <v>0.21255349500713266</v>
      </c>
      <c r="BD51" s="2">
        <f t="shared" si="22"/>
        <v>0.21308844507845934</v>
      </c>
      <c r="BE51" s="2">
        <f t="shared" si="22"/>
        <v>0.21398002853067047</v>
      </c>
      <c r="BF51" s="2">
        <f t="shared" si="22"/>
        <v>0.20666904422253923</v>
      </c>
      <c r="BG51" s="2">
        <f t="shared" si="22"/>
        <v>0.20221112696148361</v>
      </c>
      <c r="BH51" s="2">
        <f t="shared" si="22"/>
        <v>0.20845221112696147</v>
      </c>
      <c r="BI51" s="2">
        <f t="shared" si="22"/>
        <v>0.20328102710413695</v>
      </c>
      <c r="BJ51" s="2">
        <f t="shared" si="22"/>
        <v>0.21362339514978604</v>
      </c>
      <c r="BK51" s="2">
        <f t="shared" si="22"/>
        <v>0</v>
      </c>
      <c r="BL51" s="2"/>
      <c r="BM51" s="2">
        <f t="shared" si="21"/>
        <v>0.18992956490727531</v>
      </c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1" customFormat="1">
      <c r="A52" s="1" t="s">
        <v>125</v>
      </c>
      <c r="B52" s="54">
        <f t="shared" si="14"/>
        <v>4.3561033848536677E-2</v>
      </c>
      <c r="C52" s="2">
        <f t="shared" ref="C52:BM52" si="23">C32*$C13/$B13</f>
        <v>4.5174405472556543E-2</v>
      </c>
      <c r="D52" s="2">
        <f t="shared" si="23"/>
        <v>4.872382304540028E-2</v>
      </c>
      <c r="E52" s="2">
        <f t="shared" si="23"/>
        <v>4.4851731147752573E-2</v>
      </c>
      <c r="F52" s="2">
        <f t="shared" si="23"/>
        <v>4.4851731147752573E-2</v>
      </c>
      <c r="G52" s="2">
        <f t="shared" si="23"/>
        <v>4.7433125746184378E-2</v>
      </c>
      <c r="H52" s="2">
        <f t="shared" si="23"/>
        <v>4.4206382498144625E-2</v>
      </c>
      <c r="I52" s="2">
        <f t="shared" si="23"/>
        <v>4.5497079797360521E-2</v>
      </c>
      <c r="J52" s="2">
        <f t="shared" si="23"/>
        <v>4.5497079797360521E-2</v>
      </c>
      <c r="K52" s="54">
        <f t="shared" si="23"/>
        <v>4.162498789971282E-2</v>
      </c>
      <c r="L52" s="2">
        <f t="shared" si="23"/>
        <v>4.9369171695008228E-2</v>
      </c>
      <c r="M52" s="2">
        <f t="shared" si="23"/>
        <v>4.6787777096576423E-2</v>
      </c>
      <c r="N52" s="2">
        <f t="shared" si="23"/>
        <v>5.2595914943047981E-2</v>
      </c>
      <c r="O52" s="2">
        <f t="shared" si="23"/>
        <v>4.872382304540028E-2</v>
      </c>
      <c r="P52" s="2">
        <f t="shared" si="23"/>
        <v>4.4529056822948596E-2</v>
      </c>
      <c r="Q52" s="54">
        <f t="shared" si="23"/>
        <v>2.3877900035494174E-2</v>
      </c>
      <c r="R52" s="2">
        <f t="shared" si="23"/>
        <v>5.3886612242263883E-2</v>
      </c>
      <c r="S52" s="2">
        <f t="shared" si="23"/>
        <v>5.065986899422413E-2</v>
      </c>
      <c r="T52" s="2">
        <f t="shared" si="23"/>
        <v>5.1627891968636062E-2</v>
      </c>
      <c r="U52" s="2">
        <f t="shared" ref="U52:BK52" si="24">U32*$C13/$B13</f>
        <v>5.2918589267851958E-2</v>
      </c>
      <c r="V52" s="2">
        <f t="shared" si="24"/>
        <v>5.420928656706786E-2</v>
      </c>
      <c r="W52" s="2">
        <f t="shared" si="24"/>
        <v>4.0011616275692941E-2</v>
      </c>
      <c r="X52" s="2">
        <f t="shared" si="24"/>
        <v>4.9046497370204251E-2</v>
      </c>
      <c r="Y52" s="54">
        <f t="shared" si="24"/>
        <v>3.3880804104417413E-2</v>
      </c>
      <c r="Z52" s="2">
        <f t="shared" si="24"/>
        <v>4.0656964925300895E-2</v>
      </c>
      <c r="AA52" s="54">
        <f t="shared" si="24"/>
        <v>3.7752896002065113E-2</v>
      </c>
      <c r="AB52" s="2">
        <f t="shared" si="24"/>
        <v>6.7116259559226871E-2</v>
      </c>
      <c r="AC52" s="2">
        <f t="shared" si="24"/>
        <v>7.9700558226581925E-2</v>
      </c>
      <c r="AD52" s="2">
        <f t="shared" si="24"/>
        <v>8.0991255525797806E-2</v>
      </c>
      <c r="AE52" s="2">
        <f t="shared" si="24"/>
        <v>8.3249975799425641E-2</v>
      </c>
      <c r="AF52" s="2">
        <f t="shared" si="24"/>
        <v>8.486334742344552E-2</v>
      </c>
      <c r="AG52" s="2">
        <f t="shared" si="24"/>
        <v>8.5186021748249491E-2</v>
      </c>
      <c r="AH52" s="2">
        <f t="shared" si="24"/>
        <v>8.3572650124229611E-2</v>
      </c>
      <c r="AI52" s="2">
        <f t="shared" si="24"/>
        <v>8.2281952825013716E-2</v>
      </c>
      <c r="AJ52" s="2">
        <f t="shared" si="24"/>
        <v>8.2604627149817686E-2</v>
      </c>
      <c r="AK52" s="2">
        <f t="shared" si="24"/>
        <v>7.8732535252169986E-2</v>
      </c>
      <c r="AL52" s="2">
        <f t="shared" si="24"/>
        <v>8.3572650124229611E-2</v>
      </c>
      <c r="AM52" s="2">
        <f t="shared" si="24"/>
        <v>7.9700558226581925E-2</v>
      </c>
      <c r="AN52" s="2">
        <f t="shared" si="24"/>
        <v>8.0345906876189865E-2</v>
      </c>
      <c r="AO52" s="2">
        <f t="shared" si="24"/>
        <v>8.3249975799425641E-2</v>
      </c>
      <c r="AP52" s="2">
        <f t="shared" si="24"/>
        <v>4.5497079797360521E-2</v>
      </c>
      <c r="AQ52" s="2">
        <f t="shared" si="24"/>
        <v>4.1947662224516798E-2</v>
      </c>
      <c r="AR52" s="2">
        <f t="shared" si="24"/>
        <v>4.6465102771772446E-2</v>
      </c>
      <c r="AS52" s="2">
        <f t="shared" si="24"/>
        <v>4.8078474395792326E-2</v>
      </c>
      <c r="AT52" s="2">
        <f t="shared" si="24"/>
        <v>5.0982543319028108E-2</v>
      </c>
      <c r="AU52" s="54">
        <f t="shared" si="24"/>
        <v>3.7430221677261136E-2</v>
      </c>
      <c r="AV52" s="2">
        <f t="shared" si="24"/>
        <v>4.9691846019812205E-2</v>
      </c>
      <c r="AW52" s="2">
        <f t="shared" si="24"/>
        <v>4.9369171695008228E-2</v>
      </c>
      <c r="AX52" s="2">
        <f t="shared" si="24"/>
        <v>3.2267432480397533E-2</v>
      </c>
      <c r="AY52" s="2">
        <f t="shared" si="24"/>
        <v>5.1305217643832085E-2</v>
      </c>
      <c r="AZ52" s="2">
        <f t="shared" si="24"/>
        <v>4.6465102771772446E-2</v>
      </c>
      <c r="BA52" s="2">
        <f t="shared" si="24"/>
        <v>6.3566841986383141E-2</v>
      </c>
      <c r="BB52" s="2">
        <f t="shared" si="24"/>
        <v>6.4212190635991095E-2</v>
      </c>
      <c r="BC52" s="2">
        <f t="shared" si="24"/>
        <v>6.1630796037559291E-2</v>
      </c>
      <c r="BD52" s="2">
        <f t="shared" si="24"/>
        <v>6.2921493336775186E-2</v>
      </c>
      <c r="BE52" s="2">
        <f t="shared" si="24"/>
        <v>6.324416766157917E-2</v>
      </c>
      <c r="BF52" s="2">
        <f t="shared" si="24"/>
        <v>7.6796489303346135E-2</v>
      </c>
      <c r="BG52" s="2">
        <f t="shared" si="24"/>
        <v>7.8087186602562031E-2</v>
      </c>
      <c r="BH52" s="2">
        <f t="shared" si="24"/>
        <v>7.2601723080894451E-2</v>
      </c>
      <c r="BI52" s="2">
        <f t="shared" si="24"/>
        <v>7.163370010648254E-2</v>
      </c>
      <c r="BJ52" s="2">
        <f t="shared" si="24"/>
        <v>7.034300280726663E-2</v>
      </c>
      <c r="BK52" s="2">
        <f t="shared" si="24"/>
        <v>0</v>
      </c>
      <c r="BL52" s="2"/>
      <c r="BM52" s="2">
        <f t="shared" si="23"/>
        <v>4.5537414087961019E-2</v>
      </c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1" customFormat="1">
      <c r="A53" s="1" t="s">
        <v>126</v>
      </c>
      <c r="B53" s="54">
        <f t="shared" si="14"/>
        <v>5.0955414012738851E-3</v>
      </c>
      <c r="C53" s="2">
        <f t="shared" ref="C53:BM53" si="25">C33*$C14/$B14</f>
        <v>2.9723991507431E-3</v>
      </c>
      <c r="D53" s="2">
        <f t="shared" si="25"/>
        <v>5.7324840764331215E-3</v>
      </c>
      <c r="E53" s="2">
        <f t="shared" si="25"/>
        <v>5.3078556263269636E-3</v>
      </c>
      <c r="F53" s="2">
        <f t="shared" si="25"/>
        <v>7.218683651804671E-3</v>
      </c>
      <c r="G53" s="2">
        <f t="shared" si="25"/>
        <v>5.5201698513800421E-3</v>
      </c>
      <c r="H53" s="2">
        <f t="shared" si="25"/>
        <v>4.4585987261146496E-3</v>
      </c>
      <c r="I53" s="2">
        <f t="shared" si="25"/>
        <v>4.8832271762208066E-3</v>
      </c>
      <c r="J53" s="2">
        <f t="shared" si="25"/>
        <v>3.397027600849257E-3</v>
      </c>
      <c r="K53" s="54">
        <f t="shared" si="25"/>
        <v>5.7324840764331215E-3</v>
      </c>
      <c r="L53" s="2">
        <f t="shared" si="25"/>
        <v>2.9723991507431E-3</v>
      </c>
      <c r="M53" s="2">
        <f t="shared" si="25"/>
        <v>4.6709129511677281E-3</v>
      </c>
      <c r="N53" s="2">
        <f t="shared" si="25"/>
        <v>5.3078556263269636E-3</v>
      </c>
      <c r="O53" s="2">
        <f t="shared" si="25"/>
        <v>5.3078556263269636E-3</v>
      </c>
      <c r="P53" s="2">
        <f t="shared" si="25"/>
        <v>1.5498938428874733E-2</v>
      </c>
      <c r="Q53" s="54">
        <f t="shared" si="25"/>
        <v>5.5201698513800421E-3</v>
      </c>
      <c r="R53" s="2">
        <f t="shared" si="25"/>
        <v>2.1019108280254776E-2</v>
      </c>
      <c r="S53" s="2">
        <f t="shared" si="25"/>
        <v>2.1656050955414011E-2</v>
      </c>
      <c r="T53" s="2">
        <f t="shared" si="25"/>
        <v>1.9957537154989383E-2</v>
      </c>
      <c r="U53" s="2">
        <f t="shared" ref="U53:BK53" si="26">U33*$C14/$B14</f>
        <v>2.1443736730360933E-2</v>
      </c>
      <c r="V53" s="2">
        <f t="shared" si="26"/>
        <v>2.2717622080679407E-2</v>
      </c>
      <c r="W53" s="2">
        <f t="shared" si="26"/>
        <v>1.4861995753715497E-2</v>
      </c>
      <c r="X53" s="2">
        <f t="shared" si="26"/>
        <v>1.613588110403397E-2</v>
      </c>
      <c r="Y53" s="54">
        <f t="shared" si="26"/>
        <v>1.4225053078556264E-2</v>
      </c>
      <c r="Z53" s="2">
        <f t="shared" si="26"/>
        <v>1.4649681528662419E-2</v>
      </c>
      <c r="AA53" s="54">
        <f t="shared" si="26"/>
        <v>8.4925690021231425E-4</v>
      </c>
      <c r="AB53" s="2">
        <f t="shared" si="26"/>
        <v>2.1231422505307855E-3</v>
      </c>
      <c r="AC53" s="2">
        <f t="shared" si="26"/>
        <v>3.1847133757961781E-3</v>
      </c>
      <c r="AD53" s="2">
        <f t="shared" si="26"/>
        <v>2.9723991507431E-3</v>
      </c>
      <c r="AE53" s="2">
        <f t="shared" si="26"/>
        <v>2.9723991507431E-3</v>
      </c>
      <c r="AF53" s="2">
        <f t="shared" si="26"/>
        <v>2.5477707006369425E-3</v>
      </c>
      <c r="AG53" s="2">
        <f t="shared" si="26"/>
        <v>2.9723991507431E-3</v>
      </c>
      <c r="AH53" s="2">
        <f t="shared" si="26"/>
        <v>2.5477707006369425E-3</v>
      </c>
      <c r="AI53" s="2">
        <f t="shared" si="26"/>
        <v>3.8216560509554136E-3</v>
      </c>
      <c r="AJ53" s="2">
        <f t="shared" si="26"/>
        <v>2.5477707006369425E-3</v>
      </c>
      <c r="AK53" s="2">
        <f t="shared" si="26"/>
        <v>9.5541401273885346E-3</v>
      </c>
      <c r="AL53" s="2">
        <f t="shared" si="26"/>
        <v>6.794055201698514E-3</v>
      </c>
      <c r="AM53" s="2">
        <f t="shared" si="26"/>
        <v>8.0679405520169851E-3</v>
      </c>
      <c r="AN53" s="2">
        <f t="shared" si="26"/>
        <v>7.8556263269639066E-3</v>
      </c>
      <c r="AO53" s="2">
        <f t="shared" si="26"/>
        <v>5.9447983014862E-3</v>
      </c>
      <c r="AP53" s="2">
        <f t="shared" si="26"/>
        <v>2.7600849256900211E-3</v>
      </c>
      <c r="AQ53" s="2">
        <f t="shared" si="26"/>
        <v>3.8216560509554136E-3</v>
      </c>
      <c r="AR53" s="2">
        <f t="shared" si="26"/>
        <v>3.1847133757961781E-3</v>
      </c>
      <c r="AS53" s="2">
        <f t="shared" si="26"/>
        <v>3.397027600849257E-3</v>
      </c>
      <c r="AT53" s="2">
        <f t="shared" si="26"/>
        <v>8.4925690021231425E-4</v>
      </c>
      <c r="AU53" s="54">
        <f t="shared" si="26"/>
        <v>3.397027600849257E-3</v>
      </c>
      <c r="AV53" s="2">
        <f t="shared" si="26"/>
        <v>2.9723991507431E-3</v>
      </c>
      <c r="AW53" s="2">
        <f t="shared" si="26"/>
        <v>3.6093418259023355E-3</v>
      </c>
      <c r="AX53" s="2">
        <f t="shared" si="26"/>
        <v>1.48619957537155E-3</v>
      </c>
      <c r="AY53" s="2">
        <f t="shared" si="26"/>
        <v>1.6985138004246285E-3</v>
      </c>
      <c r="AZ53" s="2">
        <f t="shared" si="26"/>
        <v>3.6093418259023355E-3</v>
      </c>
      <c r="BA53" s="2">
        <f t="shared" si="26"/>
        <v>8.4925690021231425E-4</v>
      </c>
      <c r="BB53" s="2">
        <f t="shared" si="26"/>
        <v>6.3694267515923564E-4</v>
      </c>
      <c r="BC53" s="2">
        <f t="shared" si="26"/>
        <v>8.4925690021231425E-4</v>
      </c>
      <c r="BD53" s="2">
        <f t="shared" si="26"/>
        <v>1.48619957537155E-3</v>
      </c>
      <c r="BE53" s="2">
        <f t="shared" si="26"/>
        <v>1.9108280254777068E-3</v>
      </c>
      <c r="BF53" s="2">
        <f t="shared" si="26"/>
        <v>1.9108280254777068E-3</v>
      </c>
      <c r="BG53" s="2">
        <f t="shared" si="26"/>
        <v>2.9723991507431E-3</v>
      </c>
      <c r="BH53" s="2">
        <f t="shared" si="26"/>
        <v>1.6985138004246285E-3</v>
      </c>
      <c r="BI53" s="2">
        <f t="shared" si="26"/>
        <v>1.0615711252653928E-3</v>
      </c>
      <c r="BJ53" s="2">
        <f t="shared" si="26"/>
        <v>2.5477707006369425E-3</v>
      </c>
      <c r="BK53" s="2">
        <f t="shared" si="26"/>
        <v>0</v>
      </c>
      <c r="BL53" s="2"/>
      <c r="BM53" s="2">
        <f t="shared" si="25"/>
        <v>5.1486199575371547E-3</v>
      </c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s="1" customFormat="1">
      <c r="A54" s="1" t="s">
        <v>89</v>
      </c>
      <c r="B54" s="54">
        <f>B34*$C16/$B16</f>
        <v>0</v>
      </c>
      <c r="C54" s="2">
        <f t="shared" ref="C54:BM54" si="27">C34*$C16/$B16</f>
        <v>0</v>
      </c>
      <c r="D54" s="2">
        <f t="shared" si="27"/>
        <v>0</v>
      </c>
      <c r="E54" s="2">
        <f t="shared" si="27"/>
        <v>0</v>
      </c>
      <c r="F54" s="2">
        <f t="shared" si="27"/>
        <v>0</v>
      </c>
      <c r="G54" s="2">
        <f t="shared" si="27"/>
        <v>0</v>
      </c>
      <c r="H54" s="2">
        <f t="shared" si="27"/>
        <v>0</v>
      </c>
      <c r="I54" s="2">
        <f t="shared" si="27"/>
        <v>0</v>
      </c>
      <c r="J54" s="2">
        <f t="shared" si="27"/>
        <v>0</v>
      </c>
      <c r="K54" s="54">
        <f t="shared" si="27"/>
        <v>0</v>
      </c>
      <c r="L54" s="2">
        <f t="shared" si="27"/>
        <v>0</v>
      </c>
      <c r="M54" s="2">
        <f t="shared" si="27"/>
        <v>0</v>
      </c>
      <c r="N54" s="2">
        <f t="shared" si="27"/>
        <v>0</v>
      </c>
      <c r="O54" s="2">
        <f t="shared" si="27"/>
        <v>0</v>
      </c>
      <c r="P54" s="2">
        <f t="shared" si="27"/>
        <v>0</v>
      </c>
      <c r="Q54" s="54">
        <f t="shared" si="27"/>
        <v>0</v>
      </c>
      <c r="R54" s="2">
        <f t="shared" si="27"/>
        <v>0</v>
      </c>
      <c r="S54" s="2">
        <f t="shared" si="27"/>
        <v>0</v>
      </c>
      <c r="T54" s="2">
        <f t="shared" si="27"/>
        <v>0</v>
      </c>
      <c r="U54" s="2">
        <f t="shared" ref="U54:BK54" si="28">U34*$C16/$B16</f>
        <v>0</v>
      </c>
      <c r="V54" s="2">
        <f t="shared" si="28"/>
        <v>0</v>
      </c>
      <c r="W54" s="2">
        <f t="shared" si="28"/>
        <v>0</v>
      </c>
      <c r="X54" s="2">
        <f t="shared" si="28"/>
        <v>0</v>
      </c>
      <c r="Y54" s="54">
        <f t="shared" si="28"/>
        <v>0</v>
      </c>
      <c r="Z54" s="2">
        <f t="shared" si="28"/>
        <v>0</v>
      </c>
      <c r="AA54" s="54">
        <f t="shared" si="28"/>
        <v>0</v>
      </c>
      <c r="AB54" s="2">
        <f t="shared" si="28"/>
        <v>0</v>
      </c>
      <c r="AC54" s="2">
        <f t="shared" si="28"/>
        <v>0</v>
      </c>
      <c r="AD54" s="2">
        <f t="shared" si="28"/>
        <v>0</v>
      </c>
      <c r="AE54" s="2">
        <f t="shared" si="28"/>
        <v>0</v>
      </c>
      <c r="AF54" s="2">
        <f t="shared" si="28"/>
        <v>0</v>
      </c>
      <c r="AG54" s="2">
        <f t="shared" si="28"/>
        <v>0</v>
      </c>
      <c r="AH54" s="2">
        <f t="shared" si="28"/>
        <v>0</v>
      </c>
      <c r="AI54" s="2">
        <f t="shared" si="28"/>
        <v>0</v>
      </c>
      <c r="AJ54" s="2">
        <f t="shared" si="28"/>
        <v>0</v>
      </c>
      <c r="AK54" s="2">
        <f t="shared" si="28"/>
        <v>0</v>
      </c>
      <c r="AL54" s="2">
        <f t="shared" si="28"/>
        <v>0</v>
      </c>
      <c r="AM54" s="2">
        <f t="shared" si="28"/>
        <v>0</v>
      </c>
      <c r="AN54" s="2">
        <f t="shared" si="28"/>
        <v>0</v>
      </c>
      <c r="AO54" s="2">
        <f t="shared" si="28"/>
        <v>0</v>
      </c>
      <c r="AP54" s="2">
        <f t="shared" si="28"/>
        <v>0</v>
      </c>
      <c r="AQ54" s="2">
        <f t="shared" si="28"/>
        <v>0</v>
      </c>
      <c r="AR54" s="2">
        <f t="shared" si="28"/>
        <v>0</v>
      </c>
      <c r="AS54" s="2">
        <f t="shared" si="28"/>
        <v>0</v>
      </c>
      <c r="AT54" s="2">
        <f t="shared" si="28"/>
        <v>0</v>
      </c>
      <c r="AU54" s="54">
        <f t="shared" si="28"/>
        <v>0</v>
      </c>
      <c r="AV54" s="2">
        <f t="shared" si="28"/>
        <v>0</v>
      </c>
      <c r="AW54" s="2">
        <f t="shared" si="28"/>
        <v>0</v>
      </c>
      <c r="AX54" s="2">
        <f t="shared" si="28"/>
        <v>0</v>
      </c>
      <c r="AY54" s="2">
        <f t="shared" si="28"/>
        <v>0</v>
      </c>
      <c r="AZ54" s="2">
        <f t="shared" si="28"/>
        <v>0</v>
      </c>
      <c r="BA54" s="2">
        <f t="shared" si="28"/>
        <v>0</v>
      </c>
      <c r="BB54" s="2">
        <f t="shared" si="28"/>
        <v>0</v>
      </c>
      <c r="BC54" s="2">
        <f t="shared" si="28"/>
        <v>0</v>
      </c>
      <c r="BD54" s="2">
        <f t="shared" si="28"/>
        <v>0</v>
      </c>
      <c r="BE54" s="2">
        <f t="shared" si="28"/>
        <v>0</v>
      </c>
      <c r="BF54" s="2">
        <f t="shared" si="28"/>
        <v>0</v>
      </c>
      <c r="BG54" s="2">
        <f t="shared" si="28"/>
        <v>0</v>
      </c>
      <c r="BH54" s="2">
        <f t="shared" si="28"/>
        <v>0</v>
      </c>
      <c r="BI54" s="2">
        <f t="shared" si="28"/>
        <v>0</v>
      </c>
      <c r="BJ54" s="2">
        <f t="shared" si="28"/>
        <v>0</v>
      </c>
      <c r="BK54" s="2">
        <f t="shared" si="28"/>
        <v>0</v>
      </c>
      <c r="BL54" s="2"/>
      <c r="BM54" s="2">
        <f t="shared" si="27"/>
        <v>0</v>
      </c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s="1" customFormat="1">
      <c r="A55" s="1" t="s">
        <v>86</v>
      </c>
      <c r="B55" s="54">
        <f>B35*$C17/$B17</f>
        <v>0</v>
      </c>
      <c r="C55" s="2">
        <f t="shared" ref="C55:BM55" si="29">C35*$C17/$B17</f>
        <v>0</v>
      </c>
      <c r="D55" s="2">
        <f t="shared" si="29"/>
        <v>0</v>
      </c>
      <c r="E55" s="2">
        <f t="shared" si="29"/>
        <v>0</v>
      </c>
      <c r="F55" s="2">
        <f t="shared" si="29"/>
        <v>0</v>
      </c>
      <c r="G55" s="2">
        <f t="shared" si="29"/>
        <v>0</v>
      </c>
      <c r="H55" s="2">
        <f t="shared" si="29"/>
        <v>0</v>
      </c>
      <c r="I55" s="2">
        <f t="shared" si="29"/>
        <v>0</v>
      </c>
      <c r="J55" s="2">
        <f t="shared" si="29"/>
        <v>0</v>
      </c>
      <c r="K55" s="54">
        <f t="shared" si="29"/>
        <v>0</v>
      </c>
      <c r="L55" s="2">
        <f t="shared" si="29"/>
        <v>0</v>
      </c>
      <c r="M55" s="2">
        <f t="shared" si="29"/>
        <v>0</v>
      </c>
      <c r="N55" s="2">
        <f t="shared" si="29"/>
        <v>0</v>
      </c>
      <c r="O55" s="2">
        <f t="shared" si="29"/>
        <v>0</v>
      </c>
      <c r="P55" s="2">
        <f t="shared" si="29"/>
        <v>0</v>
      </c>
      <c r="Q55" s="54">
        <f t="shared" si="29"/>
        <v>0</v>
      </c>
      <c r="R55" s="2">
        <f t="shared" si="29"/>
        <v>0</v>
      </c>
      <c r="S55" s="2">
        <f t="shared" si="29"/>
        <v>0</v>
      </c>
      <c r="T55" s="2">
        <f t="shared" si="29"/>
        <v>0</v>
      </c>
      <c r="U55" s="2">
        <f t="shared" ref="U55:BK55" si="30">U35*$C17/$B17</f>
        <v>0</v>
      </c>
      <c r="V55" s="2">
        <f t="shared" si="30"/>
        <v>0</v>
      </c>
      <c r="W55" s="2">
        <f t="shared" si="30"/>
        <v>0</v>
      </c>
      <c r="X55" s="2">
        <f t="shared" si="30"/>
        <v>0</v>
      </c>
      <c r="Y55" s="54">
        <f t="shared" si="30"/>
        <v>0</v>
      </c>
      <c r="Z55" s="2">
        <f t="shared" si="30"/>
        <v>0</v>
      </c>
      <c r="AA55" s="54">
        <f t="shared" si="30"/>
        <v>0</v>
      </c>
      <c r="AB55" s="2">
        <f t="shared" si="30"/>
        <v>0</v>
      </c>
      <c r="AC55" s="2">
        <f t="shared" si="30"/>
        <v>0</v>
      </c>
      <c r="AD55" s="2">
        <f t="shared" si="30"/>
        <v>0</v>
      </c>
      <c r="AE55" s="2">
        <f t="shared" si="30"/>
        <v>0</v>
      </c>
      <c r="AF55" s="2">
        <f t="shared" si="30"/>
        <v>0</v>
      </c>
      <c r="AG55" s="2">
        <f t="shared" si="30"/>
        <v>0</v>
      </c>
      <c r="AH55" s="2">
        <f t="shared" si="30"/>
        <v>0</v>
      </c>
      <c r="AI55" s="2">
        <f t="shared" si="30"/>
        <v>0</v>
      </c>
      <c r="AJ55" s="2">
        <f t="shared" si="30"/>
        <v>0</v>
      </c>
      <c r="AK55" s="2">
        <f t="shared" si="30"/>
        <v>0</v>
      </c>
      <c r="AL55" s="2">
        <f t="shared" si="30"/>
        <v>0</v>
      </c>
      <c r="AM55" s="2">
        <f t="shared" si="30"/>
        <v>0</v>
      </c>
      <c r="AN55" s="2">
        <f t="shared" si="30"/>
        <v>0</v>
      </c>
      <c r="AO55" s="2">
        <f t="shared" si="30"/>
        <v>0</v>
      </c>
      <c r="AP55" s="2">
        <f t="shared" si="30"/>
        <v>0</v>
      </c>
      <c r="AQ55" s="2">
        <f t="shared" si="30"/>
        <v>0</v>
      </c>
      <c r="AR55" s="2">
        <f t="shared" si="30"/>
        <v>0</v>
      </c>
      <c r="AS55" s="2">
        <f t="shared" si="30"/>
        <v>0</v>
      </c>
      <c r="AT55" s="2">
        <f t="shared" si="30"/>
        <v>0</v>
      </c>
      <c r="AU55" s="54">
        <f t="shared" si="30"/>
        <v>0</v>
      </c>
      <c r="AV55" s="2">
        <f t="shared" si="30"/>
        <v>0</v>
      </c>
      <c r="AW55" s="2">
        <f t="shared" si="30"/>
        <v>0</v>
      </c>
      <c r="AX55" s="2">
        <f t="shared" si="30"/>
        <v>0</v>
      </c>
      <c r="AY55" s="2">
        <f t="shared" si="30"/>
        <v>0</v>
      </c>
      <c r="AZ55" s="2">
        <f t="shared" si="30"/>
        <v>0</v>
      </c>
      <c r="BA55" s="2">
        <f t="shared" si="30"/>
        <v>0</v>
      </c>
      <c r="BB55" s="2">
        <f t="shared" si="30"/>
        <v>0</v>
      </c>
      <c r="BC55" s="2">
        <f t="shared" si="30"/>
        <v>0</v>
      </c>
      <c r="BD55" s="2">
        <f t="shared" si="30"/>
        <v>0</v>
      </c>
      <c r="BE55" s="2">
        <f t="shared" si="30"/>
        <v>0</v>
      </c>
      <c r="BF55" s="2">
        <f t="shared" si="30"/>
        <v>0</v>
      </c>
      <c r="BG55" s="2">
        <f t="shared" si="30"/>
        <v>0</v>
      </c>
      <c r="BH55" s="2">
        <f t="shared" si="30"/>
        <v>0</v>
      </c>
      <c r="BI55" s="2">
        <f t="shared" si="30"/>
        <v>0</v>
      </c>
      <c r="BJ55" s="2">
        <f t="shared" si="30"/>
        <v>0</v>
      </c>
      <c r="BK55" s="2">
        <f t="shared" si="30"/>
        <v>0</v>
      </c>
      <c r="BL55" s="2"/>
      <c r="BM55" s="2">
        <f t="shared" si="29"/>
        <v>0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s="1" customFormat="1">
      <c r="A56" s="1" t="s">
        <v>87</v>
      </c>
      <c r="B56" s="54">
        <f>B36*$C18/$B18</f>
        <v>0</v>
      </c>
      <c r="C56" s="2">
        <f t="shared" ref="C56:BM56" si="31">C36*$C18/$B18</f>
        <v>0</v>
      </c>
      <c r="D56" s="2">
        <f t="shared" si="31"/>
        <v>0</v>
      </c>
      <c r="E56" s="2">
        <f t="shared" si="31"/>
        <v>0</v>
      </c>
      <c r="F56" s="2">
        <f t="shared" si="31"/>
        <v>0</v>
      </c>
      <c r="G56" s="2">
        <f t="shared" si="31"/>
        <v>0</v>
      </c>
      <c r="H56" s="2">
        <f t="shared" si="31"/>
        <v>0</v>
      </c>
      <c r="I56" s="2">
        <f t="shared" si="31"/>
        <v>0</v>
      </c>
      <c r="J56" s="2">
        <f t="shared" si="31"/>
        <v>0</v>
      </c>
      <c r="K56" s="54">
        <f t="shared" si="31"/>
        <v>0</v>
      </c>
      <c r="L56" s="2">
        <f t="shared" si="31"/>
        <v>0</v>
      </c>
      <c r="M56" s="2">
        <f t="shared" si="31"/>
        <v>0</v>
      </c>
      <c r="N56" s="2">
        <f t="shared" si="31"/>
        <v>0</v>
      </c>
      <c r="O56" s="2">
        <f t="shared" si="31"/>
        <v>0</v>
      </c>
      <c r="P56" s="2">
        <f t="shared" si="31"/>
        <v>0</v>
      </c>
      <c r="Q56" s="54">
        <f t="shared" si="31"/>
        <v>0</v>
      </c>
      <c r="R56" s="2">
        <f t="shared" si="31"/>
        <v>0</v>
      </c>
      <c r="S56" s="2">
        <f t="shared" si="31"/>
        <v>0</v>
      </c>
      <c r="T56" s="2">
        <f t="shared" si="31"/>
        <v>0</v>
      </c>
      <c r="U56" s="2">
        <f t="shared" ref="U56:BK56" si="32">U36*$C18/$B18</f>
        <v>0</v>
      </c>
      <c r="V56" s="2">
        <f t="shared" si="32"/>
        <v>0</v>
      </c>
      <c r="W56" s="2">
        <f t="shared" si="32"/>
        <v>0</v>
      </c>
      <c r="X56" s="2">
        <f t="shared" si="32"/>
        <v>0</v>
      </c>
      <c r="Y56" s="54">
        <f t="shared" si="32"/>
        <v>0</v>
      </c>
      <c r="Z56" s="2">
        <f t="shared" si="32"/>
        <v>0</v>
      </c>
      <c r="AA56" s="54">
        <f t="shared" si="32"/>
        <v>0</v>
      </c>
      <c r="AB56" s="2">
        <f t="shared" si="32"/>
        <v>0</v>
      </c>
      <c r="AC56" s="2">
        <f t="shared" si="32"/>
        <v>0</v>
      </c>
      <c r="AD56" s="2">
        <f t="shared" si="32"/>
        <v>0</v>
      </c>
      <c r="AE56" s="2">
        <f t="shared" si="32"/>
        <v>0</v>
      </c>
      <c r="AF56" s="2">
        <f t="shared" si="32"/>
        <v>0</v>
      </c>
      <c r="AG56" s="2">
        <f t="shared" si="32"/>
        <v>0</v>
      </c>
      <c r="AH56" s="2">
        <f t="shared" si="32"/>
        <v>0</v>
      </c>
      <c r="AI56" s="2">
        <f t="shared" si="32"/>
        <v>0</v>
      </c>
      <c r="AJ56" s="2">
        <f t="shared" si="32"/>
        <v>0</v>
      </c>
      <c r="AK56" s="2">
        <f t="shared" si="32"/>
        <v>0</v>
      </c>
      <c r="AL56" s="2">
        <f t="shared" si="32"/>
        <v>0</v>
      </c>
      <c r="AM56" s="2">
        <f t="shared" si="32"/>
        <v>0</v>
      </c>
      <c r="AN56" s="2">
        <f t="shared" si="32"/>
        <v>0</v>
      </c>
      <c r="AO56" s="2">
        <f t="shared" si="32"/>
        <v>0</v>
      </c>
      <c r="AP56" s="2">
        <f t="shared" si="32"/>
        <v>0</v>
      </c>
      <c r="AQ56" s="2">
        <f t="shared" si="32"/>
        <v>0</v>
      </c>
      <c r="AR56" s="2">
        <f t="shared" si="32"/>
        <v>0</v>
      </c>
      <c r="AS56" s="2">
        <f t="shared" si="32"/>
        <v>0</v>
      </c>
      <c r="AT56" s="2">
        <f t="shared" si="32"/>
        <v>0</v>
      </c>
      <c r="AU56" s="54">
        <f t="shared" si="32"/>
        <v>0</v>
      </c>
      <c r="AV56" s="2">
        <f t="shared" si="32"/>
        <v>0</v>
      </c>
      <c r="AW56" s="2">
        <f t="shared" si="32"/>
        <v>0</v>
      </c>
      <c r="AX56" s="2">
        <f t="shared" si="32"/>
        <v>0</v>
      </c>
      <c r="AY56" s="2">
        <f t="shared" si="32"/>
        <v>0</v>
      </c>
      <c r="AZ56" s="2">
        <f t="shared" si="32"/>
        <v>0</v>
      </c>
      <c r="BA56" s="2">
        <f t="shared" si="32"/>
        <v>0</v>
      </c>
      <c r="BB56" s="2">
        <f t="shared" si="32"/>
        <v>0</v>
      </c>
      <c r="BC56" s="2">
        <f t="shared" si="32"/>
        <v>0</v>
      </c>
      <c r="BD56" s="2">
        <f t="shared" si="32"/>
        <v>0</v>
      </c>
      <c r="BE56" s="2">
        <f t="shared" si="32"/>
        <v>0</v>
      </c>
      <c r="BF56" s="2">
        <f t="shared" si="32"/>
        <v>0</v>
      </c>
      <c r="BG56" s="2">
        <f t="shared" si="32"/>
        <v>0</v>
      </c>
      <c r="BH56" s="2">
        <f t="shared" si="32"/>
        <v>0</v>
      </c>
      <c r="BI56" s="2">
        <f t="shared" si="32"/>
        <v>0</v>
      </c>
      <c r="BJ56" s="2">
        <f t="shared" si="32"/>
        <v>0</v>
      </c>
      <c r="BK56" s="2">
        <f t="shared" si="32"/>
        <v>0</v>
      </c>
      <c r="BL56" s="2"/>
      <c r="BM56" s="2">
        <f t="shared" si="31"/>
        <v>0</v>
      </c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s="1" customFormat="1">
      <c r="A57" s="1" t="s">
        <v>115</v>
      </c>
      <c r="B57" s="54">
        <f>SUM(B42:B56)</f>
        <v>1.7132867017166304</v>
      </c>
      <c r="C57" s="2">
        <f t="shared" ref="C57:BM57" si="33">SUM(C42:C56)</f>
        <v>1.7373191225336069</v>
      </c>
      <c r="D57" s="2">
        <f t="shared" si="33"/>
        <v>1.7451225340752214</v>
      </c>
      <c r="E57" s="2">
        <f t="shared" si="33"/>
        <v>1.7135931395795434</v>
      </c>
      <c r="F57" s="2">
        <f t="shared" si="33"/>
        <v>1.7365425486762975</v>
      </c>
      <c r="G57" s="2">
        <f t="shared" si="33"/>
        <v>1.7368527138072722</v>
      </c>
      <c r="H57" s="2">
        <f t="shared" si="33"/>
        <v>1.7347432768848103</v>
      </c>
      <c r="I57" s="2">
        <f t="shared" si="33"/>
        <v>1.7468488318046989</v>
      </c>
      <c r="J57" s="2">
        <f t="shared" si="33"/>
        <v>1.7399900361127991</v>
      </c>
      <c r="K57" s="54">
        <f t="shared" si="33"/>
        <v>1.6459189066091837</v>
      </c>
      <c r="L57" s="2">
        <f t="shared" si="33"/>
        <v>1.7521166004220432</v>
      </c>
      <c r="M57" s="2">
        <f t="shared" si="33"/>
        <v>1.7338015181803086</v>
      </c>
      <c r="N57" s="2">
        <f t="shared" si="33"/>
        <v>1.7361970846095323</v>
      </c>
      <c r="O57" s="2">
        <f t="shared" si="33"/>
        <v>1.7462876233485984</v>
      </c>
      <c r="P57" s="2">
        <f t="shared" si="33"/>
        <v>1.7214949976687912</v>
      </c>
      <c r="Q57" s="54">
        <f t="shared" si="33"/>
        <v>1.7510022735148412</v>
      </c>
      <c r="R57" s="2">
        <f t="shared" si="33"/>
        <v>1.7371907315856734</v>
      </c>
      <c r="S57" s="2">
        <f t="shared" si="33"/>
        <v>1.7368913754706432</v>
      </c>
      <c r="T57" s="2">
        <f t="shared" si="33"/>
        <v>1.7372710871281962</v>
      </c>
      <c r="U57" s="2">
        <f t="shared" ref="U57:BK57" si="34">SUM(U42:U56)</f>
        <v>1.7240480339258417</v>
      </c>
      <c r="V57" s="2">
        <f t="shared" si="34"/>
        <v>1.7337587111946957</v>
      </c>
      <c r="W57" s="2">
        <f t="shared" si="34"/>
        <v>1.7094126226588624</v>
      </c>
      <c r="X57" s="2">
        <f t="shared" si="34"/>
        <v>1.730103998218365</v>
      </c>
      <c r="Y57" s="54">
        <f t="shared" si="34"/>
        <v>1.7039212745119006</v>
      </c>
      <c r="Z57" s="2">
        <f t="shared" si="34"/>
        <v>1.7296559271284413</v>
      </c>
      <c r="AA57" s="54">
        <f t="shared" si="34"/>
        <v>1.7345587481202653</v>
      </c>
      <c r="AB57" s="2">
        <f t="shared" si="34"/>
        <v>1.7661152663538637</v>
      </c>
      <c r="AC57" s="2">
        <f t="shared" si="34"/>
        <v>1.7694129546323643</v>
      </c>
      <c r="AD57" s="2">
        <f t="shared" si="34"/>
        <v>1.7625503300711662</v>
      </c>
      <c r="AE57" s="2">
        <f t="shared" si="34"/>
        <v>1.7622616970102694</v>
      </c>
      <c r="AF57" s="2">
        <f t="shared" si="34"/>
        <v>1.7625981409047884</v>
      </c>
      <c r="AG57" s="2">
        <f t="shared" si="34"/>
        <v>1.7651285225025768</v>
      </c>
      <c r="AH57" s="2">
        <f t="shared" si="34"/>
        <v>1.7834197483009426</v>
      </c>
      <c r="AI57" s="2">
        <f t="shared" si="34"/>
        <v>1.7499350777109386</v>
      </c>
      <c r="AJ57" s="2">
        <f t="shared" si="34"/>
        <v>1.7623139739002602</v>
      </c>
      <c r="AK57" s="2">
        <f t="shared" si="34"/>
        <v>1.7558795747598275</v>
      </c>
      <c r="AL57" s="2">
        <f t="shared" si="34"/>
        <v>1.7498302163487331</v>
      </c>
      <c r="AM57" s="2">
        <f t="shared" si="34"/>
        <v>1.7645420953674369</v>
      </c>
      <c r="AN57" s="2">
        <f t="shared" si="34"/>
        <v>1.7519531705531342</v>
      </c>
      <c r="AO57" s="2">
        <f t="shared" si="34"/>
        <v>1.7561753285007864</v>
      </c>
      <c r="AP57" s="2">
        <f t="shared" si="34"/>
        <v>1.707648247077163</v>
      </c>
      <c r="AQ57" s="2">
        <f t="shared" si="34"/>
        <v>1.7072303541630554</v>
      </c>
      <c r="AR57" s="2">
        <f t="shared" si="34"/>
        <v>1.708290630232002</v>
      </c>
      <c r="AS57" s="2">
        <f t="shared" si="34"/>
        <v>1.7116301886585739</v>
      </c>
      <c r="AT57" s="2">
        <f t="shared" si="34"/>
        <v>1.6959561275737094</v>
      </c>
      <c r="AU57" s="54">
        <f t="shared" si="34"/>
        <v>1.7028269671799183</v>
      </c>
      <c r="AV57" s="2">
        <f t="shared" si="34"/>
        <v>1.7051263624464885</v>
      </c>
      <c r="AW57" s="2">
        <f t="shared" si="34"/>
        <v>1.693799911212329</v>
      </c>
      <c r="AX57" s="2">
        <f t="shared" si="34"/>
        <v>1.6668549295275175</v>
      </c>
      <c r="AY57" s="2">
        <f t="shared" si="34"/>
        <v>1.6974376161297102</v>
      </c>
      <c r="AZ57" s="2">
        <f t="shared" si="34"/>
        <v>1.7106822081768553</v>
      </c>
      <c r="BA57" s="2">
        <f t="shared" si="34"/>
        <v>1.7337318133094393</v>
      </c>
      <c r="BB57" s="2">
        <f t="shared" si="34"/>
        <v>1.7310690068295815</v>
      </c>
      <c r="BC57" s="2">
        <f t="shared" si="34"/>
        <v>1.708197827149772</v>
      </c>
      <c r="BD57" s="2">
        <f t="shared" si="34"/>
        <v>1.7286919241531484</v>
      </c>
      <c r="BE57" s="2">
        <f t="shared" si="34"/>
        <v>1.7414237362053049</v>
      </c>
      <c r="BF57" s="2">
        <f t="shared" si="34"/>
        <v>1.7164687572875408</v>
      </c>
      <c r="BG57" s="2">
        <f t="shared" si="34"/>
        <v>1.7117724583300602</v>
      </c>
      <c r="BH57" s="2">
        <f t="shared" si="34"/>
        <v>1.7193585350210627</v>
      </c>
      <c r="BI57" s="2">
        <f t="shared" si="34"/>
        <v>1.7025724796594848</v>
      </c>
      <c r="BJ57" s="2">
        <f t="shared" si="34"/>
        <v>1.7100101046410754</v>
      </c>
      <c r="BK57" s="2">
        <f t="shared" si="34"/>
        <v>0</v>
      </c>
      <c r="BL57" s="2"/>
      <c r="BM57" s="2">
        <f t="shared" si="33"/>
        <v>1.7330386086347596</v>
      </c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>
      <c r="BT58" s="2"/>
      <c r="BU58" s="2"/>
      <c r="BV58" s="2"/>
      <c r="BW58" s="2"/>
      <c r="BX58" s="2"/>
      <c r="BY58" s="2"/>
      <c r="BZ58" s="2"/>
    </row>
    <row r="59" spans="1:78">
      <c r="A59" s="1" t="s">
        <v>127</v>
      </c>
      <c r="BT59" s="2"/>
      <c r="BU59" s="2"/>
      <c r="BV59" s="2"/>
      <c r="BW59" s="2"/>
      <c r="BX59" s="2"/>
      <c r="BY59" s="2"/>
      <c r="BZ59" s="2"/>
    </row>
    <row r="60" spans="1:78">
      <c r="A60" s="1" t="s">
        <v>116</v>
      </c>
      <c r="B60" s="54">
        <f>B42*$D4</f>
        <v>3.0918774966711053</v>
      </c>
      <c r="C60" s="2">
        <f t="shared" ref="C60:BM60" si="35">C42*$D4</f>
        <v>3.010652463382157</v>
      </c>
      <c r="D60" s="2">
        <f t="shared" si="35"/>
        <v>2.9946737683089215</v>
      </c>
      <c r="E60" s="2">
        <f t="shared" si="35"/>
        <v>2.9314247669773636</v>
      </c>
      <c r="F60" s="2">
        <f t="shared" si="35"/>
        <v>2.9926764314247674</v>
      </c>
      <c r="G60" s="2">
        <f t="shared" si="35"/>
        <v>2.9447403462050596</v>
      </c>
      <c r="H60" s="2">
        <f t="shared" si="35"/>
        <v>2.9933422103861518</v>
      </c>
      <c r="I60" s="2">
        <f t="shared" si="35"/>
        <v>3.0179760319573901</v>
      </c>
      <c r="J60" s="2">
        <f t="shared" si="35"/>
        <v>3.0592543275632491</v>
      </c>
      <c r="K60" s="54">
        <f t="shared" si="35"/>
        <v>2.9420772303595206</v>
      </c>
      <c r="L60" s="2">
        <f t="shared" si="35"/>
        <v>3.0379494007989352</v>
      </c>
      <c r="M60" s="2">
        <f t="shared" si="35"/>
        <v>2.9780292942743007</v>
      </c>
      <c r="N60" s="2">
        <f t="shared" si="35"/>
        <v>3.0439414114513981</v>
      </c>
      <c r="O60" s="2">
        <f t="shared" si="35"/>
        <v>2.9500665778961386</v>
      </c>
      <c r="P60" s="2">
        <f t="shared" si="35"/>
        <v>2.9760319573901466</v>
      </c>
      <c r="Q60" s="54">
        <f t="shared" si="35"/>
        <v>3.4014647137150469</v>
      </c>
      <c r="R60" s="2">
        <f t="shared" si="35"/>
        <v>2.8568575233022635</v>
      </c>
      <c r="S60" s="2">
        <f t="shared" si="35"/>
        <v>2.8555259653794942</v>
      </c>
      <c r="T60" s="2">
        <f t="shared" si="35"/>
        <v>2.8368841544607193</v>
      </c>
      <c r="U60" s="2">
        <f t="shared" ref="U60:BK60" si="36">U42*$D4</f>
        <v>2.8009320905459387</v>
      </c>
      <c r="V60" s="2">
        <f t="shared" si="36"/>
        <v>2.8115845539280957</v>
      </c>
      <c r="W60" s="2">
        <f t="shared" si="36"/>
        <v>3.0326231691078562</v>
      </c>
      <c r="X60" s="2">
        <f t="shared" si="36"/>
        <v>2.9474034620505996</v>
      </c>
      <c r="Y60" s="54">
        <f t="shared" si="36"/>
        <v>2.7316910785619175</v>
      </c>
      <c r="Z60" s="2">
        <f t="shared" si="36"/>
        <v>2.9573901464713717</v>
      </c>
      <c r="AA60" s="54">
        <f t="shared" si="36"/>
        <v>3.1284953395472703</v>
      </c>
      <c r="AB60" s="2">
        <f t="shared" si="36"/>
        <v>2.9474034620505996</v>
      </c>
      <c r="AC60" s="2">
        <f t="shared" si="36"/>
        <v>2.8988015978695074</v>
      </c>
      <c r="AD60" s="2">
        <f t="shared" si="36"/>
        <v>2.8501997336884157</v>
      </c>
      <c r="AE60" s="2">
        <f t="shared" si="36"/>
        <v>2.8295605858854862</v>
      </c>
      <c r="AF60" s="2">
        <f t="shared" si="36"/>
        <v>2.8668442077230361</v>
      </c>
      <c r="AG60" s="2">
        <f t="shared" si="36"/>
        <v>2.8209054593874834</v>
      </c>
      <c r="AH60" s="2">
        <f t="shared" si="36"/>
        <v>2.8881491344873504</v>
      </c>
      <c r="AI60" s="2">
        <f t="shared" si="36"/>
        <v>2.8135818908122503</v>
      </c>
      <c r="AJ60" s="2">
        <f t="shared" si="36"/>
        <v>2.8808255659121174</v>
      </c>
      <c r="AK60" s="2">
        <f t="shared" si="36"/>
        <v>2.9241011984021306</v>
      </c>
      <c r="AL60" s="2">
        <f t="shared" si="36"/>
        <v>2.8968042609853528</v>
      </c>
      <c r="AM60" s="2">
        <f t="shared" si="36"/>
        <v>2.9474034620505996</v>
      </c>
      <c r="AN60" s="2">
        <f t="shared" si="36"/>
        <v>2.9420772303595206</v>
      </c>
      <c r="AO60" s="2">
        <f t="shared" si="36"/>
        <v>2.9474034620505996</v>
      </c>
      <c r="AP60" s="2">
        <f t="shared" si="36"/>
        <v>2.9487350199733688</v>
      </c>
      <c r="AQ60" s="2">
        <f t="shared" si="36"/>
        <v>2.9667110519307593</v>
      </c>
      <c r="AR60" s="2">
        <f t="shared" si="36"/>
        <v>2.9414114513981358</v>
      </c>
      <c r="AS60" s="2">
        <f t="shared" si="36"/>
        <v>2.9300932090545939</v>
      </c>
      <c r="AT60" s="2">
        <f t="shared" si="36"/>
        <v>2.9234354194407457</v>
      </c>
      <c r="AU60" s="54">
        <f t="shared" si="36"/>
        <v>3.0466045272969375</v>
      </c>
      <c r="AV60" s="2">
        <f t="shared" si="36"/>
        <v>2.9260985352862852</v>
      </c>
      <c r="AW60" s="2">
        <f t="shared" si="36"/>
        <v>2.8575233022636488</v>
      </c>
      <c r="AX60" s="2">
        <f t="shared" si="36"/>
        <v>2.8808255659121174</v>
      </c>
      <c r="AY60" s="2">
        <f t="shared" si="36"/>
        <v>2.9167776298268979</v>
      </c>
      <c r="AZ60" s="2">
        <f t="shared" si="36"/>
        <v>2.9507323568575234</v>
      </c>
      <c r="BA60" s="2">
        <f t="shared" si="36"/>
        <v>2.8788282290279628</v>
      </c>
      <c r="BB60" s="2">
        <f t="shared" si="36"/>
        <v>2.8715046604527301</v>
      </c>
      <c r="BC60" s="2">
        <f t="shared" si="36"/>
        <v>2.8162450066577893</v>
      </c>
      <c r="BD60" s="2">
        <f t="shared" si="36"/>
        <v>2.8535286284953396</v>
      </c>
      <c r="BE60" s="2">
        <f t="shared" si="36"/>
        <v>2.8508655126498001</v>
      </c>
      <c r="BF60" s="2">
        <f t="shared" si="36"/>
        <v>2.7796271637816248</v>
      </c>
      <c r="BG60" s="2">
        <f t="shared" si="36"/>
        <v>2.7470039946737681</v>
      </c>
      <c r="BH60" s="2">
        <f t="shared" si="36"/>
        <v>2.8375499334221037</v>
      </c>
      <c r="BI60" s="2">
        <f t="shared" si="36"/>
        <v>2.762982689747004</v>
      </c>
      <c r="BJ60" s="2">
        <f t="shared" si="36"/>
        <v>2.7842876165113184</v>
      </c>
      <c r="BK60" s="2">
        <f t="shared" si="36"/>
        <v>0</v>
      </c>
      <c r="BM60" s="2">
        <f t="shared" si="35"/>
        <v>2.9971704394141145</v>
      </c>
      <c r="BT60" s="2"/>
      <c r="BU60" s="2"/>
      <c r="BV60" s="2"/>
      <c r="BW60" s="2"/>
      <c r="BX60" s="2"/>
      <c r="BY60" s="2"/>
      <c r="BZ60" s="2"/>
    </row>
    <row r="61" spans="1:78">
      <c r="A61" s="1" t="s">
        <v>117</v>
      </c>
      <c r="B61" s="54">
        <f>B43*$D5</f>
        <v>2.2027534418022528E-2</v>
      </c>
      <c r="C61" s="2">
        <f t="shared" ref="C61:BM61" si="37">C43*$D5</f>
        <v>2.7534418022528161E-2</v>
      </c>
      <c r="D61" s="2">
        <f t="shared" si="37"/>
        <v>2.8535669586983725E-2</v>
      </c>
      <c r="E61" s="2">
        <f t="shared" si="37"/>
        <v>1.9524405506883603E-2</v>
      </c>
      <c r="F61" s="2">
        <f t="shared" si="37"/>
        <v>3.103879849812265E-2</v>
      </c>
      <c r="G61" s="2">
        <f t="shared" si="37"/>
        <v>2.9036295369211509E-2</v>
      </c>
      <c r="H61" s="2">
        <f t="shared" si="37"/>
        <v>3.0037546933667079E-2</v>
      </c>
      <c r="I61" s="2">
        <f t="shared" si="37"/>
        <v>3.0538172715894867E-2</v>
      </c>
      <c r="J61" s="2">
        <f t="shared" si="37"/>
        <v>2.4530663329161449E-2</v>
      </c>
      <c r="K61" s="54">
        <f t="shared" si="37"/>
        <v>2.2027534418022528E-2</v>
      </c>
      <c r="L61" s="2">
        <f t="shared" si="37"/>
        <v>3.0037546933667079E-2</v>
      </c>
      <c r="M61" s="2">
        <f t="shared" si="37"/>
        <v>3.1539424280350434E-2</v>
      </c>
      <c r="N61" s="2">
        <f t="shared" si="37"/>
        <v>3.1539424280350434E-2</v>
      </c>
      <c r="O61" s="2">
        <f t="shared" si="37"/>
        <v>3.9549436795994992E-2</v>
      </c>
      <c r="P61" s="2">
        <f t="shared" si="37"/>
        <v>6.8585732165206512E-2</v>
      </c>
      <c r="Q61" s="54">
        <f t="shared" si="37"/>
        <v>4.0050062578222776E-3</v>
      </c>
      <c r="R61" s="2">
        <f t="shared" si="37"/>
        <v>8.1602002503128906E-2</v>
      </c>
      <c r="S61" s="2">
        <f t="shared" si="37"/>
        <v>7.9599499374217772E-2</v>
      </c>
      <c r="T61" s="2">
        <f t="shared" si="37"/>
        <v>7.9599499374217772E-2</v>
      </c>
      <c r="U61" s="2">
        <f t="shared" ref="U61:BK61" si="38">U43*$D5</f>
        <v>7.7596996245306624E-2</v>
      </c>
      <c r="V61" s="2">
        <f t="shared" si="38"/>
        <v>7.4593241551939915E-2</v>
      </c>
      <c r="W61" s="2">
        <f t="shared" si="38"/>
        <v>4.2553191489361701E-2</v>
      </c>
      <c r="X61" s="2">
        <f t="shared" si="38"/>
        <v>4.3053817271589481E-2</v>
      </c>
      <c r="Y61" s="54">
        <f t="shared" si="38"/>
        <v>6.20775969962453E-2</v>
      </c>
      <c r="Z61" s="2">
        <f t="shared" si="38"/>
        <v>3.1539424280350434E-2</v>
      </c>
      <c r="AA61" s="54">
        <f t="shared" si="38"/>
        <v>4.6057571964956197E-2</v>
      </c>
      <c r="AB61" s="2">
        <f t="shared" si="38"/>
        <v>0.11214017521902378</v>
      </c>
      <c r="AC61" s="2">
        <f t="shared" si="38"/>
        <v>0.1241551939924906</v>
      </c>
      <c r="AD61" s="2">
        <f t="shared" si="38"/>
        <v>0.12615769712140174</v>
      </c>
      <c r="AE61" s="2">
        <f t="shared" si="38"/>
        <v>0.12665832290362952</v>
      </c>
      <c r="AF61" s="2">
        <f t="shared" si="38"/>
        <v>0.12515644555694616</v>
      </c>
      <c r="AG61" s="2">
        <f t="shared" si="38"/>
        <v>0.13166458072590737</v>
      </c>
      <c r="AH61" s="2">
        <f t="shared" si="38"/>
        <v>0.11714643304130161</v>
      </c>
      <c r="AI61" s="2">
        <f t="shared" si="38"/>
        <v>0.13166458072590737</v>
      </c>
      <c r="AJ61" s="2">
        <f t="shared" si="38"/>
        <v>0.11814768460575718</v>
      </c>
      <c r="AK61" s="2">
        <f t="shared" si="38"/>
        <v>3.8548185231539425E-2</v>
      </c>
      <c r="AL61" s="2">
        <f t="shared" si="38"/>
        <v>4.5056320400500623E-2</v>
      </c>
      <c r="AM61" s="2">
        <f t="shared" si="38"/>
        <v>3.9048811013767205E-2</v>
      </c>
      <c r="AN61" s="2">
        <f t="shared" si="38"/>
        <v>3.6045056320400497E-2</v>
      </c>
      <c r="AO61" s="2">
        <f t="shared" si="38"/>
        <v>3.9048811013767205E-2</v>
      </c>
      <c r="AP61" s="2">
        <f t="shared" si="38"/>
        <v>4.3554443053817268E-2</v>
      </c>
      <c r="AQ61" s="2">
        <f t="shared" si="38"/>
        <v>4.7559449311639544E-2</v>
      </c>
      <c r="AR61" s="2">
        <f t="shared" si="38"/>
        <v>4.4055068836045055E-2</v>
      </c>
      <c r="AS61" s="2">
        <f t="shared" si="38"/>
        <v>4.8560700876095111E-2</v>
      </c>
      <c r="AT61" s="2">
        <f t="shared" si="38"/>
        <v>4.6558197747183977E-2</v>
      </c>
      <c r="AU61" s="54">
        <f t="shared" si="38"/>
        <v>3.0037546933667079E-2</v>
      </c>
      <c r="AV61" s="2">
        <f t="shared" si="38"/>
        <v>5.2565707133917394E-2</v>
      </c>
      <c r="AW61" s="2">
        <f t="shared" si="38"/>
        <v>4.005006257822278E-2</v>
      </c>
      <c r="AX61" s="2">
        <f t="shared" si="38"/>
        <v>3.8047559449311638E-2</v>
      </c>
      <c r="AY61" s="2">
        <f t="shared" si="38"/>
        <v>5.2065081351689607E-2</v>
      </c>
      <c r="AZ61" s="2">
        <f t="shared" si="38"/>
        <v>4.6057571964956197E-2</v>
      </c>
      <c r="BA61" s="2">
        <f t="shared" si="38"/>
        <v>7.4593241551939915E-2</v>
      </c>
      <c r="BB61" s="2">
        <f t="shared" si="38"/>
        <v>7.5594493116395489E-2</v>
      </c>
      <c r="BC61" s="2">
        <f t="shared" si="38"/>
        <v>7.2090112640800993E-2</v>
      </c>
      <c r="BD61" s="2">
        <f t="shared" si="38"/>
        <v>6.9086357947434285E-2</v>
      </c>
      <c r="BE61" s="2">
        <f t="shared" si="38"/>
        <v>7.8097622027534411E-2</v>
      </c>
      <c r="BF61" s="2">
        <f t="shared" si="38"/>
        <v>9.1113892365456819E-2</v>
      </c>
      <c r="BG61" s="2">
        <f t="shared" si="38"/>
        <v>9.3617021276595741E-2</v>
      </c>
      <c r="BH61" s="2">
        <f t="shared" si="38"/>
        <v>7.8598247809762198E-2</v>
      </c>
      <c r="BI61" s="2">
        <f t="shared" si="38"/>
        <v>9.9123904881101371E-2</v>
      </c>
      <c r="BJ61" s="2">
        <f t="shared" si="38"/>
        <v>9.7121401752190223E-2</v>
      </c>
      <c r="BK61" s="2">
        <f t="shared" si="38"/>
        <v>0</v>
      </c>
      <c r="BM61" s="2">
        <f t="shared" si="37"/>
        <v>2.7284105131414268E-2</v>
      </c>
      <c r="BT61" s="2"/>
      <c r="BU61" s="2"/>
      <c r="BV61" s="2"/>
      <c r="BW61" s="2"/>
      <c r="BX61" s="2"/>
      <c r="BY61" s="2"/>
      <c r="BZ61" s="2"/>
    </row>
    <row r="62" spans="1:78">
      <c r="A62" s="1" t="s">
        <v>118</v>
      </c>
      <c r="B62" s="54">
        <f>B44*$D6</f>
        <v>1.973803677591012E-3</v>
      </c>
      <c r="C62" s="2">
        <f t="shared" ref="C62:BM62" si="39">C44*$D6</f>
        <v>1.5790429420728096E-3</v>
      </c>
      <c r="D62" s="2">
        <f t="shared" si="39"/>
        <v>1.1842822065546072E-3</v>
      </c>
      <c r="E62" s="2">
        <f t="shared" si="39"/>
        <v>1.973803677591012E-3</v>
      </c>
      <c r="F62" s="2">
        <f t="shared" si="39"/>
        <v>1.1842822065546072E-3</v>
      </c>
      <c r="G62" s="2">
        <f t="shared" si="39"/>
        <v>7.8952147103640482E-4</v>
      </c>
      <c r="H62" s="2">
        <f t="shared" si="39"/>
        <v>2.7633251486274173E-3</v>
      </c>
      <c r="I62" s="2">
        <f t="shared" si="39"/>
        <v>1.973803677591012E-3</v>
      </c>
      <c r="J62" s="2">
        <f t="shared" si="39"/>
        <v>2.3685644131092145E-3</v>
      </c>
      <c r="K62" s="54">
        <f t="shared" si="39"/>
        <v>3.9476073551820241E-4</v>
      </c>
      <c r="L62" s="2">
        <f t="shared" si="39"/>
        <v>1.973803677591012E-3</v>
      </c>
      <c r="M62" s="2">
        <f t="shared" si="39"/>
        <v>1.5790429420728096E-3</v>
      </c>
      <c r="N62" s="2">
        <f t="shared" si="39"/>
        <v>2.3685644131092145E-3</v>
      </c>
      <c r="O62" s="2">
        <f t="shared" si="39"/>
        <v>1.5790429420728096E-3</v>
      </c>
      <c r="P62" s="2">
        <f t="shared" si="39"/>
        <v>3.5528466196638217E-3</v>
      </c>
      <c r="Q62" s="54">
        <f t="shared" si="39"/>
        <v>7.8952147103640482E-4</v>
      </c>
      <c r="R62" s="2">
        <f t="shared" si="39"/>
        <v>4.3423680907002261E-3</v>
      </c>
      <c r="S62" s="2">
        <f t="shared" si="39"/>
        <v>4.3423680907002261E-3</v>
      </c>
      <c r="T62" s="2">
        <f t="shared" si="39"/>
        <v>3.9476073551820241E-3</v>
      </c>
      <c r="U62" s="2">
        <f t="shared" ref="U62:BK62" si="40">U44*$D6</f>
        <v>4.3423680907002261E-3</v>
      </c>
      <c r="V62" s="2">
        <f t="shared" si="40"/>
        <v>3.9476073551820241E-3</v>
      </c>
      <c r="W62" s="2">
        <f t="shared" si="40"/>
        <v>2.7633251486274173E-3</v>
      </c>
      <c r="X62" s="2">
        <f t="shared" si="40"/>
        <v>2.7633251486274173E-3</v>
      </c>
      <c r="Y62" s="54">
        <f t="shared" si="40"/>
        <v>6.7109325038094414E-3</v>
      </c>
      <c r="Z62" s="2">
        <f t="shared" si="40"/>
        <v>3.5528466196638217E-3</v>
      </c>
      <c r="AA62" s="54">
        <f t="shared" si="40"/>
        <v>3.5528466196638217E-3</v>
      </c>
      <c r="AB62" s="2">
        <f t="shared" si="40"/>
        <v>4.3423680907002261E-3</v>
      </c>
      <c r="AC62" s="2">
        <f t="shared" si="40"/>
        <v>9.8690183879550607E-3</v>
      </c>
      <c r="AD62" s="2">
        <f t="shared" si="40"/>
        <v>9.079496916918655E-3</v>
      </c>
      <c r="AE62" s="2">
        <f t="shared" si="40"/>
        <v>4.3423680907002261E-3</v>
      </c>
      <c r="AF62" s="2">
        <f t="shared" si="40"/>
        <v>5.9214110327730357E-3</v>
      </c>
      <c r="AG62" s="2">
        <f t="shared" si="40"/>
        <v>2.3685644131092145E-3</v>
      </c>
      <c r="AH62" s="2">
        <f t="shared" si="40"/>
        <v>7.8952147103640482E-4</v>
      </c>
      <c r="AI62" s="2">
        <f t="shared" si="40"/>
        <v>1.973803677591012E-3</v>
      </c>
      <c r="AJ62" s="2">
        <f t="shared" si="40"/>
        <v>1.5790429420728096E-3</v>
      </c>
      <c r="AK62" s="2">
        <f t="shared" si="40"/>
        <v>7.8952147103640482E-4</v>
      </c>
      <c r="AL62" s="2">
        <f t="shared" si="40"/>
        <v>7.8952147103640482E-4</v>
      </c>
      <c r="AM62" s="2">
        <f t="shared" si="40"/>
        <v>2.3685644131092145E-3</v>
      </c>
      <c r="AN62" s="2">
        <f t="shared" si="40"/>
        <v>2.7633251486274173E-3</v>
      </c>
      <c r="AO62" s="2">
        <f t="shared" si="40"/>
        <v>2.7633251486274173E-3</v>
      </c>
      <c r="AP62" s="2">
        <f t="shared" si="40"/>
        <v>1.973803677591012E-3</v>
      </c>
      <c r="AQ62" s="2">
        <f t="shared" si="40"/>
        <v>1.973803677591012E-3</v>
      </c>
      <c r="AR62" s="2">
        <f t="shared" si="40"/>
        <v>1.1842822065546072E-3</v>
      </c>
      <c r="AS62" s="2">
        <f t="shared" si="40"/>
        <v>1.1842822065546072E-3</v>
      </c>
      <c r="AT62" s="2">
        <f t="shared" si="40"/>
        <v>7.8952147103640482E-4</v>
      </c>
      <c r="AU62" s="54">
        <f t="shared" si="40"/>
        <v>1.1842822065546072E-3</v>
      </c>
      <c r="AV62" s="2">
        <f t="shared" si="40"/>
        <v>7.8952147103640482E-4</v>
      </c>
      <c r="AW62" s="2">
        <f t="shared" si="40"/>
        <v>0</v>
      </c>
      <c r="AX62" s="2">
        <f t="shared" si="40"/>
        <v>1.1842822065546072E-3</v>
      </c>
      <c r="AY62" s="2">
        <f t="shared" si="40"/>
        <v>1.973803677591012E-3</v>
      </c>
      <c r="AZ62" s="2">
        <f t="shared" si="40"/>
        <v>7.8952147103640482E-4</v>
      </c>
      <c r="BA62" s="2">
        <f t="shared" si="40"/>
        <v>7.8952147103640482E-4</v>
      </c>
      <c r="BB62" s="2">
        <f t="shared" si="40"/>
        <v>7.8952147103640482E-4</v>
      </c>
      <c r="BC62" s="2">
        <f t="shared" si="40"/>
        <v>1.1842822065546072E-3</v>
      </c>
      <c r="BD62" s="2">
        <f t="shared" si="40"/>
        <v>7.8952147103640482E-4</v>
      </c>
      <c r="BE62" s="2">
        <f t="shared" si="40"/>
        <v>3.9476073551820241E-4</v>
      </c>
      <c r="BF62" s="2">
        <f t="shared" si="40"/>
        <v>1.1842822065546072E-3</v>
      </c>
      <c r="BG62" s="2">
        <f t="shared" si="40"/>
        <v>0</v>
      </c>
      <c r="BH62" s="2">
        <f t="shared" si="40"/>
        <v>1.1842822065546072E-3</v>
      </c>
      <c r="BI62" s="2">
        <f t="shared" si="40"/>
        <v>7.8952147103640482E-4</v>
      </c>
      <c r="BJ62" s="2">
        <f t="shared" si="40"/>
        <v>3.9476073551820241E-4</v>
      </c>
      <c r="BK62" s="2">
        <f t="shared" si="40"/>
        <v>0</v>
      </c>
      <c r="BM62" s="2">
        <f t="shared" si="39"/>
        <v>1.6777331259523599E-3</v>
      </c>
      <c r="BT62" s="2"/>
      <c r="BU62" s="2"/>
      <c r="BV62" s="2"/>
      <c r="BW62" s="2"/>
      <c r="BX62" s="2"/>
      <c r="BY62" s="2"/>
      <c r="BZ62" s="2"/>
    </row>
    <row r="63" spans="1:78">
      <c r="A63" s="1" t="s">
        <v>119</v>
      </c>
      <c r="B63" s="54">
        <f>B45*$D7</f>
        <v>0.5626839317245439</v>
      </c>
      <c r="C63" s="2">
        <f t="shared" ref="C63:BM63" si="41">C45*$D7</f>
        <v>0.65979988228369635</v>
      </c>
      <c r="D63" s="2">
        <f t="shared" si="41"/>
        <v>0.69334902884049432</v>
      </c>
      <c r="E63" s="2">
        <f t="shared" si="41"/>
        <v>0.69040612124779288</v>
      </c>
      <c r="F63" s="2">
        <f t="shared" si="41"/>
        <v>0.67569158328428491</v>
      </c>
      <c r="G63" s="2">
        <f t="shared" si="41"/>
        <v>0.70100058858151859</v>
      </c>
      <c r="H63" s="2">
        <f t="shared" si="41"/>
        <v>0.67922307239552682</v>
      </c>
      <c r="I63" s="2">
        <f t="shared" si="41"/>
        <v>0.67333725721012361</v>
      </c>
      <c r="J63" s="2">
        <f t="shared" si="41"/>
        <v>0.63978811065332541</v>
      </c>
      <c r="K63" s="54">
        <f t="shared" si="41"/>
        <v>0.54561506768687462</v>
      </c>
      <c r="L63" s="2">
        <f t="shared" si="41"/>
        <v>0.66921718658034135</v>
      </c>
      <c r="M63" s="2">
        <f t="shared" si="41"/>
        <v>0.69099470276633312</v>
      </c>
      <c r="N63" s="2">
        <f t="shared" si="41"/>
        <v>0.68275456150676872</v>
      </c>
      <c r="O63" s="2">
        <f t="shared" si="41"/>
        <v>0.71983519717480882</v>
      </c>
      <c r="P63" s="2">
        <f t="shared" si="41"/>
        <v>0.55856386109476164</v>
      </c>
      <c r="Q63" s="54">
        <f t="shared" si="41"/>
        <v>0.28310771041789284</v>
      </c>
      <c r="R63" s="2">
        <f t="shared" si="41"/>
        <v>0.66568569746909945</v>
      </c>
      <c r="S63" s="2">
        <f t="shared" si="41"/>
        <v>0.67392583872866396</v>
      </c>
      <c r="T63" s="2">
        <f t="shared" si="41"/>
        <v>0.66450853443201874</v>
      </c>
      <c r="U63" s="2">
        <f t="shared" ref="U63:BK63" si="42">U45*$D7</f>
        <v>0.69511477339611538</v>
      </c>
      <c r="V63" s="2">
        <f t="shared" si="42"/>
        <v>0.70394349617422025</v>
      </c>
      <c r="W63" s="2">
        <f t="shared" si="42"/>
        <v>0.49146556798116536</v>
      </c>
      <c r="X63" s="2">
        <f t="shared" si="42"/>
        <v>0.59858740435550328</v>
      </c>
      <c r="Y63" s="54">
        <f t="shared" si="42"/>
        <v>0.88816951147733958</v>
      </c>
      <c r="Z63" s="2">
        <f t="shared" si="42"/>
        <v>0.66038846380223659</v>
      </c>
      <c r="AA63" s="54">
        <f t="shared" si="42"/>
        <v>0.55562095350205998</v>
      </c>
      <c r="AB63" s="2">
        <f t="shared" si="42"/>
        <v>0.65391406709829303</v>
      </c>
      <c r="AC63" s="2">
        <f t="shared" si="42"/>
        <v>0.72748675691583287</v>
      </c>
      <c r="AD63" s="2">
        <f t="shared" si="42"/>
        <v>0.72513243084167167</v>
      </c>
      <c r="AE63" s="2">
        <f t="shared" si="42"/>
        <v>0.73749264273101822</v>
      </c>
      <c r="AF63" s="2">
        <f t="shared" si="42"/>
        <v>0.70100058858151859</v>
      </c>
      <c r="AG63" s="2">
        <f t="shared" si="42"/>
        <v>0.76397881106533261</v>
      </c>
      <c r="AH63" s="2">
        <f t="shared" si="42"/>
        <v>0.76280164802825201</v>
      </c>
      <c r="AI63" s="2">
        <f t="shared" si="42"/>
        <v>0.74220129487934083</v>
      </c>
      <c r="AJ63" s="2">
        <f t="shared" si="42"/>
        <v>0.72160094173042966</v>
      </c>
      <c r="AK63" s="2">
        <f t="shared" si="42"/>
        <v>0.76103590347263084</v>
      </c>
      <c r="AL63" s="2">
        <f t="shared" si="42"/>
        <v>0.78045909358446142</v>
      </c>
      <c r="AM63" s="2">
        <f t="shared" si="42"/>
        <v>0.7616244849911713</v>
      </c>
      <c r="AN63" s="2">
        <f t="shared" si="42"/>
        <v>0.75044143613890513</v>
      </c>
      <c r="AO63" s="2">
        <f t="shared" si="42"/>
        <v>0.74690994702766333</v>
      </c>
      <c r="AP63" s="2">
        <f t="shared" si="42"/>
        <v>0.59211300765155972</v>
      </c>
      <c r="AQ63" s="2">
        <f t="shared" si="42"/>
        <v>0.60859329017068864</v>
      </c>
      <c r="AR63" s="2">
        <f t="shared" si="42"/>
        <v>0.60977045320776924</v>
      </c>
      <c r="AS63" s="2">
        <f t="shared" si="42"/>
        <v>0.61094761624484994</v>
      </c>
      <c r="AT63" s="2">
        <f t="shared" si="42"/>
        <v>0.59917598587404353</v>
      </c>
      <c r="AU63" s="54">
        <f t="shared" si="42"/>
        <v>0.50500294290759273</v>
      </c>
      <c r="AV63" s="2">
        <f t="shared" si="42"/>
        <v>0.60918187168922888</v>
      </c>
      <c r="AW63" s="2">
        <f t="shared" si="42"/>
        <v>0.64508534432018838</v>
      </c>
      <c r="AX63" s="2">
        <f t="shared" si="42"/>
        <v>0.70394349617422025</v>
      </c>
      <c r="AY63" s="2">
        <f t="shared" si="42"/>
        <v>0.6068275456150678</v>
      </c>
      <c r="AZ63" s="2">
        <f t="shared" si="42"/>
        <v>0.60329605650382578</v>
      </c>
      <c r="BA63" s="2">
        <f t="shared" si="42"/>
        <v>0.67745732783990587</v>
      </c>
      <c r="BB63" s="2">
        <f t="shared" si="42"/>
        <v>0.69099470276633312</v>
      </c>
      <c r="BC63" s="2">
        <f t="shared" si="42"/>
        <v>0.65626839317245445</v>
      </c>
      <c r="BD63" s="2">
        <f t="shared" si="42"/>
        <v>0.70453207769276049</v>
      </c>
      <c r="BE63" s="2">
        <f t="shared" si="42"/>
        <v>0.69393761035903467</v>
      </c>
      <c r="BF63" s="2">
        <f t="shared" si="42"/>
        <v>0.71394938198940561</v>
      </c>
      <c r="BG63" s="2">
        <f t="shared" si="42"/>
        <v>0.71924661565626846</v>
      </c>
      <c r="BH63" s="2">
        <f t="shared" si="42"/>
        <v>0.68628605061801062</v>
      </c>
      <c r="BI63" s="2">
        <f t="shared" si="42"/>
        <v>0.71100647439670395</v>
      </c>
      <c r="BJ63" s="2">
        <f t="shared" si="42"/>
        <v>0.69040612124779288</v>
      </c>
      <c r="BK63" s="2">
        <f t="shared" si="42"/>
        <v>0</v>
      </c>
      <c r="BM63" s="2">
        <f t="shared" si="41"/>
        <v>0.66693643319599771</v>
      </c>
      <c r="BT63" s="2"/>
      <c r="BU63" s="2"/>
      <c r="BV63" s="2"/>
      <c r="BW63" s="2"/>
      <c r="BX63" s="2"/>
      <c r="BY63" s="2"/>
      <c r="BZ63" s="2"/>
    </row>
    <row r="64" spans="1:78">
      <c r="A64" s="1" t="s">
        <v>131</v>
      </c>
      <c r="B64" s="54">
        <f>B46*3</f>
        <v>0.11507306889352821</v>
      </c>
      <c r="C64" s="2">
        <f t="shared" ref="C64:BM64" si="43">C46*3</f>
        <v>0.1122338204592902</v>
      </c>
      <c r="D64" s="2">
        <f t="shared" si="43"/>
        <v>0.12108559498956162</v>
      </c>
      <c r="E64" s="2">
        <f t="shared" si="43"/>
        <v>0.12200417536534448</v>
      </c>
      <c r="F64" s="2">
        <f t="shared" si="43"/>
        <v>0.11607515657620043</v>
      </c>
      <c r="G64" s="2">
        <f t="shared" si="43"/>
        <v>0.1223382045929019</v>
      </c>
      <c r="H64" s="2">
        <f t="shared" si="43"/>
        <v>0.11256784968684763</v>
      </c>
      <c r="I64" s="2">
        <f t="shared" si="43"/>
        <v>0.11782881002087685</v>
      </c>
      <c r="J64" s="2">
        <f t="shared" si="43"/>
        <v>0.11524008350730691</v>
      </c>
      <c r="K64" s="54">
        <f t="shared" si="43"/>
        <v>0.12183716075156577</v>
      </c>
      <c r="L64" s="2">
        <f t="shared" si="43"/>
        <v>0.11457202505219208</v>
      </c>
      <c r="M64" s="2">
        <f t="shared" si="43"/>
        <v>0.1159916492693111</v>
      </c>
      <c r="N64" s="2">
        <f t="shared" si="43"/>
        <v>0.1159916492693111</v>
      </c>
      <c r="O64" s="2">
        <f t="shared" si="43"/>
        <v>0.12066805845511484</v>
      </c>
      <c r="P64" s="2">
        <f t="shared" si="43"/>
        <v>0.11215031315240084</v>
      </c>
      <c r="Q64" s="54">
        <f t="shared" si="43"/>
        <v>8.3924843423799605E-2</v>
      </c>
      <c r="R64" s="2">
        <f t="shared" si="43"/>
        <v>0.11966597077244259</v>
      </c>
      <c r="S64" s="2">
        <f t="shared" si="43"/>
        <v>0.11916492693110649</v>
      </c>
      <c r="T64" s="2">
        <f t="shared" si="43"/>
        <v>0.12258872651356995</v>
      </c>
      <c r="U64" s="2">
        <f t="shared" ref="U64:BK64" si="44">U46*3</f>
        <v>0.12342379958246348</v>
      </c>
      <c r="V64" s="2">
        <f t="shared" si="44"/>
        <v>0.12133611691022966</v>
      </c>
      <c r="W64" s="2">
        <f t="shared" si="44"/>
        <v>0.12041753653444678</v>
      </c>
      <c r="X64" s="2">
        <f t="shared" si="44"/>
        <v>0.11732776617954074</v>
      </c>
      <c r="Y64" s="54">
        <f t="shared" si="44"/>
        <v>0.11549060542797496</v>
      </c>
      <c r="Z64" s="2">
        <f t="shared" si="44"/>
        <v>0.11498956158663884</v>
      </c>
      <c r="AA64" s="54">
        <f t="shared" si="44"/>
        <v>9.6534446764091883E-2</v>
      </c>
      <c r="AB64" s="2">
        <f t="shared" si="44"/>
        <v>0.1108141962421712</v>
      </c>
      <c r="AC64" s="2">
        <f t="shared" si="44"/>
        <v>0.10162839248434238</v>
      </c>
      <c r="AD64" s="2">
        <f t="shared" si="44"/>
        <v>0.10647181628392487</v>
      </c>
      <c r="AE64" s="2">
        <f t="shared" si="44"/>
        <v>0.11256784968684763</v>
      </c>
      <c r="AF64" s="2">
        <f t="shared" si="44"/>
        <v>0.10956158663883092</v>
      </c>
      <c r="AG64" s="2">
        <f t="shared" si="44"/>
        <v>0.11123173277661796</v>
      </c>
      <c r="AH64" s="2">
        <f t="shared" si="44"/>
        <v>0.10931106471816286</v>
      </c>
      <c r="AI64" s="2">
        <f t="shared" si="44"/>
        <v>0.10847599164926933</v>
      </c>
      <c r="AJ64" s="2">
        <f t="shared" si="44"/>
        <v>0.10697286012526097</v>
      </c>
      <c r="AK64" s="2">
        <f t="shared" si="44"/>
        <v>0.11540709812108563</v>
      </c>
      <c r="AL64" s="2">
        <f t="shared" si="44"/>
        <v>0.11440501043841336</v>
      </c>
      <c r="AM64" s="2">
        <f t="shared" si="44"/>
        <v>0.11407098121085596</v>
      </c>
      <c r="AN64" s="2">
        <f t="shared" si="44"/>
        <v>0.1136534446764092</v>
      </c>
      <c r="AO64" s="2">
        <f t="shared" si="44"/>
        <v>0.11114822546972863</v>
      </c>
      <c r="AP64" s="2">
        <f t="shared" si="44"/>
        <v>0.15215031315240085</v>
      </c>
      <c r="AQ64" s="2">
        <f t="shared" si="44"/>
        <v>0.14805845511482257</v>
      </c>
      <c r="AR64" s="2">
        <f t="shared" si="44"/>
        <v>0.14964509394572029</v>
      </c>
      <c r="AS64" s="2">
        <f t="shared" si="44"/>
        <v>0.15432150313152401</v>
      </c>
      <c r="AT64" s="2">
        <f t="shared" si="44"/>
        <v>0.15281837160751569</v>
      </c>
      <c r="AU64" s="54">
        <f t="shared" si="44"/>
        <v>0.14597077244258874</v>
      </c>
      <c r="AV64" s="2">
        <f t="shared" si="44"/>
        <v>0.15532359081419628</v>
      </c>
      <c r="AW64" s="2">
        <f t="shared" si="44"/>
        <v>0.15356993736951985</v>
      </c>
      <c r="AX64" s="2">
        <f t="shared" si="44"/>
        <v>0.13327766179540712</v>
      </c>
      <c r="AY64" s="2">
        <f t="shared" si="44"/>
        <v>0.15340292275574113</v>
      </c>
      <c r="AZ64" s="2">
        <f t="shared" si="44"/>
        <v>0.15022964509394571</v>
      </c>
      <c r="BA64" s="2">
        <f t="shared" si="44"/>
        <v>0.12384133611691026</v>
      </c>
      <c r="BB64" s="2">
        <f t="shared" si="44"/>
        <v>0.12425887265135702</v>
      </c>
      <c r="BC64" s="2">
        <f t="shared" si="44"/>
        <v>0.12484342379958248</v>
      </c>
      <c r="BD64" s="2">
        <f t="shared" si="44"/>
        <v>0.12509394572025057</v>
      </c>
      <c r="BE64" s="2">
        <f t="shared" si="44"/>
        <v>0.12676409185803758</v>
      </c>
      <c r="BF64" s="2">
        <f t="shared" si="44"/>
        <v>0.14196242171189982</v>
      </c>
      <c r="BG64" s="2">
        <f t="shared" si="44"/>
        <v>0.14438413361169103</v>
      </c>
      <c r="BH64" s="2">
        <f t="shared" si="44"/>
        <v>0.13903966597077244</v>
      </c>
      <c r="BI64" s="2">
        <f t="shared" si="44"/>
        <v>0.14363256784968687</v>
      </c>
      <c r="BJ64" s="2">
        <f t="shared" si="44"/>
        <v>0.13686847599164931</v>
      </c>
      <c r="BK64" s="2">
        <f t="shared" si="44"/>
        <v>0</v>
      </c>
      <c r="BM64" s="2">
        <f t="shared" si="43"/>
        <v>0.11740083507306892</v>
      </c>
      <c r="BT64" s="2"/>
      <c r="BU64" s="2"/>
      <c r="BV64" s="2"/>
      <c r="BW64" s="2"/>
      <c r="BX64" s="2"/>
      <c r="BY64" s="2"/>
      <c r="BZ64" s="2"/>
    </row>
    <row r="65" spans="1:78">
      <c r="A65" s="1" t="s">
        <v>120</v>
      </c>
      <c r="B65" s="54">
        <f t="shared" ref="B65:B74" si="45">B47*$D8</f>
        <v>0.30686151704940856</v>
      </c>
      <c r="C65" s="2">
        <f t="shared" ref="C65:BM65" si="46">C47*$D8</f>
        <v>0.29929018789144052</v>
      </c>
      <c r="D65" s="2">
        <f t="shared" si="46"/>
        <v>0.3228949199721643</v>
      </c>
      <c r="E65" s="2">
        <f t="shared" si="46"/>
        <v>0.32534446764091862</v>
      </c>
      <c r="F65" s="2">
        <f t="shared" si="46"/>
        <v>0.30953375086986784</v>
      </c>
      <c r="G65" s="2">
        <f t="shared" si="46"/>
        <v>0.32623521224773838</v>
      </c>
      <c r="H65" s="2">
        <f t="shared" si="46"/>
        <v>0.30018093249826033</v>
      </c>
      <c r="I65" s="2">
        <f t="shared" si="46"/>
        <v>0.31421016005567159</v>
      </c>
      <c r="J65" s="2">
        <f t="shared" si="46"/>
        <v>0.30730688935281841</v>
      </c>
      <c r="K65" s="54">
        <f t="shared" si="46"/>
        <v>0.32489909533750871</v>
      </c>
      <c r="L65" s="2">
        <f t="shared" si="46"/>
        <v>0.30552540013917889</v>
      </c>
      <c r="M65" s="2">
        <f t="shared" si="46"/>
        <v>0.30931106471816294</v>
      </c>
      <c r="N65" s="2">
        <f t="shared" si="46"/>
        <v>0.30931106471816294</v>
      </c>
      <c r="O65" s="2">
        <f t="shared" si="46"/>
        <v>0.32178148921363958</v>
      </c>
      <c r="P65" s="2">
        <f t="shared" si="46"/>
        <v>0.29906750173973556</v>
      </c>
      <c r="Q65" s="54">
        <f t="shared" si="46"/>
        <v>0.2237995824634656</v>
      </c>
      <c r="R65" s="2">
        <f t="shared" si="46"/>
        <v>0.31910925539318025</v>
      </c>
      <c r="S65" s="2">
        <f t="shared" si="46"/>
        <v>0.31777313848295063</v>
      </c>
      <c r="T65" s="2">
        <f t="shared" si="46"/>
        <v>0.32690327070285319</v>
      </c>
      <c r="U65" s="2">
        <f t="shared" ref="U65:BK65" si="47">U47*$D8</f>
        <v>0.32913013221990262</v>
      </c>
      <c r="V65" s="2">
        <f t="shared" si="47"/>
        <v>0.3235629784272791</v>
      </c>
      <c r="W65" s="2">
        <f t="shared" si="47"/>
        <v>0.32111343075852478</v>
      </c>
      <c r="X65" s="2">
        <f t="shared" si="47"/>
        <v>0.31287404314544198</v>
      </c>
      <c r="Y65" s="54">
        <f t="shared" si="47"/>
        <v>0.30797494780793322</v>
      </c>
      <c r="Z65" s="2">
        <f t="shared" si="47"/>
        <v>0.30663883089770355</v>
      </c>
      <c r="AA65" s="54">
        <f t="shared" si="47"/>
        <v>0.25742519137091169</v>
      </c>
      <c r="AB65" s="2">
        <f t="shared" si="47"/>
        <v>0.29550452331245652</v>
      </c>
      <c r="AC65" s="2">
        <f t="shared" si="47"/>
        <v>0.27100904662491304</v>
      </c>
      <c r="AD65" s="2">
        <f t="shared" si="47"/>
        <v>0.28392484342379964</v>
      </c>
      <c r="AE65" s="2">
        <f t="shared" si="47"/>
        <v>0.30018093249826033</v>
      </c>
      <c r="AF65" s="2">
        <f t="shared" si="47"/>
        <v>0.29216423103688244</v>
      </c>
      <c r="AG65" s="2">
        <f t="shared" si="47"/>
        <v>0.29661795407098124</v>
      </c>
      <c r="AH65" s="2">
        <f t="shared" si="47"/>
        <v>0.29149617258176763</v>
      </c>
      <c r="AI65" s="2">
        <f t="shared" si="47"/>
        <v>0.2892693110647182</v>
      </c>
      <c r="AJ65" s="2">
        <f t="shared" si="47"/>
        <v>0.28526096033402926</v>
      </c>
      <c r="AK65" s="2">
        <f t="shared" si="47"/>
        <v>0.30775226165622832</v>
      </c>
      <c r="AL65" s="2">
        <f t="shared" si="47"/>
        <v>0.30508002783576899</v>
      </c>
      <c r="AM65" s="2">
        <f t="shared" si="47"/>
        <v>0.30418928322894923</v>
      </c>
      <c r="AN65" s="2">
        <f t="shared" si="47"/>
        <v>0.30307585247042451</v>
      </c>
      <c r="AO65" s="2">
        <f t="shared" si="47"/>
        <v>0.29639526791927634</v>
      </c>
      <c r="AP65" s="2">
        <f t="shared" si="47"/>
        <v>0.40573416840640225</v>
      </c>
      <c r="AQ65" s="2">
        <f t="shared" si="47"/>
        <v>0.39482254697286018</v>
      </c>
      <c r="AR65" s="2">
        <f t="shared" si="47"/>
        <v>0.39905358385525408</v>
      </c>
      <c r="AS65" s="2">
        <f t="shared" si="47"/>
        <v>0.41152400835073072</v>
      </c>
      <c r="AT65" s="2">
        <f t="shared" si="47"/>
        <v>0.40751565762004183</v>
      </c>
      <c r="AU65" s="54">
        <f t="shared" si="47"/>
        <v>0.38925539318023666</v>
      </c>
      <c r="AV65" s="2">
        <f t="shared" si="47"/>
        <v>0.41419624217119011</v>
      </c>
      <c r="AW65" s="2">
        <f t="shared" si="47"/>
        <v>0.4095198329853863</v>
      </c>
      <c r="AX65" s="2">
        <f t="shared" si="47"/>
        <v>0.35540709812108562</v>
      </c>
      <c r="AY65" s="2">
        <f t="shared" si="47"/>
        <v>0.40907446068197639</v>
      </c>
      <c r="AZ65" s="2">
        <f t="shared" si="47"/>
        <v>0.40061238691718859</v>
      </c>
      <c r="BA65" s="2">
        <f t="shared" si="47"/>
        <v>0.33024356297842733</v>
      </c>
      <c r="BB65" s="2">
        <f t="shared" si="47"/>
        <v>0.33135699373695204</v>
      </c>
      <c r="BC65" s="2">
        <f t="shared" si="47"/>
        <v>0.33291579679888661</v>
      </c>
      <c r="BD65" s="2">
        <f t="shared" si="47"/>
        <v>0.33358385525400147</v>
      </c>
      <c r="BE65" s="2">
        <f t="shared" si="47"/>
        <v>0.33803757828810022</v>
      </c>
      <c r="BF65" s="2">
        <f t="shared" si="47"/>
        <v>0.37856645789839949</v>
      </c>
      <c r="BG65" s="2">
        <f t="shared" si="47"/>
        <v>0.38502435629784276</v>
      </c>
      <c r="BH65" s="2">
        <f t="shared" si="47"/>
        <v>0.37077244258872655</v>
      </c>
      <c r="BI65" s="2">
        <f t="shared" si="47"/>
        <v>0.38302018093249829</v>
      </c>
      <c r="BJ65" s="2">
        <f t="shared" si="47"/>
        <v>0.36498260264439814</v>
      </c>
      <c r="BK65" s="2">
        <f t="shared" si="47"/>
        <v>0</v>
      </c>
      <c r="BM65" s="2">
        <f t="shared" si="46"/>
        <v>0.31306889352818379</v>
      </c>
      <c r="BT65" s="2"/>
      <c r="BU65" s="2"/>
      <c r="BV65" s="2"/>
      <c r="BW65" s="2"/>
      <c r="BX65" s="2"/>
      <c r="BY65" s="2"/>
      <c r="BZ65" s="2"/>
    </row>
    <row r="66" spans="1:78">
      <c r="A66" s="1" t="s">
        <v>121</v>
      </c>
      <c r="B66" s="54">
        <f t="shared" si="45"/>
        <v>1.9171941300026786E-2</v>
      </c>
      <c r="C66" s="2">
        <f t="shared" ref="C66:BM66" si="48">C48*$D9</f>
        <v>2.3682986311797792E-2</v>
      </c>
      <c r="D66" s="2">
        <f t="shared" si="48"/>
        <v>2.847597163680449E-2</v>
      </c>
      <c r="E66" s="2">
        <f t="shared" si="48"/>
        <v>3.1295374769161374E-2</v>
      </c>
      <c r="F66" s="2">
        <f t="shared" si="48"/>
        <v>2.3964926625033481E-2</v>
      </c>
      <c r="G66" s="2">
        <f t="shared" si="48"/>
        <v>2.3682986311797792E-2</v>
      </c>
      <c r="H66" s="2">
        <f t="shared" si="48"/>
        <v>2.2837165372090729E-2</v>
      </c>
      <c r="I66" s="2">
        <f t="shared" si="48"/>
        <v>2.3964926625033481E-2</v>
      </c>
      <c r="J66" s="2">
        <f t="shared" si="48"/>
        <v>2.5092687877976232E-2</v>
      </c>
      <c r="K66" s="54">
        <f t="shared" si="48"/>
        <v>2.5092687877976232E-2</v>
      </c>
      <c r="L66" s="2">
        <f t="shared" si="48"/>
        <v>2.5374628191211921E-2</v>
      </c>
      <c r="M66" s="2">
        <f t="shared" si="48"/>
        <v>2.1709404119147978E-2</v>
      </c>
      <c r="N66" s="2">
        <f t="shared" si="48"/>
        <v>1.9453881613262471E-2</v>
      </c>
      <c r="O66" s="2">
        <f t="shared" si="48"/>
        <v>1.973582192649816E-2</v>
      </c>
      <c r="P66" s="2">
        <f t="shared" si="48"/>
        <v>6.2026868911851368E-3</v>
      </c>
      <c r="Q66" s="54">
        <f t="shared" si="48"/>
        <v>6.4846272044208246E-3</v>
      </c>
      <c r="R66" s="2">
        <f t="shared" si="48"/>
        <v>5.0749256382423844E-3</v>
      </c>
      <c r="S66" s="2">
        <f t="shared" si="48"/>
        <v>5.638806264713761E-3</v>
      </c>
      <c r="T66" s="2">
        <f t="shared" si="48"/>
        <v>5.920746577949448E-3</v>
      </c>
      <c r="U66" s="2">
        <f t="shared" ref="U66:BK66" si="49">U48*$D9</f>
        <v>5.3568659514780723E-3</v>
      </c>
      <c r="V66" s="2">
        <f t="shared" si="49"/>
        <v>7.3304481441278883E-3</v>
      </c>
      <c r="W66" s="2">
        <f t="shared" si="49"/>
        <v>7.0485078308922004E-3</v>
      </c>
      <c r="X66" s="2">
        <f t="shared" si="49"/>
        <v>6.4846272044208246E-3</v>
      </c>
      <c r="Y66" s="54">
        <f t="shared" si="49"/>
        <v>4.2291046985353199E-3</v>
      </c>
      <c r="Z66" s="2">
        <f t="shared" si="49"/>
        <v>5.920746577949448E-3</v>
      </c>
      <c r="AA66" s="54">
        <f t="shared" si="49"/>
        <v>5.0749256382423844E-3</v>
      </c>
      <c r="AB66" s="2">
        <f t="shared" si="49"/>
        <v>7.3304481441278883E-3</v>
      </c>
      <c r="AC66" s="2">
        <f t="shared" si="49"/>
        <v>3.9471643852996329E-3</v>
      </c>
      <c r="AD66" s="2">
        <f t="shared" si="49"/>
        <v>5.920746577949448E-3</v>
      </c>
      <c r="AE66" s="2">
        <f t="shared" si="49"/>
        <v>6.7665675176565125E-3</v>
      </c>
      <c r="AF66" s="2">
        <f t="shared" si="49"/>
        <v>6.2026868911851368E-3</v>
      </c>
      <c r="AG66" s="2">
        <f t="shared" si="49"/>
        <v>6.7665675176565125E-3</v>
      </c>
      <c r="AH66" s="2">
        <f t="shared" si="49"/>
        <v>5.920746577949448E-3</v>
      </c>
      <c r="AI66" s="2">
        <f t="shared" si="49"/>
        <v>7.0485078308922004E-3</v>
      </c>
      <c r="AJ66" s="2">
        <f t="shared" si="49"/>
        <v>6.7665675176565125E-3</v>
      </c>
      <c r="AK66" s="2">
        <f t="shared" si="49"/>
        <v>7.0485078308922004E-3</v>
      </c>
      <c r="AL66" s="2">
        <f t="shared" si="49"/>
        <v>5.638806264713761E-3</v>
      </c>
      <c r="AM66" s="2">
        <f t="shared" si="49"/>
        <v>5.0749256382423844E-3</v>
      </c>
      <c r="AN66" s="2">
        <f t="shared" si="49"/>
        <v>5.920746577949448E-3</v>
      </c>
      <c r="AO66" s="2">
        <f t="shared" si="49"/>
        <v>7.8943287705992658E-3</v>
      </c>
      <c r="AP66" s="2">
        <f t="shared" si="49"/>
        <v>8.7401497103063285E-3</v>
      </c>
      <c r="AQ66" s="2">
        <f t="shared" si="49"/>
        <v>7.612388457363577E-3</v>
      </c>
      <c r="AR66" s="2">
        <f t="shared" si="49"/>
        <v>9.585970650013393E-3</v>
      </c>
      <c r="AS66" s="2">
        <f t="shared" si="49"/>
        <v>9.585970650013393E-3</v>
      </c>
      <c r="AT66" s="2">
        <f t="shared" si="49"/>
        <v>9.3040303367777043E-3</v>
      </c>
      <c r="AU66" s="54">
        <f t="shared" si="49"/>
        <v>7.612388457363577E-3</v>
      </c>
      <c r="AV66" s="2">
        <f t="shared" si="49"/>
        <v>7.8943287705992658E-3</v>
      </c>
      <c r="AW66" s="2">
        <f t="shared" si="49"/>
        <v>7.3304481441278883E-3</v>
      </c>
      <c r="AX66" s="2">
        <f t="shared" si="49"/>
        <v>7.0485078308922004E-3</v>
      </c>
      <c r="AY66" s="2">
        <f t="shared" si="49"/>
        <v>8.4582093970706398E-3</v>
      </c>
      <c r="AZ66" s="2">
        <f t="shared" si="49"/>
        <v>8.4582093970706398E-3</v>
      </c>
      <c r="BA66" s="2">
        <f t="shared" si="49"/>
        <v>5.638806264713761E-3</v>
      </c>
      <c r="BB66" s="2">
        <f t="shared" si="49"/>
        <v>6.7665675176565125E-3</v>
      </c>
      <c r="BC66" s="2">
        <f t="shared" si="49"/>
        <v>5.0749256382423844E-3</v>
      </c>
      <c r="BD66" s="2">
        <f t="shared" si="49"/>
        <v>5.638806264713761E-3</v>
      </c>
      <c r="BE66" s="2">
        <f t="shared" si="49"/>
        <v>5.0749256382423844E-3</v>
      </c>
      <c r="BF66" s="2">
        <f t="shared" si="49"/>
        <v>4.5110450117710086E-3</v>
      </c>
      <c r="BG66" s="2">
        <f t="shared" si="49"/>
        <v>7.0485078308922004E-3</v>
      </c>
      <c r="BH66" s="2">
        <f t="shared" si="49"/>
        <v>5.638806264713761E-3</v>
      </c>
      <c r="BI66" s="2">
        <f t="shared" si="49"/>
        <v>5.920746577949448E-3</v>
      </c>
      <c r="BJ66" s="2">
        <f t="shared" si="49"/>
        <v>6.7665675176565125E-3</v>
      </c>
      <c r="BK66" s="2">
        <f t="shared" si="49"/>
        <v>0</v>
      </c>
      <c r="BM66" s="2">
        <f t="shared" si="48"/>
        <v>2.4634534868968241E-2</v>
      </c>
      <c r="BT66" s="2"/>
      <c r="BU66" s="2"/>
      <c r="BV66" s="2"/>
      <c r="BW66" s="2"/>
      <c r="BX66" s="2"/>
      <c r="BY66" s="2"/>
      <c r="BZ66" s="2"/>
    </row>
    <row r="67" spans="1:78">
      <c r="A67" s="1" t="s">
        <v>122</v>
      </c>
      <c r="B67" s="54">
        <f t="shared" si="45"/>
        <v>8.0311179048419602E-4</v>
      </c>
      <c r="C67" s="2">
        <f t="shared" ref="C67:BM67" si="50">C49*$D10</f>
        <v>0</v>
      </c>
      <c r="D67" s="2">
        <f t="shared" si="50"/>
        <v>0</v>
      </c>
      <c r="E67" s="2">
        <f t="shared" si="50"/>
        <v>8.0311179048419602E-4</v>
      </c>
      <c r="F67" s="2">
        <f t="shared" si="50"/>
        <v>0</v>
      </c>
      <c r="G67" s="2">
        <f t="shared" si="50"/>
        <v>0</v>
      </c>
      <c r="H67" s="2">
        <f t="shared" si="50"/>
        <v>0</v>
      </c>
      <c r="I67" s="2">
        <f t="shared" si="50"/>
        <v>0</v>
      </c>
      <c r="J67" s="2">
        <f t="shared" si="50"/>
        <v>0</v>
      </c>
      <c r="K67" s="54">
        <f t="shared" si="50"/>
        <v>0</v>
      </c>
      <c r="L67" s="2">
        <f t="shared" si="50"/>
        <v>0</v>
      </c>
      <c r="M67" s="2">
        <f t="shared" si="50"/>
        <v>0</v>
      </c>
      <c r="N67" s="2">
        <f t="shared" si="50"/>
        <v>0</v>
      </c>
      <c r="O67" s="2">
        <f t="shared" si="50"/>
        <v>0</v>
      </c>
      <c r="P67" s="2">
        <f t="shared" si="50"/>
        <v>0</v>
      </c>
      <c r="Q67" s="54">
        <f t="shared" si="50"/>
        <v>0</v>
      </c>
      <c r="R67" s="2">
        <f t="shared" si="50"/>
        <v>0</v>
      </c>
      <c r="S67" s="2">
        <f t="shared" si="50"/>
        <v>0</v>
      </c>
      <c r="T67" s="2">
        <f t="shared" si="50"/>
        <v>0</v>
      </c>
      <c r="U67" s="2">
        <f t="shared" ref="U67:BK67" si="51">U49*$D10</f>
        <v>0</v>
      </c>
      <c r="V67" s="2">
        <f t="shared" si="51"/>
        <v>0</v>
      </c>
      <c r="W67" s="2">
        <f t="shared" si="51"/>
        <v>0</v>
      </c>
      <c r="X67" s="2">
        <f t="shared" si="51"/>
        <v>0</v>
      </c>
      <c r="Y67" s="54">
        <f t="shared" si="51"/>
        <v>0</v>
      </c>
      <c r="Z67" s="2">
        <f t="shared" si="51"/>
        <v>0</v>
      </c>
      <c r="AA67" s="54">
        <f t="shared" si="51"/>
        <v>0</v>
      </c>
      <c r="AB67" s="2">
        <f t="shared" si="51"/>
        <v>0</v>
      </c>
      <c r="AC67" s="2">
        <f t="shared" si="51"/>
        <v>0</v>
      </c>
      <c r="AD67" s="2">
        <f t="shared" si="51"/>
        <v>0</v>
      </c>
      <c r="AE67" s="2">
        <f t="shared" si="51"/>
        <v>0</v>
      </c>
      <c r="AF67" s="2">
        <f t="shared" si="51"/>
        <v>0</v>
      </c>
      <c r="AG67" s="2">
        <f t="shared" si="51"/>
        <v>0</v>
      </c>
      <c r="AH67" s="2">
        <f t="shared" si="51"/>
        <v>0</v>
      </c>
      <c r="AI67" s="2">
        <f t="shared" si="51"/>
        <v>0</v>
      </c>
      <c r="AJ67" s="2">
        <f t="shared" si="51"/>
        <v>0</v>
      </c>
      <c r="AK67" s="2">
        <f t="shared" si="51"/>
        <v>0</v>
      </c>
      <c r="AL67" s="2">
        <f t="shared" si="51"/>
        <v>0</v>
      </c>
      <c r="AM67" s="2">
        <f t="shared" si="51"/>
        <v>0</v>
      </c>
      <c r="AN67" s="2">
        <f t="shared" si="51"/>
        <v>0</v>
      </c>
      <c r="AO67" s="2">
        <f t="shared" si="51"/>
        <v>0</v>
      </c>
      <c r="AP67" s="2">
        <f t="shared" si="51"/>
        <v>0</v>
      </c>
      <c r="AQ67" s="2">
        <f t="shared" si="51"/>
        <v>0</v>
      </c>
      <c r="AR67" s="2">
        <f t="shared" si="51"/>
        <v>0</v>
      </c>
      <c r="AS67" s="2">
        <f t="shared" si="51"/>
        <v>0</v>
      </c>
      <c r="AT67" s="2">
        <f t="shared" si="51"/>
        <v>0</v>
      </c>
      <c r="AU67" s="54">
        <f t="shared" si="51"/>
        <v>0</v>
      </c>
      <c r="AV67" s="2">
        <f t="shared" si="51"/>
        <v>0</v>
      </c>
      <c r="AW67" s="2">
        <f t="shared" si="51"/>
        <v>0</v>
      </c>
      <c r="AX67" s="2">
        <f t="shared" si="51"/>
        <v>0</v>
      </c>
      <c r="AY67" s="2">
        <f t="shared" si="51"/>
        <v>0</v>
      </c>
      <c r="AZ67" s="2">
        <f t="shared" si="51"/>
        <v>0</v>
      </c>
      <c r="BA67" s="2">
        <f t="shared" si="51"/>
        <v>0</v>
      </c>
      <c r="BB67" s="2">
        <f t="shared" si="51"/>
        <v>0</v>
      </c>
      <c r="BC67" s="2">
        <f t="shared" si="51"/>
        <v>0</v>
      </c>
      <c r="BD67" s="2">
        <f t="shared" si="51"/>
        <v>0</v>
      </c>
      <c r="BE67" s="2">
        <f t="shared" si="51"/>
        <v>0</v>
      </c>
      <c r="BF67" s="2">
        <f t="shared" si="51"/>
        <v>0</v>
      </c>
      <c r="BG67" s="2">
        <f t="shared" si="51"/>
        <v>0</v>
      </c>
      <c r="BH67" s="2">
        <f t="shared" si="51"/>
        <v>0</v>
      </c>
      <c r="BI67" s="2">
        <f t="shared" si="51"/>
        <v>0</v>
      </c>
      <c r="BJ67" s="2">
        <f t="shared" si="51"/>
        <v>0</v>
      </c>
      <c r="BK67" s="2">
        <f t="shared" si="51"/>
        <v>0</v>
      </c>
      <c r="BM67" s="2">
        <f t="shared" si="50"/>
        <v>2.00777947621049E-4</v>
      </c>
      <c r="BT67" s="2"/>
      <c r="BU67" s="2"/>
      <c r="BV67" s="2"/>
      <c r="BW67" s="2"/>
      <c r="BX67" s="2"/>
      <c r="BY67" s="2"/>
      <c r="BZ67" s="2"/>
    </row>
    <row r="68" spans="1:78">
      <c r="A68" s="1" t="s">
        <v>123</v>
      </c>
      <c r="B68" s="54">
        <f t="shared" si="45"/>
        <v>0.61820888117092532</v>
      </c>
      <c r="C68" s="2">
        <f t="shared" ref="C68:BM68" si="52">C50*$D11</f>
        <v>0.64500124038700068</v>
      </c>
      <c r="D68" s="2">
        <f t="shared" si="52"/>
        <v>0.59836268915901758</v>
      </c>
      <c r="E68" s="2">
        <f t="shared" si="52"/>
        <v>0.59439345075663608</v>
      </c>
      <c r="F68" s="2">
        <f t="shared" si="52"/>
        <v>0.60729347556437607</v>
      </c>
      <c r="G68" s="2">
        <f t="shared" si="52"/>
        <v>0.59141652195484984</v>
      </c>
      <c r="H68" s="2">
        <f t="shared" si="52"/>
        <v>0.61473579756884145</v>
      </c>
      <c r="I68" s="2">
        <f t="shared" si="52"/>
        <v>0.61622426196973457</v>
      </c>
      <c r="J68" s="2">
        <f t="shared" si="52"/>
        <v>0.63706276358223757</v>
      </c>
      <c r="K68" s="54">
        <f t="shared" si="52"/>
        <v>0.5507318283304391</v>
      </c>
      <c r="L68" s="2">
        <f t="shared" si="52"/>
        <v>0.63706276358223757</v>
      </c>
      <c r="M68" s="2">
        <f t="shared" si="52"/>
        <v>0.60431654676258983</v>
      </c>
      <c r="N68" s="2">
        <f t="shared" si="52"/>
        <v>0.58546266435127758</v>
      </c>
      <c r="O68" s="2">
        <f t="shared" si="52"/>
        <v>0.5998511535599107</v>
      </c>
      <c r="P68" s="2">
        <f t="shared" si="52"/>
        <v>0.61324733316794833</v>
      </c>
      <c r="Q68" s="54">
        <f t="shared" si="52"/>
        <v>0.81419002728851397</v>
      </c>
      <c r="R68" s="2">
        <f t="shared" si="52"/>
        <v>0.57851649714710984</v>
      </c>
      <c r="S68" s="2">
        <f t="shared" si="52"/>
        <v>0.57752418754651447</v>
      </c>
      <c r="T68" s="2">
        <f t="shared" si="52"/>
        <v>0.58248573554949146</v>
      </c>
      <c r="U68" s="2">
        <f t="shared" ref="U68:BK68" si="53">U50*$D11</f>
        <v>0.55370875713222523</v>
      </c>
      <c r="V68" s="2">
        <f t="shared" si="53"/>
        <v>0.55569337633341598</v>
      </c>
      <c r="W68" s="2">
        <f t="shared" si="53"/>
        <v>0.6038203919622922</v>
      </c>
      <c r="X68" s="2">
        <f t="shared" si="53"/>
        <v>0.61423964276854381</v>
      </c>
      <c r="Y68" s="54">
        <f t="shared" si="53"/>
        <v>0.34978913420987345</v>
      </c>
      <c r="Z68" s="2">
        <f t="shared" si="53"/>
        <v>0.55519722153311823</v>
      </c>
      <c r="AA68" s="54">
        <f t="shared" si="53"/>
        <v>0.6206896551724137</v>
      </c>
      <c r="AB68" s="2">
        <f t="shared" si="53"/>
        <v>0.64400893078640531</v>
      </c>
      <c r="AC68" s="2">
        <f t="shared" si="53"/>
        <v>0.62465889357479532</v>
      </c>
      <c r="AD68" s="2">
        <f t="shared" si="53"/>
        <v>0.60927809476556682</v>
      </c>
      <c r="AE68" s="2">
        <f t="shared" si="53"/>
        <v>0.60084346316050596</v>
      </c>
      <c r="AF68" s="2">
        <f t="shared" si="53"/>
        <v>0.61225502356735295</v>
      </c>
      <c r="AG68" s="2">
        <f t="shared" si="53"/>
        <v>0.5894319027536592</v>
      </c>
      <c r="AH68" s="2">
        <f t="shared" si="53"/>
        <v>0.61423964276854381</v>
      </c>
      <c r="AI68" s="2">
        <f t="shared" si="53"/>
        <v>0.5894319027536592</v>
      </c>
      <c r="AJ68" s="2">
        <f t="shared" si="53"/>
        <v>0.6167204167700322</v>
      </c>
      <c r="AK68" s="2">
        <f t="shared" si="53"/>
        <v>0.56015876953609522</v>
      </c>
      <c r="AL68" s="2">
        <f t="shared" si="53"/>
        <v>0.5507318283304391</v>
      </c>
      <c r="AM68" s="2">
        <f t="shared" si="53"/>
        <v>0.57802034234681221</v>
      </c>
      <c r="AN68" s="2">
        <f t="shared" si="53"/>
        <v>0.56958571074175146</v>
      </c>
      <c r="AO68" s="2">
        <f t="shared" si="53"/>
        <v>0.57454725874472834</v>
      </c>
      <c r="AP68" s="2">
        <f t="shared" si="53"/>
        <v>0.49020094269412057</v>
      </c>
      <c r="AQ68" s="2">
        <f t="shared" si="53"/>
        <v>0.49069709749441826</v>
      </c>
      <c r="AR68" s="2">
        <f t="shared" si="53"/>
        <v>0.48623170429173901</v>
      </c>
      <c r="AS68" s="2">
        <f t="shared" si="53"/>
        <v>0.47878938228727363</v>
      </c>
      <c r="AT68" s="2">
        <f t="shared" si="53"/>
        <v>0.47730091788638046</v>
      </c>
      <c r="AU68" s="54">
        <f t="shared" si="53"/>
        <v>0.5353510295212105</v>
      </c>
      <c r="AV68" s="2">
        <f t="shared" si="53"/>
        <v>0.47531629868518976</v>
      </c>
      <c r="AW68" s="2">
        <f t="shared" si="53"/>
        <v>0.46737782188042665</v>
      </c>
      <c r="AX68" s="2">
        <f t="shared" si="53"/>
        <v>0.37360456462416275</v>
      </c>
      <c r="AY68" s="2">
        <f t="shared" si="53"/>
        <v>0.46936244108161745</v>
      </c>
      <c r="AZ68" s="2">
        <f t="shared" si="53"/>
        <v>0.49218556189531132</v>
      </c>
      <c r="BA68" s="2">
        <f t="shared" si="53"/>
        <v>0.56263954353758372</v>
      </c>
      <c r="BB68" s="2">
        <f t="shared" si="53"/>
        <v>0.55519722153311823</v>
      </c>
      <c r="BC68" s="2">
        <f t="shared" si="53"/>
        <v>0.56263954353758372</v>
      </c>
      <c r="BD68" s="2">
        <f t="shared" si="53"/>
        <v>0.5482510543289506</v>
      </c>
      <c r="BE68" s="2">
        <f t="shared" si="53"/>
        <v>0.56958571074175146</v>
      </c>
      <c r="BF68" s="2">
        <f t="shared" si="53"/>
        <v>0.47233936988340358</v>
      </c>
      <c r="BG68" s="2">
        <f t="shared" si="53"/>
        <v>0.46886628628131971</v>
      </c>
      <c r="BH68" s="2">
        <f t="shared" si="53"/>
        <v>0.48772016869263207</v>
      </c>
      <c r="BI68" s="2">
        <f t="shared" si="53"/>
        <v>0.46291242867774746</v>
      </c>
      <c r="BJ68" s="2">
        <f t="shared" si="53"/>
        <v>0.48275862068965519</v>
      </c>
      <c r="BK68" s="2">
        <f t="shared" si="53"/>
        <v>0</v>
      </c>
      <c r="BM68" s="2">
        <f t="shared" si="52"/>
        <v>0.6107045398164227</v>
      </c>
      <c r="BT68" s="2"/>
      <c r="BU68" s="2"/>
      <c r="BV68" s="2"/>
      <c r="BW68" s="2"/>
      <c r="BX68" s="2"/>
      <c r="BY68" s="2"/>
      <c r="BZ68" s="2"/>
    </row>
    <row r="69" spans="1:78">
      <c r="A69" s="1" t="s">
        <v>124</v>
      </c>
      <c r="B69" s="54">
        <f t="shared" si="45"/>
        <v>0.37410841654778887</v>
      </c>
      <c r="C69" s="2">
        <f t="shared" ref="C69:BM69" si="54">C51*$D12</f>
        <v>0.37553495007132665</v>
      </c>
      <c r="D69" s="2">
        <f t="shared" si="54"/>
        <v>0.37624821683309562</v>
      </c>
      <c r="E69" s="2">
        <f t="shared" si="54"/>
        <v>0.35663338088445079</v>
      </c>
      <c r="F69" s="2">
        <f t="shared" si="54"/>
        <v>0.38766048502139799</v>
      </c>
      <c r="G69" s="2">
        <f t="shared" si="54"/>
        <v>0.39015691868758917</v>
      </c>
      <c r="H69" s="2">
        <f t="shared" si="54"/>
        <v>0.39300998573466478</v>
      </c>
      <c r="I69" s="2">
        <f t="shared" si="54"/>
        <v>0.3855206847360913</v>
      </c>
      <c r="J69" s="2">
        <f t="shared" si="54"/>
        <v>0.36590584878744653</v>
      </c>
      <c r="K69" s="54">
        <f t="shared" si="54"/>
        <v>0.36911554921540657</v>
      </c>
      <c r="L69" s="2">
        <f t="shared" si="54"/>
        <v>0.37375178316690444</v>
      </c>
      <c r="M69" s="2">
        <f t="shared" si="54"/>
        <v>0.3855206847360913</v>
      </c>
      <c r="N69" s="2">
        <f t="shared" si="54"/>
        <v>0.3705420827389444</v>
      </c>
      <c r="O69" s="2">
        <f t="shared" si="54"/>
        <v>0.38694721825962908</v>
      </c>
      <c r="P69" s="2">
        <f t="shared" si="54"/>
        <v>0.43259629101283886</v>
      </c>
      <c r="Q69" s="54">
        <f t="shared" si="54"/>
        <v>0.4507845934379458</v>
      </c>
      <c r="R69" s="2">
        <f t="shared" si="54"/>
        <v>0.42617689015691868</v>
      </c>
      <c r="S69" s="2">
        <f t="shared" si="54"/>
        <v>0.42902995720399428</v>
      </c>
      <c r="T69" s="2">
        <f t="shared" si="54"/>
        <v>0.43045649072753212</v>
      </c>
      <c r="U69" s="2">
        <f t="shared" ref="U69:BK69" si="55">U51*$D12</f>
        <v>0.42332382310984307</v>
      </c>
      <c r="V69" s="2">
        <f t="shared" si="55"/>
        <v>0.43116975748930103</v>
      </c>
      <c r="W69" s="2">
        <f t="shared" si="55"/>
        <v>0.42974322396576325</v>
      </c>
      <c r="X69" s="2">
        <f t="shared" si="55"/>
        <v>0.42189728958630529</v>
      </c>
      <c r="Y69" s="54">
        <f t="shared" si="55"/>
        <v>0.57917261055634806</v>
      </c>
      <c r="Z69" s="2">
        <f t="shared" si="55"/>
        <v>0.46718972895863053</v>
      </c>
      <c r="AA69" s="54">
        <f t="shared" si="55"/>
        <v>0.48430813124108418</v>
      </c>
      <c r="AB69" s="2">
        <f t="shared" si="55"/>
        <v>0.40442225392296721</v>
      </c>
      <c r="AC69" s="2">
        <f t="shared" si="55"/>
        <v>0.40263908701854489</v>
      </c>
      <c r="AD69" s="2">
        <f t="shared" si="55"/>
        <v>0.40941512125534951</v>
      </c>
      <c r="AE69" s="2">
        <f t="shared" si="55"/>
        <v>0.39657631954350925</v>
      </c>
      <c r="AF69" s="2">
        <f t="shared" si="55"/>
        <v>0.39942938659058486</v>
      </c>
      <c r="AG69" s="2">
        <f t="shared" si="55"/>
        <v>0.3997860199714694</v>
      </c>
      <c r="AH69" s="2">
        <f t="shared" si="55"/>
        <v>0.39835948644793151</v>
      </c>
      <c r="AI69" s="2">
        <f t="shared" si="55"/>
        <v>0.40085592011412269</v>
      </c>
      <c r="AJ69" s="2">
        <f t="shared" si="55"/>
        <v>0.39265335235378029</v>
      </c>
      <c r="AK69" s="2">
        <f t="shared" si="55"/>
        <v>0.39407988587731818</v>
      </c>
      <c r="AL69" s="2">
        <f t="shared" si="55"/>
        <v>0.38944365192582026</v>
      </c>
      <c r="AM69" s="2">
        <f t="shared" si="55"/>
        <v>0.38766048502139799</v>
      </c>
      <c r="AN69" s="2">
        <f t="shared" si="55"/>
        <v>0.38195435092724683</v>
      </c>
      <c r="AO69" s="2">
        <f t="shared" si="55"/>
        <v>0.38801711840228248</v>
      </c>
      <c r="AP69" s="2">
        <f t="shared" si="55"/>
        <v>0.42047075606276746</v>
      </c>
      <c r="AQ69" s="2">
        <f t="shared" si="55"/>
        <v>0.41690442225392293</v>
      </c>
      <c r="AR69" s="2">
        <f t="shared" si="55"/>
        <v>0.42261055634807421</v>
      </c>
      <c r="AS69" s="2">
        <f t="shared" si="55"/>
        <v>0.42011412268188303</v>
      </c>
      <c r="AT69" s="2">
        <f t="shared" si="55"/>
        <v>0.40727532097004282</v>
      </c>
      <c r="AU69" s="54">
        <f t="shared" si="55"/>
        <v>0.41868758915834525</v>
      </c>
      <c r="AV69" s="2">
        <f t="shared" si="55"/>
        <v>0.40798858773181168</v>
      </c>
      <c r="AW69" s="2">
        <f t="shared" si="55"/>
        <v>0.41619115549215407</v>
      </c>
      <c r="AX69" s="2">
        <f t="shared" si="55"/>
        <v>0.51176890156918686</v>
      </c>
      <c r="AY69" s="2">
        <f t="shared" si="55"/>
        <v>0.40941512125534951</v>
      </c>
      <c r="AZ69" s="2">
        <f t="shared" si="55"/>
        <v>0.41868758915834525</v>
      </c>
      <c r="BA69" s="2">
        <f t="shared" si="55"/>
        <v>0.42867332382310985</v>
      </c>
      <c r="BB69" s="2">
        <f t="shared" si="55"/>
        <v>0.42154065620542086</v>
      </c>
      <c r="BC69" s="2">
        <f t="shared" si="55"/>
        <v>0.42510699001426533</v>
      </c>
      <c r="BD69" s="2">
        <f t="shared" si="55"/>
        <v>0.42617689015691868</v>
      </c>
      <c r="BE69" s="2">
        <f t="shared" si="55"/>
        <v>0.42796005706134094</v>
      </c>
      <c r="BF69" s="2">
        <f t="shared" si="55"/>
        <v>0.41333808844507847</v>
      </c>
      <c r="BG69" s="2">
        <f t="shared" si="55"/>
        <v>0.40442225392296721</v>
      </c>
      <c r="BH69" s="2">
        <f t="shared" si="55"/>
        <v>0.41690442225392293</v>
      </c>
      <c r="BI69" s="2">
        <f t="shared" si="55"/>
        <v>0.4065620542082739</v>
      </c>
      <c r="BJ69" s="2">
        <f t="shared" si="55"/>
        <v>0.42724679029957208</v>
      </c>
      <c r="BK69" s="2">
        <f t="shared" si="55"/>
        <v>0</v>
      </c>
      <c r="BM69" s="2">
        <f t="shared" si="54"/>
        <v>0.37985912981455061</v>
      </c>
      <c r="BT69" s="2"/>
      <c r="BU69" s="2"/>
      <c r="BV69" s="2"/>
      <c r="BW69" s="2"/>
      <c r="BX69" s="2"/>
      <c r="BY69" s="2"/>
      <c r="BZ69" s="2"/>
    </row>
    <row r="70" spans="1:78">
      <c r="A70" s="1" t="s">
        <v>125</v>
      </c>
      <c r="B70" s="54">
        <f t="shared" si="45"/>
        <v>4.3561033848536677E-2</v>
      </c>
      <c r="C70" s="2">
        <f t="shared" ref="C70:BM70" si="56">C52*$D13</f>
        <v>4.5174405472556543E-2</v>
      </c>
      <c r="D70" s="2">
        <f t="shared" si="56"/>
        <v>4.872382304540028E-2</v>
      </c>
      <c r="E70" s="2">
        <f t="shared" si="56"/>
        <v>4.4851731147752573E-2</v>
      </c>
      <c r="F70" s="2">
        <f t="shared" si="56"/>
        <v>4.4851731147752573E-2</v>
      </c>
      <c r="G70" s="2">
        <f t="shared" si="56"/>
        <v>4.7433125746184378E-2</v>
      </c>
      <c r="H70" s="2">
        <f t="shared" si="56"/>
        <v>4.4206382498144625E-2</v>
      </c>
      <c r="I70" s="2">
        <f t="shared" si="56"/>
        <v>4.5497079797360521E-2</v>
      </c>
      <c r="J70" s="2">
        <f t="shared" si="56"/>
        <v>4.5497079797360521E-2</v>
      </c>
      <c r="K70" s="54">
        <f t="shared" si="56"/>
        <v>4.162498789971282E-2</v>
      </c>
      <c r="L70" s="2">
        <f t="shared" si="56"/>
        <v>4.9369171695008228E-2</v>
      </c>
      <c r="M70" s="2">
        <f t="shared" si="56"/>
        <v>4.6787777096576423E-2</v>
      </c>
      <c r="N70" s="2">
        <f t="shared" si="56"/>
        <v>5.2595914943047981E-2</v>
      </c>
      <c r="O70" s="2">
        <f t="shared" si="56"/>
        <v>4.872382304540028E-2</v>
      </c>
      <c r="P70" s="2">
        <f t="shared" si="56"/>
        <v>4.4529056822948596E-2</v>
      </c>
      <c r="Q70" s="54">
        <f t="shared" si="56"/>
        <v>2.3877900035494174E-2</v>
      </c>
      <c r="R70" s="2">
        <f t="shared" si="56"/>
        <v>5.3886612242263883E-2</v>
      </c>
      <c r="S70" s="2">
        <f t="shared" si="56"/>
        <v>5.065986899422413E-2</v>
      </c>
      <c r="T70" s="2">
        <f t="shared" si="56"/>
        <v>5.1627891968636062E-2</v>
      </c>
      <c r="U70" s="2">
        <f t="shared" ref="U70:BK70" si="57">U52*$D13</f>
        <v>5.2918589267851958E-2</v>
      </c>
      <c r="V70" s="2">
        <f t="shared" si="57"/>
        <v>5.420928656706786E-2</v>
      </c>
      <c r="W70" s="2">
        <f t="shared" si="57"/>
        <v>4.0011616275692941E-2</v>
      </c>
      <c r="X70" s="2">
        <f t="shared" si="57"/>
        <v>4.9046497370204251E-2</v>
      </c>
      <c r="Y70" s="54">
        <f t="shared" si="57"/>
        <v>3.3880804104417413E-2</v>
      </c>
      <c r="Z70" s="2">
        <f t="shared" si="57"/>
        <v>4.0656964925300895E-2</v>
      </c>
      <c r="AA70" s="54">
        <f t="shared" si="57"/>
        <v>3.7752896002065113E-2</v>
      </c>
      <c r="AB70" s="2">
        <f t="shared" si="57"/>
        <v>6.7116259559226871E-2</v>
      </c>
      <c r="AC70" s="2">
        <f t="shared" si="57"/>
        <v>7.9700558226581925E-2</v>
      </c>
      <c r="AD70" s="2">
        <f t="shared" si="57"/>
        <v>8.0991255525797806E-2</v>
      </c>
      <c r="AE70" s="2">
        <f t="shared" si="57"/>
        <v>8.3249975799425641E-2</v>
      </c>
      <c r="AF70" s="2">
        <f t="shared" si="57"/>
        <v>8.486334742344552E-2</v>
      </c>
      <c r="AG70" s="2">
        <f t="shared" si="57"/>
        <v>8.5186021748249491E-2</v>
      </c>
      <c r="AH70" s="2">
        <f t="shared" si="57"/>
        <v>8.3572650124229611E-2</v>
      </c>
      <c r="AI70" s="2">
        <f t="shared" si="57"/>
        <v>8.2281952825013716E-2</v>
      </c>
      <c r="AJ70" s="2">
        <f t="shared" si="57"/>
        <v>8.2604627149817686E-2</v>
      </c>
      <c r="AK70" s="2">
        <f t="shared" si="57"/>
        <v>7.8732535252169986E-2</v>
      </c>
      <c r="AL70" s="2">
        <f t="shared" si="57"/>
        <v>8.3572650124229611E-2</v>
      </c>
      <c r="AM70" s="2">
        <f t="shared" si="57"/>
        <v>7.9700558226581925E-2</v>
      </c>
      <c r="AN70" s="2">
        <f t="shared" si="57"/>
        <v>8.0345906876189865E-2</v>
      </c>
      <c r="AO70" s="2">
        <f t="shared" si="57"/>
        <v>8.3249975799425641E-2</v>
      </c>
      <c r="AP70" s="2">
        <f t="shared" si="57"/>
        <v>4.5497079797360521E-2</v>
      </c>
      <c r="AQ70" s="2">
        <f t="shared" si="57"/>
        <v>4.1947662224516798E-2</v>
      </c>
      <c r="AR70" s="2">
        <f t="shared" si="57"/>
        <v>4.6465102771772446E-2</v>
      </c>
      <c r="AS70" s="2">
        <f t="shared" si="57"/>
        <v>4.8078474395792326E-2</v>
      </c>
      <c r="AT70" s="2">
        <f t="shared" si="57"/>
        <v>5.0982543319028108E-2</v>
      </c>
      <c r="AU70" s="54">
        <f t="shared" si="57"/>
        <v>3.7430221677261136E-2</v>
      </c>
      <c r="AV70" s="2">
        <f t="shared" si="57"/>
        <v>4.9691846019812205E-2</v>
      </c>
      <c r="AW70" s="2">
        <f t="shared" si="57"/>
        <v>4.9369171695008228E-2</v>
      </c>
      <c r="AX70" s="2">
        <f t="shared" si="57"/>
        <v>3.2267432480397533E-2</v>
      </c>
      <c r="AY70" s="2">
        <f t="shared" si="57"/>
        <v>5.1305217643832085E-2</v>
      </c>
      <c r="AZ70" s="2">
        <f t="shared" si="57"/>
        <v>4.6465102771772446E-2</v>
      </c>
      <c r="BA70" s="2">
        <f t="shared" si="57"/>
        <v>6.3566841986383141E-2</v>
      </c>
      <c r="BB70" s="2">
        <f t="shared" si="57"/>
        <v>6.4212190635991095E-2</v>
      </c>
      <c r="BC70" s="2">
        <f t="shared" si="57"/>
        <v>6.1630796037559291E-2</v>
      </c>
      <c r="BD70" s="2">
        <f t="shared" si="57"/>
        <v>6.2921493336775186E-2</v>
      </c>
      <c r="BE70" s="2">
        <f t="shared" si="57"/>
        <v>6.324416766157917E-2</v>
      </c>
      <c r="BF70" s="2">
        <f t="shared" si="57"/>
        <v>7.6796489303346135E-2</v>
      </c>
      <c r="BG70" s="2">
        <f t="shared" si="57"/>
        <v>7.8087186602562031E-2</v>
      </c>
      <c r="BH70" s="2">
        <f t="shared" si="57"/>
        <v>7.2601723080894451E-2</v>
      </c>
      <c r="BI70" s="2">
        <f t="shared" si="57"/>
        <v>7.163370010648254E-2</v>
      </c>
      <c r="BJ70" s="2">
        <f t="shared" si="57"/>
        <v>7.034300280726663E-2</v>
      </c>
      <c r="BK70" s="2">
        <f t="shared" si="57"/>
        <v>0</v>
      </c>
      <c r="BM70" s="2">
        <f t="shared" si="56"/>
        <v>4.5537414087961019E-2</v>
      </c>
      <c r="BT70" s="2"/>
      <c r="BU70" s="2"/>
      <c r="BV70" s="2"/>
      <c r="BW70" s="2"/>
      <c r="BX70" s="2"/>
      <c r="BY70" s="2"/>
      <c r="BZ70" s="2"/>
    </row>
    <row r="71" spans="1:78">
      <c r="A71" s="1" t="s">
        <v>126</v>
      </c>
      <c r="B71" s="54">
        <f t="shared" si="45"/>
        <v>5.0955414012738851E-3</v>
      </c>
      <c r="C71" s="2">
        <f t="shared" ref="C71:BM71" si="58">C53*$D14</f>
        <v>2.9723991507431E-3</v>
      </c>
      <c r="D71" s="2">
        <f t="shared" si="58"/>
        <v>5.7324840764331215E-3</v>
      </c>
      <c r="E71" s="2">
        <f t="shared" si="58"/>
        <v>5.3078556263269636E-3</v>
      </c>
      <c r="F71" s="2">
        <f t="shared" si="58"/>
        <v>7.218683651804671E-3</v>
      </c>
      <c r="G71" s="2">
        <f t="shared" si="58"/>
        <v>5.5201698513800421E-3</v>
      </c>
      <c r="H71" s="2">
        <f t="shared" si="58"/>
        <v>4.4585987261146496E-3</v>
      </c>
      <c r="I71" s="2">
        <f t="shared" si="58"/>
        <v>4.8832271762208066E-3</v>
      </c>
      <c r="J71" s="2">
        <f t="shared" si="58"/>
        <v>3.397027600849257E-3</v>
      </c>
      <c r="K71" s="54">
        <f t="shared" si="58"/>
        <v>5.7324840764331215E-3</v>
      </c>
      <c r="L71" s="2">
        <f t="shared" si="58"/>
        <v>2.9723991507431E-3</v>
      </c>
      <c r="M71" s="2">
        <f t="shared" si="58"/>
        <v>4.6709129511677281E-3</v>
      </c>
      <c r="N71" s="2">
        <f t="shared" si="58"/>
        <v>5.3078556263269636E-3</v>
      </c>
      <c r="O71" s="2">
        <f t="shared" si="58"/>
        <v>5.3078556263269636E-3</v>
      </c>
      <c r="P71" s="2">
        <f t="shared" si="58"/>
        <v>1.5498938428874733E-2</v>
      </c>
      <c r="Q71" s="54">
        <f t="shared" si="58"/>
        <v>5.5201698513800421E-3</v>
      </c>
      <c r="R71" s="2">
        <f t="shared" si="58"/>
        <v>2.1019108280254776E-2</v>
      </c>
      <c r="S71" s="2">
        <f t="shared" si="58"/>
        <v>2.1656050955414011E-2</v>
      </c>
      <c r="T71" s="2">
        <f t="shared" si="58"/>
        <v>1.9957537154989383E-2</v>
      </c>
      <c r="U71" s="2">
        <f t="shared" ref="U71:BK71" si="59">U53*$D14</f>
        <v>2.1443736730360933E-2</v>
      </c>
      <c r="V71" s="2">
        <f t="shared" si="59"/>
        <v>2.2717622080679407E-2</v>
      </c>
      <c r="W71" s="2">
        <f t="shared" si="59"/>
        <v>1.4861995753715497E-2</v>
      </c>
      <c r="X71" s="2">
        <f t="shared" si="59"/>
        <v>1.613588110403397E-2</v>
      </c>
      <c r="Y71" s="54">
        <f t="shared" si="59"/>
        <v>1.4225053078556264E-2</v>
      </c>
      <c r="Z71" s="2">
        <f t="shared" si="59"/>
        <v>1.4649681528662419E-2</v>
      </c>
      <c r="AA71" s="54">
        <f t="shared" si="59"/>
        <v>8.4925690021231425E-4</v>
      </c>
      <c r="AB71" s="2">
        <f t="shared" si="59"/>
        <v>2.1231422505307855E-3</v>
      </c>
      <c r="AC71" s="2">
        <f t="shared" si="59"/>
        <v>3.1847133757961781E-3</v>
      </c>
      <c r="AD71" s="2">
        <f t="shared" si="59"/>
        <v>2.9723991507431E-3</v>
      </c>
      <c r="AE71" s="2">
        <f t="shared" si="59"/>
        <v>2.9723991507431E-3</v>
      </c>
      <c r="AF71" s="2">
        <f t="shared" si="59"/>
        <v>2.5477707006369425E-3</v>
      </c>
      <c r="AG71" s="2">
        <f t="shared" si="59"/>
        <v>2.9723991507431E-3</v>
      </c>
      <c r="AH71" s="2">
        <f t="shared" si="59"/>
        <v>2.5477707006369425E-3</v>
      </c>
      <c r="AI71" s="2">
        <f t="shared" si="59"/>
        <v>3.8216560509554136E-3</v>
      </c>
      <c r="AJ71" s="2">
        <f t="shared" si="59"/>
        <v>2.5477707006369425E-3</v>
      </c>
      <c r="AK71" s="2">
        <f t="shared" si="59"/>
        <v>9.5541401273885346E-3</v>
      </c>
      <c r="AL71" s="2">
        <f t="shared" si="59"/>
        <v>6.794055201698514E-3</v>
      </c>
      <c r="AM71" s="2">
        <f t="shared" si="59"/>
        <v>8.0679405520169851E-3</v>
      </c>
      <c r="AN71" s="2">
        <f t="shared" si="59"/>
        <v>7.8556263269639066E-3</v>
      </c>
      <c r="AO71" s="2">
        <f t="shared" si="59"/>
        <v>5.9447983014862E-3</v>
      </c>
      <c r="AP71" s="2">
        <f t="shared" si="59"/>
        <v>2.7600849256900211E-3</v>
      </c>
      <c r="AQ71" s="2">
        <f t="shared" si="59"/>
        <v>3.8216560509554136E-3</v>
      </c>
      <c r="AR71" s="2">
        <f t="shared" si="59"/>
        <v>3.1847133757961781E-3</v>
      </c>
      <c r="AS71" s="2">
        <f t="shared" si="59"/>
        <v>3.397027600849257E-3</v>
      </c>
      <c r="AT71" s="2">
        <f t="shared" si="59"/>
        <v>8.4925690021231425E-4</v>
      </c>
      <c r="AU71" s="54">
        <f t="shared" si="59"/>
        <v>3.397027600849257E-3</v>
      </c>
      <c r="AV71" s="2">
        <f t="shared" si="59"/>
        <v>2.9723991507431E-3</v>
      </c>
      <c r="AW71" s="2">
        <f t="shared" si="59"/>
        <v>3.6093418259023355E-3</v>
      </c>
      <c r="AX71" s="2">
        <f t="shared" si="59"/>
        <v>1.48619957537155E-3</v>
      </c>
      <c r="AY71" s="2">
        <f t="shared" si="59"/>
        <v>1.6985138004246285E-3</v>
      </c>
      <c r="AZ71" s="2">
        <f t="shared" si="59"/>
        <v>3.6093418259023355E-3</v>
      </c>
      <c r="BA71" s="2">
        <f t="shared" si="59"/>
        <v>8.4925690021231425E-4</v>
      </c>
      <c r="BB71" s="2">
        <f t="shared" si="59"/>
        <v>6.3694267515923564E-4</v>
      </c>
      <c r="BC71" s="2">
        <f t="shared" si="59"/>
        <v>8.4925690021231425E-4</v>
      </c>
      <c r="BD71" s="2">
        <f t="shared" si="59"/>
        <v>1.48619957537155E-3</v>
      </c>
      <c r="BE71" s="2">
        <f t="shared" si="59"/>
        <v>1.9108280254777068E-3</v>
      </c>
      <c r="BF71" s="2">
        <f t="shared" si="59"/>
        <v>1.9108280254777068E-3</v>
      </c>
      <c r="BG71" s="2">
        <f t="shared" si="59"/>
        <v>2.9723991507431E-3</v>
      </c>
      <c r="BH71" s="2">
        <f t="shared" si="59"/>
        <v>1.6985138004246285E-3</v>
      </c>
      <c r="BI71" s="2">
        <f t="shared" si="59"/>
        <v>1.0615711252653928E-3</v>
      </c>
      <c r="BJ71" s="2">
        <f t="shared" si="59"/>
        <v>2.5477707006369425E-3</v>
      </c>
      <c r="BK71" s="2">
        <f t="shared" si="59"/>
        <v>0</v>
      </c>
      <c r="BM71" s="2">
        <f t="shared" si="58"/>
        <v>5.1486199575371547E-3</v>
      </c>
      <c r="BT71" s="2"/>
      <c r="BU71" s="2"/>
      <c r="BV71" s="2"/>
      <c r="BW71" s="2"/>
      <c r="BX71" s="2"/>
      <c r="BY71" s="2"/>
      <c r="BZ71" s="2"/>
    </row>
    <row r="72" spans="1:78">
      <c r="A72" s="1" t="s">
        <v>89</v>
      </c>
      <c r="B72" s="54">
        <f t="shared" si="45"/>
        <v>0</v>
      </c>
      <c r="C72" s="2">
        <f t="shared" ref="C72:BM72" si="60">C54*$D15</f>
        <v>0</v>
      </c>
      <c r="D72" s="2">
        <f t="shared" si="60"/>
        <v>0</v>
      </c>
      <c r="E72" s="2">
        <f t="shared" si="60"/>
        <v>0</v>
      </c>
      <c r="F72" s="2">
        <f t="shared" si="60"/>
        <v>0</v>
      </c>
      <c r="G72" s="2">
        <f t="shared" si="60"/>
        <v>0</v>
      </c>
      <c r="H72" s="2">
        <f t="shared" si="60"/>
        <v>0</v>
      </c>
      <c r="I72" s="2">
        <f t="shared" si="60"/>
        <v>0</v>
      </c>
      <c r="J72" s="2">
        <f t="shared" si="60"/>
        <v>0</v>
      </c>
      <c r="K72" s="54">
        <f t="shared" si="60"/>
        <v>0</v>
      </c>
      <c r="L72" s="2">
        <f t="shared" si="60"/>
        <v>0</v>
      </c>
      <c r="M72" s="2">
        <f t="shared" si="60"/>
        <v>0</v>
      </c>
      <c r="N72" s="2">
        <f t="shared" si="60"/>
        <v>0</v>
      </c>
      <c r="O72" s="2">
        <f t="shared" si="60"/>
        <v>0</v>
      </c>
      <c r="P72" s="2">
        <f t="shared" si="60"/>
        <v>0</v>
      </c>
      <c r="Q72" s="54">
        <f t="shared" si="60"/>
        <v>0</v>
      </c>
      <c r="R72" s="2">
        <f t="shared" si="60"/>
        <v>0</v>
      </c>
      <c r="S72" s="2">
        <f t="shared" si="60"/>
        <v>0</v>
      </c>
      <c r="T72" s="2">
        <f t="shared" si="60"/>
        <v>0</v>
      </c>
      <c r="U72" s="2">
        <f t="shared" ref="U72:BK72" si="61">U54*$D15</f>
        <v>0</v>
      </c>
      <c r="V72" s="2">
        <f t="shared" si="61"/>
        <v>0</v>
      </c>
      <c r="W72" s="2">
        <f t="shared" si="61"/>
        <v>0</v>
      </c>
      <c r="X72" s="2">
        <f t="shared" si="61"/>
        <v>0</v>
      </c>
      <c r="Y72" s="54">
        <f t="shared" si="61"/>
        <v>0</v>
      </c>
      <c r="Z72" s="2">
        <f t="shared" si="61"/>
        <v>0</v>
      </c>
      <c r="AA72" s="54">
        <f t="shared" si="61"/>
        <v>0</v>
      </c>
      <c r="AB72" s="2">
        <f t="shared" si="61"/>
        <v>0</v>
      </c>
      <c r="AC72" s="2">
        <f t="shared" si="61"/>
        <v>0</v>
      </c>
      <c r="AD72" s="2">
        <f t="shared" si="61"/>
        <v>0</v>
      </c>
      <c r="AE72" s="2">
        <f t="shared" si="61"/>
        <v>0</v>
      </c>
      <c r="AF72" s="2">
        <f t="shared" si="61"/>
        <v>0</v>
      </c>
      <c r="AG72" s="2">
        <f t="shared" si="61"/>
        <v>0</v>
      </c>
      <c r="AH72" s="2">
        <f t="shared" si="61"/>
        <v>0</v>
      </c>
      <c r="AI72" s="2">
        <f t="shared" si="61"/>
        <v>0</v>
      </c>
      <c r="AJ72" s="2">
        <f t="shared" si="61"/>
        <v>0</v>
      </c>
      <c r="AK72" s="2">
        <f t="shared" si="61"/>
        <v>0</v>
      </c>
      <c r="AL72" s="2">
        <f t="shared" si="61"/>
        <v>0</v>
      </c>
      <c r="AM72" s="2">
        <f t="shared" si="61"/>
        <v>0</v>
      </c>
      <c r="AN72" s="2">
        <f t="shared" si="61"/>
        <v>0</v>
      </c>
      <c r="AO72" s="2">
        <f t="shared" si="61"/>
        <v>0</v>
      </c>
      <c r="AP72" s="2">
        <f t="shared" si="61"/>
        <v>0</v>
      </c>
      <c r="AQ72" s="2">
        <f t="shared" si="61"/>
        <v>0</v>
      </c>
      <c r="AR72" s="2">
        <f t="shared" si="61"/>
        <v>0</v>
      </c>
      <c r="AS72" s="2">
        <f t="shared" si="61"/>
        <v>0</v>
      </c>
      <c r="AT72" s="2">
        <f t="shared" si="61"/>
        <v>0</v>
      </c>
      <c r="AU72" s="54">
        <f t="shared" si="61"/>
        <v>0</v>
      </c>
      <c r="AV72" s="2">
        <f t="shared" si="61"/>
        <v>0</v>
      </c>
      <c r="AW72" s="2">
        <f t="shared" si="61"/>
        <v>0</v>
      </c>
      <c r="AX72" s="2">
        <f t="shared" si="61"/>
        <v>0</v>
      </c>
      <c r="AY72" s="2">
        <f t="shared" si="61"/>
        <v>0</v>
      </c>
      <c r="AZ72" s="2">
        <f t="shared" si="61"/>
        <v>0</v>
      </c>
      <c r="BA72" s="2">
        <f t="shared" si="61"/>
        <v>0</v>
      </c>
      <c r="BB72" s="2">
        <f t="shared" si="61"/>
        <v>0</v>
      </c>
      <c r="BC72" s="2">
        <f t="shared" si="61"/>
        <v>0</v>
      </c>
      <c r="BD72" s="2">
        <f t="shared" si="61"/>
        <v>0</v>
      </c>
      <c r="BE72" s="2">
        <f t="shared" si="61"/>
        <v>0</v>
      </c>
      <c r="BF72" s="2">
        <f t="shared" si="61"/>
        <v>0</v>
      </c>
      <c r="BG72" s="2">
        <f t="shared" si="61"/>
        <v>0</v>
      </c>
      <c r="BH72" s="2">
        <f t="shared" si="61"/>
        <v>0</v>
      </c>
      <c r="BI72" s="2">
        <f t="shared" si="61"/>
        <v>0</v>
      </c>
      <c r="BJ72" s="2">
        <f t="shared" si="61"/>
        <v>0</v>
      </c>
      <c r="BK72" s="2">
        <f t="shared" si="61"/>
        <v>0</v>
      </c>
      <c r="BM72" s="2">
        <f t="shared" si="60"/>
        <v>0</v>
      </c>
      <c r="BT72" s="2"/>
      <c r="BU72" s="2"/>
      <c r="BV72" s="2"/>
      <c r="BW72" s="2"/>
      <c r="BX72" s="2"/>
      <c r="BY72" s="2"/>
      <c r="BZ72" s="2"/>
    </row>
    <row r="73" spans="1:78">
      <c r="A73" s="1" t="s">
        <v>86</v>
      </c>
      <c r="B73" s="54">
        <f t="shared" si="45"/>
        <v>0</v>
      </c>
      <c r="C73" s="2">
        <f t="shared" ref="C73:BM73" si="62">C55*$D16</f>
        <v>0</v>
      </c>
      <c r="D73" s="2">
        <f t="shared" si="62"/>
        <v>0</v>
      </c>
      <c r="E73" s="2">
        <f t="shared" si="62"/>
        <v>0</v>
      </c>
      <c r="F73" s="2">
        <f t="shared" si="62"/>
        <v>0</v>
      </c>
      <c r="G73" s="2">
        <f t="shared" si="62"/>
        <v>0</v>
      </c>
      <c r="H73" s="2">
        <f t="shared" si="62"/>
        <v>0</v>
      </c>
      <c r="I73" s="2">
        <f t="shared" si="62"/>
        <v>0</v>
      </c>
      <c r="J73" s="2">
        <f t="shared" si="62"/>
        <v>0</v>
      </c>
      <c r="K73" s="54">
        <f t="shared" si="62"/>
        <v>0</v>
      </c>
      <c r="L73" s="2">
        <f t="shared" si="62"/>
        <v>0</v>
      </c>
      <c r="M73" s="2">
        <f t="shared" si="62"/>
        <v>0</v>
      </c>
      <c r="N73" s="2">
        <f t="shared" si="62"/>
        <v>0</v>
      </c>
      <c r="O73" s="2">
        <f t="shared" si="62"/>
        <v>0</v>
      </c>
      <c r="P73" s="2">
        <f t="shared" si="62"/>
        <v>0</v>
      </c>
      <c r="Q73" s="54">
        <f t="shared" si="62"/>
        <v>0</v>
      </c>
      <c r="R73" s="2">
        <f t="shared" si="62"/>
        <v>0</v>
      </c>
      <c r="S73" s="2">
        <f t="shared" si="62"/>
        <v>0</v>
      </c>
      <c r="T73" s="2">
        <f t="shared" si="62"/>
        <v>0</v>
      </c>
      <c r="U73" s="2">
        <f t="shared" ref="U73:BK73" si="63">U55*$D16</f>
        <v>0</v>
      </c>
      <c r="V73" s="2">
        <f t="shared" si="63"/>
        <v>0</v>
      </c>
      <c r="W73" s="2">
        <f t="shared" si="63"/>
        <v>0</v>
      </c>
      <c r="X73" s="2">
        <f t="shared" si="63"/>
        <v>0</v>
      </c>
      <c r="Y73" s="54">
        <f t="shared" si="63"/>
        <v>0</v>
      </c>
      <c r="Z73" s="2">
        <f t="shared" si="63"/>
        <v>0</v>
      </c>
      <c r="AA73" s="54">
        <f t="shared" si="63"/>
        <v>0</v>
      </c>
      <c r="AB73" s="2">
        <f t="shared" si="63"/>
        <v>0</v>
      </c>
      <c r="AC73" s="2">
        <f t="shared" si="63"/>
        <v>0</v>
      </c>
      <c r="AD73" s="2">
        <f t="shared" si="63"/>
        <v>0</v>
      </c>
      <c r="AE73" s="2">
        <f t="shared" si="63"/>
        <v>0</v>
      </c>
      <c r="AF73" s="2">
        <f t="shared" si="63"/>
        <v>0</v>
      </c>
      <c r="AG73" s="2">
        <f t="shared" si="63"/>
        <v>0</v>
      </c>
      <c r="AH73" s="2">
        <f t="shared" si="63"/>
        <v>0</v>
      </c>
      <c r="AI73" s="2">
        <f t="shared" si="63"/>
        <v>0</v>
      </c>
      <c r="AJ73" s="2">
        <f t="shared" si="63"/>
        <v>0</v>
      </c>
      <c r="AK73" s="2">
        <f t="shared" si="63"/>
        <v>0</v>
      </c>
      <c r="AL73" s="2">
        <f t="shared" si="63"/>
        <v>0</v>
      </c>
      <c r="AM73" s="2">
        <f t="shared" si="63"/>
        <v>0</v>
      </c>
      <c r="AN73" s="2">
        <f t="shared" si="63"/>
        <v>0</v>
      </c>
      <c r="AO73" s="2">
        <f t="shared" si="63"/>
        <v>0</v>
      </c>
      <c r="AP73" s="2">
        <f t="shared" si="63"/>
        <v>0</v>
      </c>
      <c r="AQ73" s="2">
        <f t="shared" si="63"/>
        <v>0</v>
      </c>
      <c r="AR73" s="2">
        <f t="shared" si="63"/>
        <v>0</v>
      </c>
      <c r="AS73" s="2">
        <f t="shared" si="63"/>
        <v>0</v>
      </c>
      <c r="AT73" s="2">
        <f t="shared" si="63"/>
        <v>0</v>
      </c>
      <c r="AU73" s="54">
        <f t="shared" si="63"/>
        <v>0</v>
      </c>
      <c r="AV73" s="2">
        <f t="shared" si="63"/>
        <v>0</v>
      </c>
      <c r="AW73" s="2">
        <f t="shared" si="63"/>
        <v>0</v>
      </c>
      <c r="AX73" s="2">
        <f t="shared" si="63"/>
        <v>0</v>
      </c>
      <c r="AY73" s="2">
        <f t="shared" si="63"/>
        <v>0</v>
      </c>
      <c r="AZ73" s="2">
        <f t="shared" si="63"/>
        <v>0</v>
      </c>
      <c r="BA73" s="2">
        <f t="shared" si="63"/>
        <v>0</v>
      </c>
      <c r="BB73" s="2">
        <f t="shared" si="63"/>
        <v>0</v>
      </c>
      <c r="BC73" s="2">
        <f t="shared" si="63"/>
        <v>0</v>
      </c>
      <c r="BD73" s="2">
        <f t="shared" si="63"/>
        <v>0</v>
      </c>
      <c r="BE73" s="2">
        <f t="shared" si="63"/>
        <v>0</v>
      </c>
      <c r="BF73" s="2">
        <f t="shared" si="63"/>
        <v>0</v>
      </c>
      <c r="BG73" s="2">
        <f t="shared" si="63"/>
        <v>0</v>
      </c>
      <c r="BH73" s="2">
        <f t="shared" si="63"/>
        <v>0</v>
      </c>
      <c r="BI73" s="2">
        <f t="shared" si="63"/>
        <v>0</v>
      </c>
      <c r="BJ73" s="2">
        <f t="shared" si="63"/>
        <v>0</v>
      </c>
      <c r="BK73" s="2">
        <f t="shared" si="63"/>
        <v>0</v>
      </c>
      <c r="BM73" s="2">
        <f t="shared" si="62"/>
        <v>0</v>
      </c>
      <c r="BT73" s="2"/>
      <c r="BU73" s="2"/>
      <c r="BV73" s="2"/>
      <c r="BW73" s="2"/>
      <c r="BX73" s="2"/>
      <c r="BY73" s="2"/>
      <c r="BZ73" s="2"/>
    </row>
    <row r="74" spans="1:78">
      <c r="A74" s="1" t="s">
        <v>87</v>
      </c>
      <c r="B74" s="54">
        <f t="shared" si="45"/>
        <v>0</v>
      </c>
      <c r="C74" s="2">
        <f t="shared" ref="C74:BM74" si="64">C56*$D17</f>
        <v>0</v>
      </c>
      <c r="D74" s="2">
        <f t="shared" si="64"/>
        <v>0</v>
      </c>
      <c r="E74" s="2">
        <f t="shared" si="64"/>
        <v>0</v>
      </c>
      <c r="F74" s="2">
        <f t="shared" si="64"/>
        <v>0</v>
      </c>
      <c r="G74" s="2">
        <f t="shared" si="64"/>
        <v>0</v>
      </c>
      <c r="H74" s="2">
        <f t="shared" si="64"/>
        <v>0</v>
      </c>
      <c r="I74" s="2">
        <f t="shared" si="64"/>
        <v>0</v>
      </c>
      <c r="J74" s="2">
        <f t="shared" si="64"/>
        <v>0</v>
      </c>
      <c r="K74" s="54">
        <f t="shared" si="64"/>
        <v>0</v>
      </c>
      <c r="L74" s="2">
        <f t="shared" si="64"/>
        <v>0</v>
      </c>
      <c r="M74" s="2">
        <f t="shared" si="64"/>
        <v>0</v>
      </c>
      <c r="N74" s="2">
        <f t="shared" si="64"/>
        <v>0</v>
      </c>
      <c r="O74" s="2">
        <f t="shared" si="64"/>
        <v>0</v>
      </c>
      <c r="P74" s="2">
        <f t="shared" si="64"/>
        <v>0</v>
      </c>
      <c r="Q74" s="54">
        <f t="shared" si="64"/>
        <v>0</v>
      </c>
      <c r="R74" s="2">
        <f t="shared" si="64"/>
        <v>0</v>
      </c>
      <c r="S74" s="2">
        <f t="shared" si="64"/>
        <v>0</v>
      </c>
      <c r="T74" s="2">
        <f t="shared" si="64"/>
        <v>0</v>
      </c>
      <c r="U74" s="2">
        <f t="shared" ref="U74:BK74" si="65">U56*$D17</f>
        <v>0</v>
      </c>
      <c r="V74" s="2">
        <f t="shared" si="65"/>
        <v>0</v>
      </c>
      <c r="W74" s="2">
        <f t="shared" si="65"/>
        <v>0</v>
      </c>
      <c r="X74" s="2">
        <f t="shared" si="65"/>
        <v>0</v>
      </c>
      <c r="Y74" s="54">
        <f t="shared" si="65"/>
        <v>0</v>
      </c>
      <c r="Z74" s="2">
        <f t="shared" si="65"/>
        <v>0</v>
      </c>
      <c r="AA74" s="54">
        <f t="shared" si="65"/>
        <v>0</v>
      </c>
      <c r="AB74" s="2">
        <f t="shared" si="65"/>
        <v>0</v>
      </c>
      <c r="AC74" s="2">
        <f t="shared" si="65"/>
        <v>0</v>
      </c>
      <c r="AD74" s="2">
        <f t="shared" si="65"/>
        <v>0</v>
      </c>
      <c r="AE74" s="2">
        <f t="shared" si="65"/>
        <v>0</v>
      </c>
      <c r="AF74" s="2">
        <f t="shared" si="65"/>
        <v>0</v>
      </c>
      <c r="AG74" s="2">
        <f t="shared" si="65"/>
        <v>0</v>
      </c>
      <c r="AH74" s="2">
        <f t="shared" si="65"/>
        <v>0</v>
      </c>
      <c r="AI74" s="2">
        <f t="shared" si="65"/>
        <v>0</v>
      </c>
      <c r="AJ74" s="2">
        <f t="shared" si="65"/>
        <v>0</v>
      </c>
      <c r="AK74" s="2">
        <f t="shared" si="65"/>
        <v>0</v>
      </c>
      <c r="AL74" s="2">
        <f t="shared" si="65"/>
        <v>0</v>
      </c>
      <c r="AM74" s="2">
        <f t="shared" si="65"/>
        <v>0</v>
      </c>
      <c r="AN74" s="2">
        <f t="shared" si="65"/>
        <v>0</v>
      </c>
      <c r="AO74" s="2">
        <f t="shared" si="65"/>
        <v>0</v>
      </c>
      <c r="AP74" s="2">
        <f t="shared" si="65"/>
        <v>0</v>
      </c>
      <c r="AQ74" s="2">
        <f t="shared" si="65"/>
        <v>0</v>
      </c>
      <c r="AR74" s="2">
        <f t="shared" si="65"/>
        <v>0</v>
      </c>
      <c r="AS74" s="2">
        <f t="shared" si="65"/>
        <v>0</v>
      </c>
      <c r="AT74" s="2">
        <f t="shared" si="65"/>
        <v>0</v>
      </c>
      <c r="AU74" s="54">
        <f t="shared" si="65"/>
        <v>0</v>
      </c>
      <c r="AV74" s="2">
        <f t="shared" si="65"/>
        <v>0</v>
      </c>
      <c r="AW74" s="2">
        <f t="shared" si="65"/>
        <v>0</v>
      </c>
      <c r="AX74" s="2">
        <f t="shared" si="65"/>
        <v>0</v>
      </c>
      <c r="AY74" s="2">
        <f t="shared" si="65"/>
        <v>0</v>
      </c>
      <c r="AZ74" s="2">
        <f t="shared" si="65"/>
        <v>0</v>
      </c>
      <c r="BA74" s="2">
        <f t="shared" si="65"/>
        <v>0</v>
      </c>
      <c r="BB74" s="2">
        <f t="shared" si="65"/>
        <v>0</v>
      </c>
      <c r="BC74" s="2">
        <f t="shared" si="65"/>
        <v>0</v>
      </c>
      <c r="BD74" s="2">
        <f t="shared" si="65"/>
        <v>0</v>
      </c>
      <c r="BE74" s="2">
        <f t="shared" si="65"/>
        <v>0</v>
      </c>
      <c r="BF74" s="2">
        <f t="shared" si="65"/>
        <v>0</v>
      </c>
      <c r="BG74" s="2">
        <f t="shared" si="65"/>
        <v>0</v>
      </c>
      <c r="BH74" s="2">
        <f t="shared" si="65"/>
        <v>0</v>
      </c>
      <c r="BI74" s="2">
        <f t="shared" si="65"/>
        <v>0</v>
      </c>
      <c r="BJ74" s="2">
        <f t="shared" si="65"/>
        <v>0</v>
      </c>
      <c r="BK74" s="2">
        <f t="shared" si="65"/>
        <v>0</v>
      </c>
      <c r="BM74" s="2">
        <f t="shared" si="64"/>
        <v>0</v>
      </c>
      <c r="BT74" s="2"/>
      <c r="BU74" s="2"/>
      <c r="BV74" s="2"/>
      <c r="BW74" s="2"/>
      <c r="BX74" s="2"/>
      <c r="BY74" s="2"/>
      <c r="BZ74" s="2"/>
    </row>
    <row r="75" spans="1:78">
      <c r="A75" s="1" t="s">
        <v>115</v>
      </c>
      <c r="B75" s="54">
        <f>SUM(B60:B74)</f>
        <v>5.1614462784932353</v>
      </c>
      <c r="C75" s="2">
        <f t="shared" ref="C75:BM75" si="66">SUM(C60:C74)</f>
        <v>5.2034557963746098</v>
      </c>
      <c r="D75" s="2">
        <f t="shared" si="66"/>
        <v>5.2192664486554312</v>
      </c>
      <c r="E75" s="2">
        <f t="shared" si="66"/>
        <v>5.1239626453907059</v>
      </c>
      <c r="F75" s="2">
        <f t="shared" si="66"/>
        <v>5.1971893048701618</v>
      </c>
      <c r="G75" s="2">
        <f t="shared" si="66"/>
        <v>5.1823498910192667</v>
      </c>
      <c r="H75" s="2">
        <f t="shared" si="66"/>
        <v>5.1973628669489367</v>
      </c>
      <c r="I75" s="2">
        <f t="shared" si="66"/>
        <v>5.2319544159419893</v>
      </c>
      <c r="J75" s="2">
        <f t="shared" si="66"/>
        <v>5.2254440464648404</v>
      </c>
      <c r="K75" s="54">
        <f t="shared" si="66"/>
        <v>4.9491483866889778</v>
      </c>
      <c r="L75" s="2">
        <f t="shared" si="66"/>
        <v>5.2478061089680113</v>
      </c>
      <c r="M75" s="2">
        <f t="shared" si="66"/>
        <v>5.1904505039161046</v>
      </c>
      <c r="N75" s="2">
        <f t="shared" si="66"/>
        <v>5.2192690749119599</v>
      </c>
      <c r="O75" s="2">
        <f t="shared" si="66"/>
        <v>5.2140456748955355</v>
      </c>
      <c r="P75" s="2">
        <f t="shared" si="66"/>
        <v>5.1300265184857112</v>
      </c>
      <c r="Q75" s="54">
        <f t="shared" si="66"/>
        <v>5.2979486955668174</v>
      </c>
      <c r="R75" s="2">
        <f t="shared" si="66"/>
        <v>5.1319368509956051</v>
      </c>
      <c r="S75" s="2">
        <f t="shared" si="66"/>
        <v>5.1348406079519942</v>
      </c>
      <c r="T75" s="2">
        <f t="shared" si="66"/>
        <v>5.124880194817159</v>
      </c>
      <c r="U75" s="2">
        <f t="shared" ref="U75:BK75" si="67">SUM(U60:U74)</f>
        <v>5.0872919322721879</v>
      </c>
      <c r="V75" s="2">
        <f t="shared" si="67"/>
        <v>5.1100884849615387</v>
      </c>
      <c r="W75" s="2">
        <f t="shared" si="67"/>
        <v>5.1064219568083384</v>
      </c>
      <c r="X75" s="2">
        <f t="shared" si="67"/>
        <v>5.1298137561848112</v>
      </c>
      <c r="Y75" s="54">
        <f t="shared" si="67"/>
        <v>5.0934113794229514</v>
      </c>
      <c r="Z75" s="2">
        <f t="shared" si="67"/>
        <v>5.1581136171816269</v>
      </c>
      <c r="AA75" s="54">
        <f t="shared" si="67"/>
        <v>5.2363612147229714</v>
      </c>
      <c r="AB75" s="2">
        <f t="shared" si="67"/>
        <v>5.2491198266765027</v>
      </c>
      <c r="AC75" s="2">
        <f t="shared" si="67"/>
        <v>5.247080422856059</v>
      </c>
      <c r="AD75" s="2">
        <f t="shared" si="67"/>
        <v>5.2095436355515394</v>
      </c>
      <c r="AE75" s="2">
        <f t="shared" si="67"/>
        <v>5.2012114269677827</v>
      </c>
      <c r="AF75" s="2">
        <f t="shared" si="67"/>
        <v>5.2059466857431929</v>
      </c>
      <c r="AG75" s="2">
        <f t="shared" si="67"/>
        <v>5.210910013581211</v>
      </c>
      <c r="AH75" s="2">
        <f t="shared" si="67"/>
        <v>5.2743342709471621</v>
      </c>
      <c r="AI75" s="2">
        <f t="shared" si="67"/>
        <v>5.1706068123837206</v>
      </c>
      <c r="AJ75" s="2">
        <f t="shared" si="67"/>
        <v>5.215679790141591</v>
      </c>
      <c r="AK75" s="2">
        <f t="shared" si="67"/>
        <v>5.1972080069785154</v>
      </c>
      <c r="AL75" s="2">
        <f t="shared" si="67"/>
        <v>5.1787752265624336</v>
      </c>
      <c r="AM75" s="2">
        <f t="shared" si="67"/>
        <v>5.2272298386935034</v>
      </c>
      <c r="AN75" s="2">
        <f t="shared" si="67"/>
        <v>5.1937186865643881</v>
      </c>
      <c r="AO75" s="2">
        <f t="shared" si="67"/>
        <v>5.2033225186481848</v>
      </c>
      <c r="AP75" s="2">
        <f t="shared" si="67"/>
        <v>5.1119297691053847</v>
      </c>
      <c r="AQ75" s="2">
        <f t="shared" si="67"/>
        <v>5.1287018236595383</v>
      </c>
      <c r="AR75" s="2">
        <f t="shared" si="67"/>
        <v>5.1131979808868735</v>
      </c>
      <c r="AS75" s="2">
        <f t="shared" si="67"/>
        <v>5.1165962974801591</v>
      </c>
      <c r="AT75" s="2">
        <f t="shared" si="67"/>
        <v>5.0760052231730093</v>
      </c>
      <c r="AU75" s="54">
        <f t="shared" si="67"/>
        <v>5.120533721382607</v>
      </c>
      <c r="AV75" s="2">
        <f t="shared" si="67"/>
        <v>5.1020189289240108</v>
      </c>
      <c r="AW75" s="2">
        <f t="shared" si="67"/>
        <v>5.0496264185545847</v>
      </c>
      <c r="AX75" s="2">
        <f t="shared" si="67"/>
        <v>5.0388612697387067</v>
      </c>
      <c r="AY75" s="2">
        <f t="shared" si="67"/>
        <v>5.0803609470872582</v>
      </c>
      <c r="AZ75" s="2">
        <f t="shared" si="67"/>
        <v>5.1211233438568788</v>
      </c>
      <c r="BA75" s="2">
        <f t="shared" si="67"/>
        <v>5.1471209914981859</v>
      </c>
      <c r="BB75" s="2">
        <f t="shared" si="67"/>
        <v>5.1428528227621504</v>
      </c>
      <c r="BC75" s="2">
        <f t="shared" si="67"/>
        <v>5.0588485274039314</v>
      </c>
      <c r="BD75" s="2">
        <f t="shared" si="67"/>
        <v>5.1310888302435531</v>
      </c>
      <c r="BE75" s="2">
        <f t="shared" si="67"/>
        <v>5.1558728650464172</v>
      </c>
      <c r="BF75" s="2">
        <f t="shared" si="67"/>
        <v>5.0752994206224189</v>
      </c>
      <c r="BG75" s="2">
        <f t="shared" si="67"/>
        <v>5.0506727553046504</v>
      </c>
      <c r="BH75" s="2">
        <f t="shared" si="67"/>
        <v>5.0979942567085175</v>
      </c>
      <c r="BI75" s="2">
        <f t="shared" si="67"/>
        <v>5.0486458399737488</v>
      </c>
      <c r="BJ75" s="2">
        <f t="shared" si="67"/>
        <v>5.0637237308976548</v>
      </c>
      <c r="BK75" s="2">
        <f t="shared" si="67"/>
        <v>0</v>
      </c>
      <c r="BM75" s="2">
        <f t="shared" si="66"/>
        <v>5.1896234559617929</v>
      </c>
      <c r="BT75" s="2"/>
      <c r="BU75" s="2"/>
      <c r="BV75" s="2"/>
      <c r="BW75" s="2"/>
      <c r="BX75" s="2"/>
      <c r="BY75" s="2"/>
      <c r="BZ75" s="2"/>
    </row>
    <row r="76" spans="1:78">
      <c r="BT76" s="2"/>
      <c r="BU76" s="2"/>
      <c r="BV76" s="2"/>
      <c r="BW76" s="2"/>
      <c r="BX76" s="2"/>
      <c r="BY76" s="2"/>
      <c r="BZ76" s="2"/>
    </row>
    <row r="77" spans="1:78" s="23" customFormat="1">
      <c r="A77" s="21"/>
      <c r="B77" s="55"/>
      <c r="C77" s="22"/>
      <c r="D77" s="22"/>
      <c r="E77" s="22"/>
      <c r="F77" s="22"/>
      <c r="G77" s="22"/>
      <c r="H77" s="22"/>
      <c r="I77" s="22"/>
      <c r="J77" s="22"/>
      <c r="K77" s="55"/>
      <c r="L77" s="22"/>
      <c r="M77" s="22"/>
      <c r="N77" s="22"/>
      <c r="O77" s="22"/>
      <c r="P77" s="22"/>
      <c r="Q77" s="55"/>
      <c r="R77" s="22"/>
      <c r="S77" s="22"/>
      <c r="T77" s="22"/>
      <c r="U77" s="22"/>
      <c r="V77" s="22"/>
      <c r="W77" s="22"/>
      <c r="X77" s="22"/>
      <c r="Y77" s="55"/>
      <c r="Z77" s="22"/>
      <c r="AA77" s="55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55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</row>
    <row r="78" spans="1:78" s="5" customFormat="1">
      <c r="A78" s="4" t="s">
        <v>234</v>
      </c>
      <c r="B78" s="54"/>
      <c r="C78" s="8"/>
      <c r="D78" s="8"/>
      <c r="E78" s="8"/>
      <c r="F78" s="8"/>
      <c r="G78" s="8"/>
      <c r="H78" s="8"/>
      <c r="I78" s="8"/>
      <c r="J78" s="8"/>
      <c r="K78" s="54"/>
      <c r="L78" s="8"/>
      <c r="M78" s="8"/>
      <c r="N78" s="8"/>
      <c r="O78" s="8"/>
      <c r="P78" s="8"/>
      <c r="Q78" s="54"/>
      <c r="R78" s="8"/>
      <c r="S78" s="8"/>
      <c r="T78" s="8"/>
      <c r="U78" s="8"/>
      <c r="V78" s="8"/>
      <c r="W78" s="8"/>
      <c r="X78" s="8"/>
      <c r="Y78" s="54"/>
      <c r="Z78" s="8"/>
      <c r="AA78" s="54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54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 spans="1:78" s="5" customFormat="1">
      <c r="A79" s="4" t="s">
        <v>116</v>
      </c>
      <c r="B79" s="54">
        <f t="shared" ref="B79:B90" si="68">B42*46/B$75</f>
        <v>6.888881389674685</v>
      </c>
      <c r="C79" s="8">
        <f t="shared" ref="C79:BM79" si="69">C42*46/C$75</f>
        <v>6.6537517918413478</v>
      </c>
      <c r="D79" s="8">
        <f t="shared" si="69"/>
        <v>6.5983886192329928</v>
      </c>
      <c r="E79" s="8">
        <f t="shared" si="69"/>
        <v>6.5791628771074233</v>
      </c>
      <c r="F79" s="8">
        <f t="shared" si="69"/>
        <v>6.6219983422837068</v>
      </c>
      <c r="G79" s="8">
        <f t="shared" si="69"/>
        <v>6.5345865666159604</v>
      </c>
      <c r="H79" s="8">
        <f t="shared" si="69"/>
        <v>6.6232503484307799</v>
      </c>
      <c r="I79" s="8">
        <f t="shared" si="69"/>
        <v>6.6336060310000233</v>
      </c>
      <c r="J79" s="8">
        <f t="shared" si="69"/>
        <v>6.7327148571763171</v>
      </c>
      <c r="K79" s="54">
        <f t="shared" si="69"/>
        <v>6.8363050580848812</v>
      </c>
      <c r="L79" s="8">
        <f t="shared" si="69"/>
        <v>6.6573378253218376</v>
      </c>
      <c r="M79" s="8">
        <f t="shared" si="69"/>
        <v>6.5981434286514125</v>
      </c>
      <c r="N79" s="8">
        <f t="shared" si="69"/>
        <v>6.7069403261761433</v>
      </c>
      <c r="O79" s="8">
        <f t="shared" si="69"/>
        <v>6.5066107512541693</v>
      </c>
      <c r="P79" s="8">
        <f t="shared" si="69"/>
        <v>6.6713821822677604</v>
      </c>
      <c r="Q79" s="54">
        <f t="shared" si="69"/>
        <v>7.3833943013557262</v>
      </c>
      <c r="R79" s="8">
        <f t="shared" si="69"/>
        <v>6.4018444637724485</v>
      </c>
      <c r="S79" s="8">
        <f t="shared" si="69"/>
        <v>6.3952420550326829</v>
      </c>
      <c r="T79" s="8">
        <f t="shared" si="69"/>
        <v>6.365840085255341</v>
      </c>
      <c r="U79" s="8">
        <f t="shared" ref="U79:BK79" si="70">U42*46/U$75</f>
        <v>6.3316042149937521</v>
      </c>
      <c r="V79" s="8">
        <f t="shared" si="70"/>
        <v>6.3273312126250705</v>
      </c>
      <c r="W79" s="8">
        <f t="shared" si="70"/>
        <v>6.8296679631501371</v>
      </c>
      <c r="X79" s="8">
        <f t="shared" si="70"/>
        <v>6.6074796132151734</v>
      </c>
      <c r="Y79" s="54">
        <f t="shared" si="70"/>
        <v>6.1676634898124201</v>
      </c>
      <c r="Z79" s="8">
        <f t="shared" si="70"/>
        <v>6.5934931272420672</v>
      </c>
      <c r="AA79" s="54">
        <f t="shared" si="70"/>
        <v>6.8707438103459797</v>
      </c>
      <c r="AB79" s="8">
        <f t="shared" si="70"/>
        <v>6.4572996869539381</v>
      </c>
      <c r="AC79" s="8">
        <f t="shared" si="70"/>
        <v>6.3532890081669393</v>
      </c>
      <c r="AD79" s="8">
        <f t="shared" si="70"/>
        <v>6.2917789408143836</v>
      </c>
      <c r="AE79" s="8">
        <f t="shared" si="70"/>
        <v>6.2562245727921351</v>
      </c>
      <c r="AF79" s="8">
        <f t="shared" si="70"/>
        <v>6.3328939727911093</v>
      </c>
      <c r="AG79" s="8">
        <f t="shared" si="70"/>
        <v>6.2254793689406478</v>
      </c>
      <c r="AH79" s="8">
        <f t="shared" si="70"/>
        <v>6.2972336109899283</v>
      </c>
      <c r="AI79" s="8">
        <f t="shared" si="70"/>
        <v>6.2577165347105996</v>
      </c>
      <c r="AJ79" s="8">
        <f t="shared" si="70"/>
        <v>6.3519033646599645</v>
      </c>
      <c r="AK79" s="8">
        <f t="shared" si="70"/>
        <v>6.4702362761836474</v>
      </c>
      <c r="AL79" s="8">
        <f t="shared" si="70"/>
        <v>6.4326501043074265</v>
      </c>
      <c r="AM79" s="8">
        <f t="shared" si="70"/>
        <v>6.4843408190472189</v>
      </c>
      <c r="AN79" s="8">
        <f t="shared" si="70"/>
        <v>6.5143859710113388</v>
      </c>
      <c r="AO79" s="8">
        <f t="shared" si="70"/>
        <v>6.5141339388640853</v>
      </c>
      <c r="AP79" s="8">
        <f t="shared" si="70"/>
        <v>6.6335912779232604</v>
      </c>
      <c r="AQ79" s="8">
        <f t="shared" si="70"/>
        <v>6.6522052305352641</v>
      </c>
      <c r="AR79" s="8">
        <f t="shared" si="70"/>
        <v>6.6154746633165713</v>
      </c>
      <c r="AS79" s="8">
        <f t="shared" si="70"/>
        <v>6.585642084118029</v>
      </c>
      <c r="AT79" s="8">
        <f t="shared" si="70"/>
        <v>6.6232215778834513</v>
      </c>
      <c r="AU79" s="54">
        <f t="shared" si="70"/>
        <v>6.8422461349311545</v>
      </c>
      <c r="AV79" s="8">
        <f t="shared" si="70"/>
        <v>6.5954543925788451</v>
      </c>
      <c r="AW79" s="8">
        <f t="shared" si="70"/>
        <v>6.5077127003463175</v>
      </c>
      <c r="AX79" s="8">
        <f t="shared" si="70"/>
        <v>6.574797803414679</v>
      </c>
      <c r="AY79" s="8">
        <f t="shared" si="70"/>
        <v>6.6024723621735228</v>
      </c>
      <c r="AZ79" s="8">
        <f t="shared" si="70"/>
        <v>6.6261677029448762</v>
      </c>
      <c r="BA79" s="8">
        <f t="shared" si="70"/>
        <v>6.4320470974950155</v>
      </c>
      <c r="BB79" s="8">
        <f t="shared" si="70"/>
        <v>6.4210088706117405</v>
      </c>
      <c r="BC79" s="8">
        <f t="shared" si="70"/>
        <v>6.4020136995848427</v>
      </c>
      <c r="BD79" s="8">
        <f t="shared" si="70"/>
        <v>6.3954416525154514</v>
      </c>
      <c r="BE79" s="8">
        <f t="shared" si="70"/>
        <v>6.3587590799094595</v>
      </c>
      <c r="BF79" s="8">
        <f t="shared" si="70"/>
        <v>6.2982909448854763</v>
      </c>
      <c r="BG79" s="8">
        <f t="shared" si="70"/>
        <v>6.2547204044390385</v>
      </c>
      <c r="BH79" s="8">
        <f t="shared" si="70"/>
        <v>6.4009142794567779</v>
      </c>
      <c r="BI79" s="8">
        <f t="shared" si="70"/>
        <v>6.293628418240516</v>
      </c>
      <c r="BJ79" s="8">
        <f t="shared" si="70"/>
        <v>6.3232730084593394</v>
      </c>
      <c r="BK79" s="8" t="e">
        <f t="shared" si="70"/>
        <v>#DIV/0!</v>
      </c>
      <c r="BL79" s="8"/>
      <c r="BM79" s="8">
        <f t="shared" si="69"/>
        <v>6.64161096575637</v>
      </c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1:78" s="5" customFormat="1">
      <c r="A80" s="4" t="s">
        <v>117</v>
      </c>
      <c r="B80" s="54">
        <f t="shared" si="68"/>
        <v>4.9078617143179674E-2</v>
      </c>
      <c r="C80" s="8">
        <f t="shared" ref="C80:BM80" si="71">C43*46/C$75</f>
        <v>6.0852983027104735E-2</v>
      </c>
      <c r="D80" s="8">
        <f t="shared" si="71"/>
        <v>6.287477435355926E-2</v>
      </c>
      <c r="E80" s="8">
        <f t="shared" si="71"/>
        <v>4.3819730717814552E-2</v>
      </c>
      <c r="F80" s="8">
        <f t="shared" si="71"/>
        <v>6.8680619810004756E-2</v>
      </c>
      <c r="G80" s="8">
        <f t="shared" si="71"/>
        <v>6.4433587806294823E-2</v>
      </c>
      <c r="H80" s="8">
        <f t="shared" si="71"/>
        <v>6.6462896391906903E-2</v>
      </c>
      <c r="I80" s="8">
        <f t="shared" si="71"/>
        <v>6.7123862005124338E-2</v>
      </c>
      <c r="J80" s="8">
        <f t="shared" si="71"/>
        <v>5.3986345615203171E-2</v>
      </c>
      <c r="K80" s="54">
        <f t="shared" si="71"/>
        <v>5.118388579509333E-2</v>
      </c>
      <c r="L80" s="8">
        <f t="shared" si="71"/>
        <v>6.5824038191285447E-2</v>
      </c>
      <c r="M80" s="8">
        <f t="shared" si="71"/>
        <v>6.9878978510704723E-2</v>
      </c>
      <c r="N80" s="8">
        <f t="shared" si="71"/>
        <v>6.9493136686030729E-2</v>
      </c>
      <c r="O80" s="8">
        <f t="shared" si="71"/>
        <v>8.7229485799058482E-2</v>
      </c>
      <c r="P80" s="8">
        <f t="shared" si="71"/>
        <v>0.15374889721480331</v>
      </c>
      <c r="Q80" s="54">
        <f t="shared" si="71"/>
        <v>8.6934726271501919E-3</v>
      </c>
      <c r="R80" s="8">
        <f t="shared" si="71"/>
        <v>0.18285942637893657</v>
      </c>
      <c r="S80" s="8">
        <f t="shared" si="71"/>
        <v>0.17827120892241383</v>
      </c>
      <c r="T80" s="8">
        <f t="shared" si="71"/>
        <v>0.17861768626889102</v>
      </c>
      <c r="U80" s="8">
        <f t="shared" ref="U80:BK80" si="72">U43*46/U$75</f>
        <v>0.17541070351401283</v>
      </c>
      <c r="V80" s="8">
        <f t="shared" si="72"/>
        <v>0.16786838043446628</v>
      </c>
      <c r="W80" s="8">
        <f t="shared" si="72"/>
        <v>9.5832601823121727E-2</v>
      </c>
      <c r="X80" s="8">
        <f t="shared" si="72"/>
        <v>9.6517909256712095E-2</v>
      </c>
      <c r="Y80" s="54">
        <f t="shared" si="72"/>
        <v>0.14015996593970387</v>
      </c>
      <c r="Z80" s="8">
        <f t="shared" si="72"/>
        <v>7.031705893717978E-2</v>
      </c>
      <c r="AA80" s="54">
        <f t="shared" si="72"/>
        <v>0.10115079076434912</v>
      </c>
      <c r="AB80" s="8">
        <f t="shared" si="72"/>
        <v>0.24568157283528724</v>
      </c>
      <c r="AC80" s="8">
        <f t="shared" si="72"/>
        <v>0.27211031961589011</v>
      </c>
      <c r="AD80" s="8">
        <f t="shared" si="72"/>
        <v>0.27849147994371698</v>
      </c>
      <c r="AE80" s="8">
        <f t="shared" si="72"/>
        <v>0.28004451152275028</v>
      </c>
      <c r="AF80" s="8">
        <f t="shared" si="72"/>
        <v>0.27647212136199756</v>
      </c>
      <c r="AG80" s="8">
        <f t="shared" si="72"/>
        <v>0.29057164188243895</v>
      </c>
      <c r="AH80" s="8">
        <f t="shared" si="72"/>
        <v>0.25542256344951797</v>
      </c>
      <c r="AI80" s="8">
        <f t="shared" si="72"/>
        <v>0.29283655348179422</v>
      </c>
      <c r="AJ80" s="8">
        <f t="shared" si="72"/>
        <v>0.2605026434970853</v>
      </c>
      <c r="AK80" s="8">
        <f t="shared" si="72"/>
        <v>8.5296591856138873E-2</v>
      </c>
      <c r="AL80" s="8">
        <f t="shared" si="72"/>
        <v>0.10005216715105303</v>
      </c>
      <c r="AM80" s="8">
        <f t="shared" si="72"/>
        <v>8.5908089086544071E-2</v>
      </c>
      <c r="AN80" s="8">
        <f t="shared" si="72"/>
        <v>7.9811436217545093E-2</v>
      </c>
      <c r="AO80" s="8">
        <f t="shared" si="72"/>
        <v>8.6302804611655765E-2</v>
      </c>
      <c r="AP80" s="8">
        <f t="shared" si="72"/>
        <v>9.7981802908562773E-2</v>
      </c>
      <c r="AQ80" s="8">
        <f t="shared" si="72"/>
        <v>0.10664173623055262</v>
      </c>
      <c r="AR80" s="8">
        <f t="shared" si="72"/>
        <v>9.9083449048582239E-2</v>
      </c>
      <c r="AS80" s="8">
        <f t="shared" si="72"/>
        <v>0.10914444439365294</v>
      </c>
      <c r="AT80" s="8">
        <f t="shared" si="72"/>
        <v>0.1054804419129272</v>
      </c>
      <c r="AU80" s="54">
        <f t="shared" si="72"/>
        <v>6.7460114224948534E-2</v>
      </c>
      <c r="AV80" s="8">
        <f t="shared" si="72"/>
        <v>0.11848361216635805</v>
      </c>
      <c r="AW80" s="8">
        <f t="shared" si="72"/>
        <v>9.120986019029069E-2</v>
      </c>
      <c r="AX80" s="8">
        <f t="shared" si="72"/>
        <v>8.6834487048652792E-2</v>
      </c>
      <c r="AY80" s="8">
        <f t="shared" si="72"/>
        <v>0.11785549132836971</v>
      </c>
      <c r="AZ80" s="8">
        <f t="shared" si="72"/>
        <v>0.1034269323413896</v>
      </c>
      <c r="BA80" s="8">
        <f t="shared" si="72"/>
        <v>0.16666060099698968</v>
      </c>
      <c r="BB80" s="8">
        <f t="shared" si="72"/>
        <v>0.16903782799128214</v>
      </c>
      <c r="BC80" s="8">
        <f t="shared" si="72"/>
        <v>0.16387845788983352</v>
      </c>
      <c r="BD80" s="8">
        <f t="shared" si="72"/>
        <v>0.15483908828718967</v>
      </c>
      <c r="BE80" s="8">
        <f t="shared" si="72"/>
        <v>0.17419410385491732</v>
      </c>
      <c r="BF80" s="8">
        <f t="shared" si="72"/>
        <v>0.20645279723698612</v>
      </c>
      <c r="BG80" s="8">
        <f t="shared" si="72"/>
        <v>0.21315887938891262</v>
      </c>
      <c r="BH80" s="8">
        <f t="shared" si="72"/>
        <v>0.17730107259788258</v>
      </c>
      <c r="BI80" s="8">
        <f t="shared" si="72"/>
        <v>0.22578824941671743</v>
      </c>
      <c r="BJ80" s="8">
        <f t="shared" si="72"/>
        <v>0.22056813908214409</v>
      </c>
      <c r="BK80" s="8" t="e">
        <f t="shared" si="72"/>
        <v>#DIV/0!</v>
      </c>
      <c r="BL80" s="8"/>
      <c r="BM80" s="8">
        <f t="shared" si="71"/>
        <v>6.0460496156192436E-2</v>
      </c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spans="1:78" s="5" customFormat="1">
      <c r="A81" s="4" t="s">
        <v>118</v>
      </c>
      <c r="B81" s="54">
        <f t="shared" si="68"/>
        <v>5.8636645796684237E-3</v>
      </c>
      <c r="C81" s="8">
        <f t="shared" ref="C81:BM81" si="73">C44*46/C$75</f>
        <v>4.6530599520647233E-3</v>
      </c>
      <c r="D81" s="8">
        <f t="shared" si="73"/>
        <v>3.479223376019702E-3</v>
      </c>
      <c r="E81" s="8">
        <f t="shared" si="73"/>
        <v>5.9065593989619056E-3</v>
      </c>
      <c r="F81" s="8">
        <f t="shared" si="73"/>
        <v>3.4940027712327027E-3</v>
      </c>
      <c r="G81" s="8">
        <f t="shared" si="73"/>
        <v>2.3360051219628981E-3</v>
      </c>
      <c r="H81" s="8">
        <f t="shared" si="73"/>
        <v>8.1524008804027479E-3</v>
      </c>
      <c r="I81" s="8">
        <f t="shared" si="73"/>
        <v>5.7846432359661745E-3</v>
      </c>
      <c r="J81" s="8">
        <f t="shared" si="73"/>
        <v>6.9502203726102014E-3</v>
      </c>
      <c r="K81" s="54">
        <f t="shared" si="73"/>
        <v>1.2230382828876836E-3</v>
      </c>
      <c r="L81" s="8">
        <f t="shared" si="73"/>
        <v>5.767169955334695E-3</v>
      </c>
      <c r="M81" s="8">
        <f t="shared" si="73"/>
        <v>4.6647187484366182E-3</v>
      </c>
      <c r="N81" s="8">
        <f t="shared" si="73"/>
        <v>6.9584432506552161E-3</v>
      </c>
      <c r="O81" s="8">
        <f t="shared" si="73"/>
        <v>4.6436094518744007E-3</v>
      </c>
      <c r="P81" s="8">
        <f t="shared" si="73"/>
        <v>1.0619239745683132E-2</v>
      </c>
      <c r="Q81" s="54">
        <f t="shared" si="73"/>
        <v>2.2850345642936951E-3</v>
      </c>
      <c r="R81" s="8">
        <f t="shared" si="73"/>
        <v>1.2974239419532137E-2</v>
      </c>
      <c r="S81" s="8">
        <f t="shared" si="73"/>
        <v>1.2966902475536255E-2</v>
      </c>
      <c r="T81" s="8">
        <f t="shared" si="73"/>
        <v>1.1811003798164672E-2</v>
      </c>
      <c r="U81" s="8">
        <f t="shared" ref="U81:BK81" si="74">U44*46/U$75</f>
        <v>1.3088098398355171E-2</v>
      </c>
      <c r="V81" s="8">
        <f t="shared" si="74"/>
        <v>1.1845192040070897E-2</v>
      </c>
      <c r="W81" s="8">
        <f t="shared" si="74"/>
        <v>8.2975880118552042E-3</v>
      </c>
      <c r="X81" s="8">
        <f t="shared" si="74"/>
        <v>8.2597512553359391E-3</v>
      </c>
      <c r="Y81" s="54">
        <f t="shared" si="74"/>
        <v>2.020275948534701E-2</v>
      </c>
      <c r="Z81" s="8">
        <f t="shared" si="74"/>
        <v>1.0561415576432753E-2</v>
      </c>
      <c r="AA81" s="54">
        <f t="shared" si="74"/>
        <v>1.0403595028612636E-2</v>
      </c>
      <c r="AB81" s="8">
        <f t="shared" si="74"/>
        <v>1.2684598483036352E-2</v>
      </c>
      <c r="AC81" s="8">
        <f t="shared" si="74"/>
        <v>2.8839837856524154E-2</v>
      </c>
      <c r="AD81" s="8">
        <f t="shared" si="74"/>
        <v>2.6723828892806042E-2</v>
      </c>
      <c r="AE81" s="8">
        <f t="shared" si="74"/>
        <v>1.2801436420275179E-2</v>
      </c>
      <c r="AF81" s="8">
        <f t="shared" si="74"/>
        <v>1.7440626009066554E-2</v>
      </c>
      <c r="AG81" s="8">
        <f t="shared" si="74"/>
        <v>6.9696056107318941E-3</v>
      </c>
      <c r="AH81" s="8">
        <f t="shared" si="74"/>
        <v>2.2952651969574325E-3</v>
      </c>
      <c r="AI81" s="8">
        <f t="shared" si="74"/>
        <v>5.8532761861870546E-3</v>
      </c>
      <c r="AJ81" s="8">
        <f t="shared" si="74"/>
        <v>4.6421545709562171E-3</v>
      </c>
      <c r="AK81" s="8">
        <f t="shared" si="74"/>
        <v>2.3293267987291697E-3</v>
      </c>
      <c r="AL81" s="8">
        <f t="shared" si="74"/>
        <v>2.3376175561997869E-3</v>
      </c>
      <c r="AM81" s="8">
        <f t="shared" si="74"/>
        <v>6.947845950610038E-3</v>
      </c>
      <c r="AN81" s="8">
        <f t="shared" si="74"/>
        <v>8.1581210245168668E-3</v>
      </c>
      <c r="AO81" s="8">
        <f t="shared" si="74"/>
        <v>8.1430634869227702E-3</v>
      </c>
      <c r="AP81" s="8">
        <f t="shared" si="74"/>
        <v>5.9204627391347599E-3</v>
      </c>
      <c r="AQ81" s="8">
        <f t="shared" si="74"/>
        <v>5.9011014411960647E-3</v>
      </c>
      <c r="AR81" s="8">
        <f t="shared" si="74"/>
        <v>3.5513965822789578E-3</v>
      </c>
      <c r="AS81" s="8">
        <f t="shared" si="74"/>
        <v>3.5490378325881058E-3</v>
      </c>
      <c r="AT81" s="8">
        <f t="shared" si="74"/>
        <v>2.3849455146260508E-3</v>
      </c>
      <c r="AU81" s="54">
        <f t="shared" si="74"/>
        <v>3.5463088072260869E-3</v>
      </c>
      <c r="AV81" s="8">
        <f t="shared" si="74"/>
        <v>2.3727853733733532E-3</v>
      </c>
      <c r="AW81" s="8">
        <f t="shared" si="74"/>
        <v>0</v>
      </c>
      <c r="AX81" s="8">
        <f t="shared" si="74"/>
        <v>3.6037892019160425E-3</v>
      </c>
      <c r="AY81" s="8">
        <f t="shared" si="74"/>
        <v>5.9572518642428589E-3</v>
      </c>
      <c r="AZ81" s="8">
        <f t="shared" si="74"/>
        <v>2.3639336677463169E-3</v>
      </c>
      <c r="BA81" s="8">
        <f t="shared" si="74"/>
        <v>2.3519936502796584E-3</v>
      </c>
      <c r="BB81" s="8">
        <f t="shared" si="74"/>
        <v>2.353945622484861E-3</v>
      </c>
      <c r="BC81" s="8">
        <f t="shared" si="74"/>
        <v>3.5895508109146787E-3</v>
      </c>
      <c r="BD81" s="8">
        <f t="shared" si="74"/>
        <v>2.3593424884539075E-3</v>
      </c>
      <c r="BE81" s="8">
        <f t="shared" si="74"/>
        <v>1.1740006208547083E-3</v>
      </c>
      <c r="BF81" s="8">
        <f t="shared" si="74"/>
        <v>3.577915769866115E-3</v>
      </c>
      <c r="BG81" s="8">
        <f t="shared" si="74"/>
        <v>0</v>
      </c>
      <c r="BH81" s="8">
        <f t="shared" si="74"/>
        <v>3.5619878955221755E-3</v>
      </c>
      <c r="BI81" s="8">
        <f t="shared" si="74"/>
        <v>2.3978698987702851E-3</v>
      </c>
      <c r="BJ81" s="8">
        <f t="shared" si="74"/>
        <v>1.1953649658409408E-3</v>
      </c>
      <c r="BK81" s="8" t="e">
        <f t="shared" si="74"/>
        <v>#DIV/0!</v>
      </c>
      <c r="BL81" s="8"/>
      <c r="BM81" s="8">
        <f t="shared" si="73"/>
        <v>4.9570535286235316E-3</v>
      </c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</row>
    <row r="82" spans="1:78" s="5" customFormat="1">
      <c r="A82" s="4" t="s">
        <v>119</v>
      </c>
      <c r="B82" s="54">
        <f t="shared" si="68"/>
        <v>1.6715896709791385</v>
      </c>
      <c r="C82" s="8">
        <f t="shared" ref="C82:BM82" si="75">C45*46/C$75</f>
        <v>1.9442716387441503</v>
      </c>
      <c r="D82" s="8">
        <f t="shared" si="75"/>
        <v>2.0369436740086448</v>
      </c>
      <c r="E82" s="8">
        <f t="shared" si="75"/>
        <v>2.0660234910160922</v>
      </c>
      <c r="F82" s="8">
        <f t="shared" si="75"/>
        <v>1.9935014234168895</v>
      </c>
      <c r="G82" s="8">
        <f t="shared" si="75"/>
        <v>2.0740930113982001</v>
      </c>
      <c r="H82" s="8">
        <f t="shared" si="75"/>
        <v>2.0038535009669807</v>
      </c>
      <c r="I82" s="8">
        <f t="shared" si="75"/>
        <v>1.9733552301403889</v>
      </c>
      <c r="J82" s="8">
        <f t="shared" si="75"/>
        <v>1.8773685597088705</v>
      </c>
      <c r="K82" s="54">
        <f t="shared" si="75"/>
        <v>1.6904115720258428</v>
      </c>
      <c r="L82" s="8">
        <f t="shared" si="75"/>
        <v>1.9553561966964146</v>
      </c>
      <c r="M82" s="8">
        <f t="shared" si="75"/>
        <v>2.0412972055296246</v>
      </c>
      <c r="N82" s="8">
        <f t="shared" si="75"/>
        <v>2.0058178887076661</v>
      </c>
      <c r="O82" s="8">
        <f t="shared" si="75"/>
        <v>2.116873098463643</v>
      </c>
      <c r="P82" s="8">
        <f t="shared" si="75"/>
        <v>1.6695129819032208</v>
      </c>
      <c r="Q82" s="54">
        <f t="shared" si="75"/>
        <v>0.81937088154643289</v>
      </c>
      <c r="R82" s="8">
        <f t="shared" si="75"/>
        <v>1.9889529023619963</v>
      </c>
      <c r="S82" s="8">
        <f t="shared" si="75"/>
        <v>2.0124343316849953</v>
      </c>
      <c r="T82" s="8">
        <f t="shared" si="75"/>
        <v>1.9881695715726819</v>
      </c>
      <c r="U82" s="8">
        <f t="shared" ref="U82:BK82" si="76">U45*46/U$75</f>
        <v>2.0951080982385504</v>
      </c>
      <c r="V82" s="8">
        <f t="shared" si="76"/>
        <v>2.112253106073684</v>
      </c>
      <c r="W82" s="8">
        <f t="shared" si="76"/>
        <v>1.4757506213648859</v>
      </c>
      <c r="X82" s="8">
        <f t="shared" si="76"/>
        <v>1.7892150936380018</v>
      </c>
      <c r="Y82" s="54">
        <f t="shared" si="76"/>
        <v>2.6737677681021652</v>
      </c>
      <c r="Z82" s="8">
        <f t="shared" si="76"/>
        <v>1.9631123306858085</v>
      </c>
      <c r="AA82" s="54">
        <f t="shared" si="76"/>
        <v>1.6269926648829001</v>
      </c>
      <c r="AB82" s="8">
        <f t="shared" si="76"/>
        <v>1.9101645024785523</v>
      </c>
      <c r="AC82" s="8">
        <f t="shared" si="76"/>
        <v>2.1259054636910619</v>
      </c>
      <c r="AD82" s="8">
        <f t="shared" si="76"/>
        <v>2.1342939133916063</v>
      </c>
      <c r="AE82" s="8">
        <f t="shared" si="76"/>
        <v>2.1741512877641491</v>
      </c>
      <c r="AF82" s="8">
        <f t="shared" si="76"/>
        <v>2.0646918496148259</v>
      </c>
      <c r="AG82" s="8">
        <f t="shared" si="76"/>
        <v>2.2480414628418659</v>
      </c>
      <c r="AH82" s="8">
        <f t="shared" si="76"/>
        <v>2.2175863977488826</v>
      </c>
      <c r="AI82" s="8">
        <f t="shared" si="76"/>
        <v>2.2009834179540002</v>
      </c>
      <c r="AJ82" s="8">
        <f t="shared" si="76"/>
        <v>2.12140089468559</v>
      </c>
      <c r="AK82" s="8">
        <f t="shared" si="76"/>
        <v>2.2452857709199976</v>
      </c>
      <c r="AL82" s="8">
        <f t="shared" si="76"/>
        <v>2.3107856416670973</v>
      </c>
      <c r="AM82" s="8">
        <f t="shared" si="76"/>
        <v>2.2341168197258425</v>
      </c>
      <c r="AN82" s="8">
        <f t="shared" si="76"/>
        <v>2.2155163538660712</v>
      </c>
      <c r="AO82" s="8">
        <f t="shared" si="76"/>
        <v>2.2010204339078481</v>
      </c>
      <c r="AP82" s="8">
        <f t="shared" si="76"/>
        <v>1.7760545483614503</v>
      </c>
      <c r="AQ82" s="8">
        <f t="shared" si="76"/>
        <v>1.8195177071063633</v>
      </c>
      <c r="AR82" s="8">
        <f t="shared" si="76"/>
        <v>1.82856475552131</v>
      </c>
      <c r="AS82" s="8">
        <f t="shared" si="76"/>
        <v>1.8308779712992447</v>
      </c>
      <c r="AT82" s="8">
        <f t="shared" si="76"/>
        <v>1.8099597444843281</v>
      </c>
      <c r="AU82" s="54">
        <f t="shared" si="76"/>
        <v>1.5122209674318117</v>
      </c>
      <c r="AV82" s="8">
        <f t="shared" si="76"/>
        <v>1.8308024390659734</v>
      </c>
      <c r="AW82" s="8">
        <f t="shared" si="76"/>
        <v>1.9588198795389036</v>
      </c>
      <c r="AX82" s="8">
        <f t="shared" si="76"/>
        <v>2.1421110240709398</v>
      </c>
      <c r="AY82" s="8">
        <f t="shared" si="76"/>
        <v>1.8315015664583958</v>
      </c>
      <c r="AZ82" s="8">
        <f t="shared" si="76"/>
        <v>1.8063496838355371</v>
      </c>
      <c r="BA82" s="8">
        <f t="shared" si="76"/>
        <v>2.0181532635499573</v>
      </c>
      <c r="BB82" s="8">
        <f t="shared" si="76"/>
        <v>2.0601896406969744</v>
      </c>
      <c r="BC82" s="8">
        <f t="shared" si="76"/>
        <v>1.9891447577712429</v>
      </c>
      <c r="BD82" s="8">
        <f t="shared" si="76"/>
        <v>2.1053670183246904</v>
      </c>
      <c r="BE82" s="8">
        <f t="shared" si="76"/>
        <v>2.0637391515812853</v>
      </c>
      <c r="BF82" s="8">
        <f t="shared" si="76"/>
        <v>2.1569611859133135</v>
      </c>
      <c r="BG82" s="8">
        <f t="shared" si="76"/>
        <v>2.1835602188137067</v>
      </c>
      <c r="BH82" s="8">
        <f t="shared" si="76"/>
        <v>2.0641554788523755</v>
      </c>
      <c r="BI82" s="8">
        <f t="shared" si="76"/>
        <v>2.1594105864513327</v>
      </c>
      <c r="BJ82" s="8">
        <f t="shared" si="76"/>
        <v>2.0906012561213561</v>
      </c>
      <c r="BK82" s="8" t="e">
        <f t="shared" si="76"/>
        <v>#DIV/0!</v>
      </c>
      <c r="BL82" s="8"/>
      <c r="BM82" s="8">
        <f t="shared" si="75"/>
        <v>1.9705396218276072</v>
      </c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 spans="1:78" s="5" customFormat="1">
      <c r="A83" s="4" t="s">
        <v>131</v>
      </c>
      <c r="B83" s="54">
        <f t="shared" si="68"/>
        <v>0.34185257926373125</v>
      </c>
      <c r="C83" s="8">
        <f t="shared" ref="C83:BM83" si="77">C46*46/C$75</f>
        <v>0.33072608814603444</v>
      </c>
      <c r="D83" s="8">
        <f t="shared" si="77"/>
        <v>0.35572925967752561</v>
      </c>
      <c r="E83" s="8">
        <f t="shared" si="77"/>
        <v>0.36509452125263053</v>
      </c>
      <c r="F83" s="8">
        <f t="shared" si="77"/>
        <v>0.34245800241178709</v>
      </c>
      <c r="G83" s="8">
        <f t="shared" si="77"/>
        <v>0.361969475213406</v>
      </c>
      <c r="H83" s="8">
        <f t="shared" si="77"/>
        <v>0.33209925996147593</v>
      </c>
      <c r="I83" s="8">
        <f t="shared" si="77"/>
        <v>0.34532189630991311</v>
      </c>
      <c r="J83" s="8">
        <f t="shared" si="77"/>
        <v>0.33815587691043042</v>
      </c>
      <c r="K83" s="54">
        <f t="shared" si="77"/>
        <v>0.37747298165785981</v>
      </c>
      <c r="L83" s="8">
        <f t="shared" si="77"/>
        <v>0.33476294937766865</v>
      </c>
      <c r="M83" s="8">
        <f t="shared" si="77"/>
        <v>0.34265592568266678</v>
      </c>
      <c r="N83" s="8">
        <f t="shared" si="77"/>
        <v>0.34076392625138568</v>
      </c>
      <c r="O83" s="8">
        <f t="shared" si="77"/>
        <v>0.35485756710704258</v>
      </c>
      <c r="P83" s="8">
        <f t="shared" si="77"/>
        <v>0.33521037928495639</v>
      </c>
      <c r="Q83" s="54">
        <f t="shared" si="77"/>
        <v>0.24289544371045477</v>
      </c>
      <c r="R83" s="8">
        <f t="shared" si="77"/>
        <v>0.35754107499487581</v>
      </c>
      <c r="S83" s="8">
        <f t="shared" si="77"/>
        <v>0.35584270005330004</v>
      </c>
      <c r="T83" s="8">
        <f t="shared" si="77"/>
        <v>0.36677809726017757</v>
      </c>
      <c r="U83" s="8">
        <f t="shared" ref="U83:BK83" si="78">U46*46/U$75</f>
        <v>0.37200504422775965</v>
      </c>
      <c r="V83" s="8">
        <f t="shared" si="78"/>
        <v>0.36408119574290654</v>
      </c>
      <c r="W83" s="8">
        <f t="shared" si="78"/>
        <v>0.3615843427117747</v>
      </c>
      <c r="X83" s="8">
        <f t="shared" si="78"/>
        <v>0.3507000124355934</v>
      </c>
      <c r="Y83" s="54">
        <f t="shared" si="78"/>
        <v>0.34767581449434032</v>
      </c>
      <c r="Z83" s="8">
        <f t="shared" si="78"/>
        <v>0.34182521140842698</v>
      </c>
      <c r="AA83" s="54">
        <f t="shared" si="78"/>
        <v>0.28267623062765573</v>
      </c>
      <c r="AB83" s="8">
        <f t="shared" si="78"/>
        <v>0.32370208056813365</v>
      </c>
      <c r="AC83" s="8">
        <f t="shared" si="78"/>
        <v>0.29698458809690675</v>
      </c>
      <c r="AD83" s="8">
        <f t="shared" si="78"/>
        <v>0.31338020446660608</v>
      </c>
      <c r="AE83" s="8">
        <f t="shared" si="78"/>
        <v>0.33185352799073753</v>
      </c>
      <c r="AF83" s="8">
        <f t="shared" si="78"/>
        <v>0.32269718263975034</v>
      </c>
      <c r="AG83" s="8">
        <f t="shared" si="78"/>
        <v>0.32730429645934267</v>
      </c>
      <c r="AH83" s="8">
        <f t="shared" si="78"/>
        <v>0.31778474898295933</v>
      </c>
      <c r="AI83" s="8">
        <f t="shared" si="78"/>
        <v>0.32168343078001832</v>
      </c>
      <c r="AJ83" s="8">
        <f t="shared" si="78"/>
        <v>0.31448451360472418</v>
      </c>
      <c r="AK83" s="8">
        <f t="shared" si="78"/>
        <v>0.34048579586332267</v>
      </c>
      <c r="AL83" s="8">
        <f t="shared" si="78"/>
        <v>0.33873070046719927</v>
      </c>
      <c r="AM83" s="8">
        <f t="shared" si="78"/>
        <v>0.33461095695834686</v>
      </c>
      <c r="AN83" s="8">
        <f t="shared" si="78"/>
        <v>0.33553726277341311</v>
      </c>
      <c r="AO83" s="8">
        <f t="shared" si="78"/>
        <v>0.3275354899543314</v>
      </c>
      <c r="AP83" s="8">
        <f t="shared" si="78"/>
        <v>0.4563778404070476</v>
      </c>
      <c r="AQ83" s="8">
        <f t="shared" si="78"/>
        <v>0.4426519074712057</v>
      </c>
      <c r="AR83" s="8">
        <f t="shared" si="78"/>
        <v>0.44875205609967889</v>
      </c>
      <c r="AS83" s="8">
        <f t="shared" si="78"/>
        <v>0.46246819378383397</v>
      </c>
      <c r="AT83" s="8">
        <f t="shared" si="78"/>
        <v>0.46162581169498829</v>
      </c>
      <c r="AU83" s="54">
        <f t="shared" si="78"/>
        <v>0.43710648783346251</v>
      </c>
      <c r="AV83" s="8">
        <f t="shared" si="78"/>
        <v>0.46680116747168093</v>
      </c>
      <c r="AW83" s="8">
        <f t="shared" si="78"/>
        <v>0.46631945504198241</v>
      </c>
      <c r="AX83" s="8">
        <f t="shared" si="78"/>
        <v>0.40556600088777878</v>
      </c>
      <c r="AY83" s="8">
        <f t="shared" si="78"/>
        <v>0.46299429773192541</v>
      </c>
      <c r="AZ83" s="8">
        <f t="shared" si="78"/>
        <v>0.44980779998924619</v>
      </c>
      <c r="BA83" s="8">
        <f t="shared" si="78"/>
        <v>0.36892478149677987</v>
      </c>
      <c r="BB83" s="8">
        <f t="shared" si="78"/>
        <v>0.37047583892633434</v>
      </c>
      <c r="BC83" s="8">
        <f t="shared" si="78"/>
        <v>0.37839951546759382</v>
      </c>
      <c r="BD83" s="8">
        <f t="shared" si="78"/>
        <v>0.37382069014374542</v>
      </c>
      <c r="BE83" s="8">
        <f t="shared" si="78"/>
        <v>0.37699069120453915</v>
      </c>
      <c r="BF83" s="8">
        <f t="shared" si="78"/>
        <v>0.42889235737915266</v>
      </c>
      <c r="BG83" s="8">
        <f t="shared" si="78"/>
        <v>0.43833567446779803</v>
      </c>
      <c r="BH83" s="8">
        <f t="shared" si="78"/>
        <v>0.41819222178991822</v>
      </c>
      <c r="BI83" s="8">
        <f t="shared" si="78"/>
        <v>0.43622906224163199</v>
      </c>
      <c r="BJ83" s="8">
        <f t="shared" si="78"/>
        <v>0.41444795899899112</v>
      </c>
      <c r="BK83" s="8" t="e">
        <f t="shared" si="78"/>
        <v>#DIV/0!</v>
      </c>
      <c r="BL83" s="8"/>
      <c r="BM83" s="8">
        <f t="shared" si="77"/>
        <v>0.3468741331741641</v>
      </c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</row>
    <row r="84" spans="1:78" s="5" customFormat="1">
      <c r="A84" s="4" t="s">
        <v>130</v>
      </c>
      <c r="B84" s="54">
        <f t="shared" si="68"/>
        <v>1.367410317054925</v>
      </c>
      <c r="C84" s="8">
        <f t="shared" ref="C84:BM84" si="79">C47*46/C$75</f>
        <v>1.3229043525841377</v>
      </c>
      <c r="D84" s="8">
        <f t="shared" si="79"/>
        <v>1.4229170387101024</v>
      </c>
      <c r="E84" s="8">
        <f t="shared" si="79"/>
        <v>1.4603780850105221</v>
      </c>
      <c r="F84" s="8">
        <f t="shared" si="79"/>
        <v>1.3698320096471484</v>
      </c>
      <c r="G84" s="8">
        <f t="shared" si="79"/>
        <v>1.447877900853624</v>
      </c>
      <c r="H84" s="8">
        <f t="shared" si="79"/>
        <v>1.3283970398459037</v>
      </c>
      <c r="I84" s="8">
        <f t="shared" si="79"/>
        <v>1.3812875852396524</v>
      </c>
      <c r="J84" s="8">
        <f t="shared" si="79"/>
        <v>1.3526235076417217</v>
      </c>
      <c r="K84" s="54">
        <f t="shared" si="79"/>
        <v>1.5098919266314392</v>
      </c>
      <c r="L84" s="8">
        <f t="shared" si="79"/>
        <v>1.3390517975106746</v>
      </c>
      <c r="M84" s="8">
        <f t="shared" si="79"/>
        <v>1.3706237027306671</v>
      </c>
      <c r="N84" s="8">
        <f t="shared" si="79"/>
        <v>1.3630557050055427</v>
      </c>
      <c r="O84" s="8">
        <f t="shared" si="79"/>
        <v>1.4194302684281703</v>
      </c>
      <c r="P84" s="8">
        <f t="shared" si="79"/>
        <v>1.3408415171398256</v>
      </c>
      <c r="Q84" s="54">
        <f t="shared" si="79"/>
        <v>0.97158177484181907</v>
      </c>
      <c r="R84" s="8">
        <f t="shared" si="79"/>
        <v>1.4301642999795032</v>
      </c>
      <c r="S84" s="8">
        <f t="shared" si="79"/>
        <v>1.4233708002132002</v>
      </c>
      <c r="T84" s="8">
        <f t="shared" si="79"/>
        <v>1.4671123890407103</v>
      </c>
      <c r="U84" s="8">
        <f t="shared" ref="U84:BK84" si="80">U47*46/U$75</f>
        <v>1.4880201769110386</v>
      </c>
      <c r="V84" s="8">
        <f t="shared" si="80"/>
        <v>1.4563247829716262</v>
      </c>
      <c r="W84" s="8">
        <f t="shared" si="80"/>
        <v>1.4463373708470988</v>
      </c>
      <c r="X84" s="8">
        <f t="shared" si="80"/>
        <v>1.4028000497423736</v>
      </c>
      <c r="Y84" s="54">
        <f t="shared" si="80"/>
        <v>1.3907032579773613</v>
      </c>
      <c r="Z84" s="8">
        <f t="shared" si="80"/>
        <v>1.3673008456337079</v>
      </c>
      <c r="AA84" s="54">
        <f t="shared" si="80"/>
        <v>1.1307049225106229</v>
      </c>
      <c r="AB84" s="8">
        <f t="shared" si="80"/>
        <v>1.2948083222725346</v>
      </c>
      <c r="AC84" s="8">
        <f t="shared" si="80"/>
        <v>1.187938352387627</v>
      </c>
      <c r="AD84" s="8">
        <f t="shared" si="80"/>
        <v>1.2535208178664243</v>
      </c>
      <c r="AE84" s="8">
        <f t="shared" si="80"/>
        <v>1.3274141119629501</v>
      </c>
      <c r="AF84" s="8">
        <f t="shared" si="80"/>
        <v>1.2907887305590013</v>
      </c>
      <c r="AG84" s="8">
        <f t="shared" si="80"/>
        <v>1.3092171858373707</v>
      </c>
      <c r="AH84" s="8">
        <f t="shared" si="80"/>
        <v>1.2711389959318373</v>
      </c>
      <c r="AI84" s="8">
        <f t="shared" si="80"/>
        <v>1.2867337231200733</v>
      </c>
      <c r="AJ84" s="8">
        <f t="shared" si="80"/>
        <v>1.2579380544188967</v>
      </c>
      <c r="AK84" s="8">
        <f t="shared" si="80"/>
        <v>1.3619431834532907</v>
      </c>
      <c r="AL84" s="8">
        <f t="shared" si="80"/>
        <v>1.3549228018687971</v>
      </c>
      <c r="AM84" s="8">
        <f t="shared" si="80"/>
        <v>1.3384438278333874</v>
      </c>
      <c r="AN84" s="8">
        <f t="shared" si="80"/>
        <v>1.3421490510936525</v>
      </c>
      <c r="AO84" s="8">
        <f t="shared" si="80"/>
        <v>1.3101419598173256</v>
      </c>
      <c r="AP84" s="8">
        <f t="shared" si="80"/>
        <v>1.8255113616281904</v>
      </c>
      <c r="AQ84" s="8">
        <f t="shared" si="80"/>
        <v>1.7706076298848228</v>
      </c>
      <c r="AR84" s="8">
        <f t="shared" si="80"/>
        <v>1.7950082243987155</v>
      </c>
      <c r="AS84" s="8">
        <f t="shared" si="80"/>
        <v>1.8498727751353359</v>
      </c>
      <c r="AT84" s="8">
        <f t="shared" si="80"/>
        <v>1.8465032467799531</v>
      </c>
      <c r="AU84" s="54">
        <f t="shared" si="80"/>
        <v>1.74842595133385</v>
      </c>
      <c r="AV84" s="8">
        <f t="shared" si="80"/>
        <v>1.8672046698867237</v>
      </c>
      <c r="AW84" s="8">
        <f t="shared" si="80"/>
        <v>1.8652778201679296</v>
      </c>
      <c r="AX84" s="8">
        <f t="shared" si="80"/>
        <v>1.6222640035511151</v>
      </c>
      <c r="AY84" s="8">
        <f t="shared" si="80"/>
        <v>1.8519771909277016</v>
      </c>
      <c r="AZ84" s="8">
        <f t="shared" si="80"/>
        <v>1.7992311999569848</v>
      </c>
      <c r="BA84" s="8">
        <f t="shared" si="80"/>
        <v>1.4756991259871195</v>
      </c>
      <c r="BB84" s="8">
        <f t="shared" si="80"/>
        <v>1.4819033557053374</v>
      </c>
      <c r="BC84" s="8">
        <f t="shared" si="80"/>
        <v>1.5135980618703753</v>
      </c>
      <c r="BD84" s="8">
        <f t="shared" si="80"/>
        <v>1.4952827605749817</v>
      </c>
      <c r="BE84" s="8">
        <f t="shared" si="80"/>
        <v>1.5079627648181566</v>
      </c>
      <c r="BF84" s="8">
        <f t="shared" si="80"/>
        <v>1.7155694295166106</v>
      </c>
      <c r="BG84" s="8">
        <f t="shared" si="80"/>
        <v>1.7533426978711921</v>
      </c>
      <c r="BH84" s="8">
        <f t="shared" si="80"/>
        <v>1.6727688871596729</v>
      </c>
      <c r="BI84" s="8">
        <f t="shared" si="80"/>
        <v>1.744916248966528</v>
      </c>
      <c r="BJ84" s="8">
        <f t="shared" si="80"/>
        <v>1.6577918359959645</v>
      </c>
      <c r="BK84" s="8" t="e">
        <f t="shared" si="80"/>
        <v>#DIV/0!</v>
      </c>
      <c r="BL84" s="8"/>
      <c r="BM84" s="8">
        <f t="shared" si="79"/>
        <v>1.3874965326966564</v>
      </c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 spans="1:78" s="5" customFormat="1">
      <c r="A85" s="4" t="s">
        <v>121</v>
      </c>
      <c r="B85" s="54">
        <f t="shared" si="68"/>
        <v>8.5432381954257702E-2</v>
      </c>
      <c r="C85" s="8">
        <f t="shared" ref="C85:BM85" si="81">C48*46/C$75</f>
        <v>0.10468210098966588</v>
      </c>
      <c r="D85" s="8">
        <f t="shared" si="81"/>
        <v>0.12548647479287603</v>
      </c>
      <c r="E85" s="8">
        <f t="shared" si="81"/>
        <v>0.14047596938244791</v>
      </c>
      <c r="F85" s="8">
        <f t="shared" si="81"/>
        <v>0.10605603914778705</v>
      </c>
      <c r="G85" s="8">
        <f t="shared" si="81"/>
        <v>0.10510843471130732</v>
      </c>
      <c r="H85" s="8">
        <f t="shared" si="81"/>
        <v>0.10106179172100652</v>
      </c>
      <c r="I85" s="8">
        <f t="shared" si="81"/>
        <v>0.10535132162013118</v>
      </c>
      <c r="J85" s="8">
        <f t="shared" si="81"/>
        <v>0.11044646465670208</v>
      </c>
      <c r="K85" s="54">
        <f t="shared" si="81"/>
        <v>0.11661234945908731</v>
      </c>
      <c r="L85" s="8">
        <f t="shared" si="81"/>
        <v>0.11121151130193779</v>
      </c>
      <c r="M85" s="8">
        <f t="shared" si="81"/>
        <v>9.6199028266174214E-2</v>
      </c>
      <c r="N85" s="8">
        <f t="shared" si="81"/>
        <v>8.5728340632176422E-2</v>
      </c>
      <c r="O85" s="8">
        <f t="shared" si="81"/>
        <v>8.7057907163145848E-2</v>
      </c>
      <c r="P85" s="8">
        <f t="shared" si="81"/>
        <v>2.7809173692023969E-2</v>
      </c>
      <c r="Q85" s="54">
        <f t="shared" si="81"/>
        <v>2.815173084376614E-2</v>
      </c>
      <c r="R85" s="8">
        <f t="shared" si="81"/>
        <v>2.2744490641370674E-2</v>
      </c>
      <c r="S85" s="8">
        <f t="shared" si="81"/>
        <v>2.5257365123967059E-2</v>
      </c>
      <c r="T85" s="8">
        <f t="shared" si="81"/>
        <v>2.6571776532562572E-2</v>
      </c>
      <c r="U85" s="8">
        <f t="shared" ref="U85:BK85" si="82">U48*46/U$75</f>
        <v>2.4218762855420815E-2</v>
      </c>
      <c r="V85" s="8">
        <f t="shared" si="82"/>
        <v>3.2993617979632774E-2</v>
      </c>
      <c r="W85" s="8">
        <f t="shared" si="82"/>
        <v>3.1747411687037236E-2</v>
      </c>
      <c r="X85" s="8">
        <f t="shared" si="82"/>
        <v>2.9074432872316092E-2</v>
      </c>
      <c r="Y85" s="54">
        <f t="shared" si="82"/>
        <v>1.9097104243194336E-2</v>
      </c>
      <c r="Z85" s="8">
        <f t="shared" si="82"/>
        <v>2.6400576140710133E-2</v>
      </c>
      <c r="AA85" s="54">
        <f t="shared" si="82"/>
        <v>2.2290916323989704E-2</v>
      </c>
      <c r="AB85" s="8">
        <f t="shared" si="82"/>
        <v>3.2119729189282249E-2</v>
      </c>
      <c r="AC85" s="8">
        <f t="shared" si="82"/>
        <v>1.7301961004149453E-2</v>
      </c>
      <c r="AD85" s="8">
        <f t="shared" si="82"/>
        <v>2.6139942539980296E-2</v>
      </c>
      <c r="AE85" s="8">
        <f t="shared" si="82"/>
        <v>2.992207778733387E-2</v>
      </c>
      <c r="AF85" s="8">
        <f t="shared" si="82"/>
        <v>2.7403622647144337E-2</v>
      </c>
      <c r="AG85" s="8">
        <f t="shared" si="82"/>
        <v>2.9866386581322284E-2</v>
      </c>
      <c r="AH85" s="8">
        <f t="shared" si="82"/>
        <v>2.5818835951097706E-2</v>
      </c>
      <c r="AI85" s="8">
        <f t="shared" si="82"/>
        <v>3.1353318090683258E-2</v>
      </c>
      <c r="AJ85" s="8">
        <f t="shared" si="82"/>
        <v>2.9839073556675314E-2</v>
      </c>
      <c r="AK85" s="8">
        <f t="shared" si="82"/>
        <v>3.1192840442953389E-2</v>
      </c>
      <c r="AL85" s="8">
        <f t="shared" si="82"/>
        <v>2.5043091930928196E-2</v>
      </c>
      <c r="AM85" s="8">
        <f t="shared" si="82"/>
        <v>2.2329856019636725E-2</v>
      </c>
      <c r="AN85" s="8">
        <f t="shared" si="82"/>
        <v>2.6219589375357108E-2</v>
      </c>
      <c r="AO85" s="8">
        <f t="shared" si="82"/>
        <v>3.4894927437816137E-2</v>
      </c>
      <c r="AP85" s="8">
        <f t="shared" si="82"/>
        <v>3.9324375024077401E-2</v>
      </c>
      <c r="AQ85" s="8">
        <f t="shared" si="82"/>
        <v>3.4138255749567442E-2</v>
      </c>
      <c r="AR85" s="8">
        <f t="shared" si="82"/>
        <v>4.3119262304032027E-2</v>
      </c>
      <c r="AS85" s="8">
        <f t="shared" si="82"/>
        <v>4.3090623557478933E-2</v>
      </c>
      <c r="AT85" s="8">
        <f t="shared" si="82"/>
        <v>4.2157698492697848E-2</v>
      </c>
      <c r="AU85" s="54">
        <f t="shared" si="82"/>
        <v>3.4192711940990245E-2</v>
      </c>
      <c r="AV85" s="8">
        <f t="shared" si="82"/>
        <v>3.5587786767007384E-2</v>
      </c>
      <c r="AW85" s="8">
        <f t="shared" si="82"/>
        <v>3.3388669446006651E-2</v>
      </c>
      <c r="AX85" s="8">
        <f t="shared" si="82"/>
        <v>3.2173078684289161E-2</v>
      </c>
      <c r="AY85" s="8">
        <f t="shared" si="82"/>
        <v>3.8292321777680063E-2</v>
      </c>
      <c r="AZ85" s="8">
        <f t="shared" si="82"/>
        <v>3.7987527944623067E-2</v>
      </c>
      <c r="BA85" s="8">
        <f t="shared" si="82"/>
        <v>2.519710422635054E-2</v>
      </c>
      <c r="BB85" s="8">
        <f t="shared" si="82"/>
        <v>3.0261619040949466E-2</v>
      </c>
      <c r="BC85" s="8">
        <f t="shared" si="82"/>
        <v>2.3073094410176808E-2</v>
      </c>
      <c r="BD85" s="8">
        <f t="shared" si="82"/>
        <v>2.5275832942900058E-2</v>
      </c>
      <c r="BE85" s="8">
        <f t="shared" si="82"/>
        <v>2.2638899898189013E-2</v>
      </c>
      <c r="BF85" s="8">
        <f t="shared" si="82"/>
        <v>2.0442938765179122E-2</v>
      </c>
      <c r="BG85" s="8">
        <f t="shared" si="82"/>
        <v>3.2097838835480438E-2</v>
      </c>
      <c r="BH85" s="8">
        <f t="shared" si="82"/>
        <v>2.5439915691892433E-2</v>
      </c>
      <c r="BI85" s="8">
        <f t="shared" si="82"/>
        <v>2.6973009319573377E-2</v>
      </c>
      <c r="BJ85" s="8">
        <f t="shared" si="82"/>
        <v>3.0734507089412402E-2</v>
      </c>
      <c r="BK85" s="8" t="e">
        <f t="shared" si="82"/>
        <v>#DIV/0!</v>
      </c>
      <c r="BL85" s="8"/>
      <c r="BM85" s="8">
        <f t="shared" si="81"/>
        <v>0.10917830682597426</v>
      </c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</row>
    <row r="86" spans="1:78" s="5" customFormat="1">
      <c r="A86" s="4" t="s">
        <v>122</v>
      </c>
      <c r="B86" s="54">
        <f t="shared" si="68"/>
        <v>3.5787587789306323E-3</v>
      </c>
      <c r="C86" s="8">
        <f t="shared" ref="C86:BM86" si="83">C49*46/C$75</f>
        <v>0</v>
      </c>
      <c r="D86" s="8">
        <f t="shared" si="83"/>
        <v>0</v>
      </c>
      <c r="E86" s="8">
        <f t="shared" si="83"/>
        <v>3.6049386889564329E-3</v>
      </c>
      <c r="F86" s="8">
        <f t="shared" si="83"/>
        <v>0</v>
      </c>
      <c r="G86" s="8">
        <f t="shared" si="83"/>
        <v>0</v>
      </c>
      <c r="H86" s="8">
        <f t="shared" si="83"/>
        <v>0</v>
      </c>
      <c r="I86" s="8">
        <f t="shared" si="83"/>
        <v>0</v>
      </c>
      <c r="J86" s="8">
        <f t="shared" si="83"/>
        <v>0</v>
      </c>
      <c r="K86" s="54">
        <f t="shared" si="83"/>
        <v>0</v>
      </c>
      <c r="L86" s="8">
        <f t="shared" si="83"/>
        <v>0</v>
      </c>
      <c r="M86" s="8">
        <f t="shared" si="83"/>
        <v>0</v>
      </c>
      <c r="N86" s="8">
        <f t="shared" si="83"/>
        <v>0</v>
      </c>
      <c r="O86" s="8">
        <f t="shared" si="83"/>
        <v>0</v>
      </c>
      <c r="P86" s="8">
        <f t="shared" si="83"/>
        <v>0</v>
      </c>
      <c r="Q86" s="54">
        <f t="shared" si="83"/>
        <v>0</v>
      </c>
      <c r="R86" s="8">
        <f t="shared" si="83"/>
        <v>0</v>
      </c>
      <c r="S86" s="8">
        <f t="shared" si="83"/>
        <v>0</v>
      </c>
      <c r="T86" s="8">
        <f t="shared" si="83"/>
        <v>0</v>
      </c>
      <c r="U86" s="8">
        <f t="shared" ref="U86:BK86" si="84">U49*46/U$75</f>
        <v>0</v>
      </c>
      <c r="V86" s="8">
        <f t="shared" si="84"/>
        <v>0</v>
      </c>
      <c r="W86" s="8">
        <f t="shared" si="84"/>
        <v>0</v>
      </c>
      <c r="X86" s="8">
        <f t="shared" si="84"/>
        <v>0</v>
      </c>
      <c r="Y86" s="54">
        <f t="shared" si="84"/>
        <v>0</v>
      </c>
      <c r="Z86" s="8">
        <f t="shared" si="84"/>
        <v>0</v>
      </c>
      <c r="AA86" s="54">
        <f t="shared" si="84"/>
        <v>0</v>
      </c>
      <c r="AB86" s="8">
        <f t="shared" si="84"/>
        <v>0</v>
      </c>
      <c r="AC86" s="8">
        <f t="shared" si="84"/>
        <v>0</v>
      </c>
      <c r="AD86" s="8">
        <f t="shared" si="84"/>
        <v>0</v>
      </c>
      <c r="AE86" s="8">
        <f t="shared" si="84"/>
        <v>0</v>
      </c>
      <c r="AF86" s="8">
        <f t="shared" si="84"/>
        <v>0</v>
      </c>
      <c r="AG86" s="8">
        <f t="shared" si="84"/>
        <v>0</v>
      </c>
      <c r="AH86" s="8">
        <f t="shared" si="84"/>
        <v>0</v>
      </c>
      <c r="AI86" s="8">
        <f t="shared" si="84"/>
        <v>0</v>
      </c>
      <c r="AJ86" s="8">
        <f t="shared" si="84"/>
        <v>0</v>
      </c>
      <c r="AK86" s="8">
        <f t="shared" si="84"/>
        <v>0</v>
      </c>
      <c r="AL86" s="8">
        <f t="shared" si="84"/>
        <v>0</v>
      </c>
      <c r="AM86" s="8">
        <f t="shared" si="84"/>
        <v>0</v>
      </c>
      <c r="AN86" s="8">
        <f t="shared" si="84"/>
        <v>0</v>
      </c>
      <c r="AO86" s="8">
        <f t="shared" si="84"/>
        <v>0</v>
      </c>
      <c r="AP86" s="8">
        <f t="shared" si="84"/>
        <v>0</v>
      </c>
      <c r="AQ86" s="8">
        <f t="shared" si="84"/>
        <v>0</v>
      </c>
      <c r="AR86" s="8">
        <f t="shared" si="84"/>
        <v>0</v>
      </c>
      <c r="AS86" s="8">
        <f t="shared" si="84"/>
        <v>0</v>
      </c>
      <c r="AT86" s="8">
        <f t="shared" si="84"/>
        <v>0</v>
      </c>
      <c r="AU86" s="54">
        <f t="shared" si="84"/>
        <v>0</v>
      </c>
      <c r="AV86" s="8">
        <f t="shared" si="84"/>
        <v>0</v>
      </c>
      <c r="AW86" s="8">
        <f t="shared" si="84"/>
        <v>0</v>
      </c>
      <c r="AX86" s="8">
        <f t="shared" si="84"/>
        <v>0</v>
      </c>
      <c r="AY86" s="8">
        <f t="shared" si="84"/>
        <v>0</v>
      </c>
      <c r="AZ86" s="8">
        <f t="shared" si="84"/>
        <v>0</v>
      </c>
      <c r="BA86" s="8">
        <f t="shared" si="84"/>
        <v>0</v>
      </c>
      <c r="BB86" s="8">
        <f t="shared" si="84"/>
        <v>0</v>
      </c>
      <c r="BC86" s="8">
        <f t="shared" si="84"/>
        <v>0</v>
      </c>
      <c r="BD86" s="8">
        <f t="shared" si="84"/>
        <v>0</v>
      </c>
      <c r="BE86" s="8">
        <f t="shared" si="84"/>
        <v>0</v>
      </c>
      <c r="BF86" s="8">
        <f t="shared" si="84"/>
        <v>0</v>
      </c>
      <c r="BG86" s="8">
        <f t="shared" si="84"/>
        <v>0</v>
      </c>
      <c r="BH86" s="8">
        <f t="shared" si="84"/>
        <v>0</v>
      </c>
      <c r="BI86" s="8">
        <f t="shared" si="84"/>
        <v>0</v>
      </c>
      <c r="BJ86" s="8">
        <f t="shared" si="84"/>
        <v>0</v>
      </c>
      <c r="BK86" s="8" t="e">
        <f t="shared" si="84"/>
        <v>#DIV/0!</v>
      </c>
      <c r="BL86" s="8"/>
      <c r="BM86" s="8">
        <f t="shared" si="83"/>
        <v>8.8983195687909365E-4</v>
      </c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spans="1:78" s="5" customFormat="1">
      <c r="A87" s="4" t="s">
        <v>123</v>
      </c>
      <c r="B87" s="54">
        <f t="shared" si="68"/>
        <v>2.7548100861144937</v>
      </c>
      <c r="C87" s="8">
        <f t="shared" ref="C87:BM87" si="85">C50*46/C$75</f>
        <v>2.8509953979501446</v>
      </c>
      <c r="D87" s="8">
        <f t="shared" si="85"/>
        <v>2.6368345027111637</v>
      </c>
      <c r="E87" s="8">
        <f t="shared" si="85"/>
        <v>2.6680618719382179</v>
      </c>
      <c r="F87" s="8">
        <f t="shared" si="85"/>
        <v>2.6875584318030912</v>
      </c>
      <c r="G87" s="8">
        <f t="shared" si="85"/>
        <v>2.6247899680672053</v>
      </c>
      <c r="H87" s="8">
        <f t="shared" si="85"/>
        <v>2.720403348012427</v>
      </c>
      <c r="I87" s="8">
        <f t="shared" si="85"/>
        <v>2.7089605333941127</v>
      </c>
      <c r="J87" s="8">
        <f t="shared" si="85"/>
        <v>2.8040571159314687</v>
      </c>
      <c r="K87" s="54">
        <f t="shared" si="85"/>
        <v>2.5593962964756281</v>
      </c>
      <c r="L87" s="8">
        <f t="shared" si="85"/>
        <v>2.792108408378847</v>
      </c>
      <c r="M87" s="8">
        <f t="shared" si="85"/>
        <v>2.6778562988035048</v>
      </c>
      <c r="N87" s="8">
        <f t="shared" si="85"/>
        <v>2.5799860261671848</v>
      </c>
      <c r="O87" s="8">
        <f t="shared" si="85"/>
        <v>2.6460405972861682</v>
      </c>
      <c r="P87" s="8">
        <f t="shared" si="85"/>
        <v>2.749437768408701</v>
      </c>
      <c r="Q87" s="54">
        <f t="shared" si="85"/>
        <v>3.5346455210684748</v>
      </c>
      <c r="R87" s="8">
        <f t="shared" si="85"/>
        <v>2.5927597748600824</v>
      </c>
      <c r="S87" s="8">
        <f t="shared" si="85"/>
        <v>2.5868488094838282</v>
      </c>
      <c r="T87" s="8">
        <f t="shared" si="85"/>
        <v>2.6141434352332751</v>
      </c>
      <c r="U87" s="8">
        <f t="shared" ref="U87:BK87" si="86">U50*46/U$75</f>
        <v>2.5033557310231034</v>
      </c>
      <c r="V87" s="8">
        <f t="shared" si="86"/>
        <v>2.5011206152851506</v>
      </c>
      <c r="W87" s="8">
        <f t="shared" si="86"/>
        <v>2.7196869221933708</v>
      </c>
      <c r="X87" s="8">
        <f t="shared" si="86"/>
        <v>2.7540009160456425</v>
      </c>
      <c r="Y87" s="54">
        <f t="shared" si="86"/>
        <v>1.5795209708230065</v>
      </c>
      <c r="Z87" s="8">
        <f t="shared" si="86"/>
        <v>2.4756213303884036</v>
      </c>
      <c r="AA87" s="54">
        <f t="shared" si="86"/>
        <v>2.7262943642669955</v>
      </c>
      <c r="AB87" s="8">
        <f t="shared" si="86"/>
        <v>2.8218455469068076</v>
      </c>
      <c r="AC87" s="8">
        <f t="shared" si="86"/>
        <v>2.7381235647994986</v>
      </c>
      <c r="AD87" s="8">
        <f t="shared" si="86"/>
        <v>2.6899469819153219</v>
      </c>
      <c r="AE87" s="8">
        <f t="shared" si="86"/>
        <v>2.6569578735137305</v>
      </c>
      <c r="AF87" s="8">
        <f t="shared" si="86"/>
        <v>2.70495769397969</v>
      </c>
      <c r="AG87" s="8">
        <f t="shared" si="86"/>
        <v>2.6016441903622751</v>
      </c>
      <c r="AH87" s="8">
        <f t="shared" si="86"/>
        <v>2.6785393298820055</v>
      </c>
      <c r="AI87" s="8">
        <f t="shared" si="86"/>
        <v>2.6219231620677474</v>
      </c>
      <c r="AJ87" s="8">
        <f t="shared" si="86"/>
        <v>2.719601309214128</v>
      </c>
      <c r="AK87" s="8">
        <f t="shared" si="86"/>
        <v>2.478956332328965</v>
      </c>
      <c r="AL87" s="8">
        <f t="shared" si="86"/>
        <v>2.4459126912152329</v>
      </c>
      <c r="AM87" s="8">
        <f t="shared" si="86"/>
        <v>2.5433103736068943</v>
      </c>
      <c r="AN87" s="8">
        <f t="shared" si="86"/>
        <v>2.522368294792293</v>
      </c>
      <c r="AO87" s="8">
        <f t="shared" si="86"/>
        <v>2.5396440262484212</v>
      </c>
      <c r="AP87" s="8">
        <f t="shared" si="86"/>
        <v>2.2055509741359165</v>
      </c>
      <c r="AQ87" s="8">
        <f t="shared" si="86"/>
        <v>2.2005633453493645</v>
      </c>
      <c r="AR87" s="8">
        <f t="shared" si="86"/>
        <v>2.1871496547783336</v>
      </c>
      <c r="AS87" s="8">
        <f t="shared" si="86"/>
        <v>2.1522424581416755</v>
      </c>
      <c r="AT87" s="8">
        <f t="shared" si="86"/>
        <v>2.1627087894374655</v>
      </c>
      <c r="AU87" s="54">
        <f t="shared" si="86"/>
        <v>2.4046465366628151</v>
      </c>
      <c r="AV87" s="8">
        <f t="shared" si="86"/>
        <v>2.1427350666581955</v>
      </c>
      <c r="AW87" s="8">
        <f t="shared" si="86"/>
        <v>2.1288089478759553</v>
      </c>
      <c r="AX87" s="8">
        <f t="shared" si="86"/>
        <v>1.7053267645928527</v>
      </c>
      <c r="AY87" s="8">
        <f t="shared" si="86"/>
        <v>2.1249151895529255</v>
      </c>
      <c r="AZ87" s="8">
        <f t="shared" si="86"/>
        <v>2.2105048372192715</v>
      </c>
      <c r="BA87" s="8">
        <f t="shared" si="86"/>
        <v>2.5141646218807341</v>
      </c>
      <c r="BB87" s="8">
        <f t="shared" si="86"/>
        <v>2.4829674375949553</v>
      </c>
      <c r="BC87" s="8">
        <f t="shared" si="86"/>
        <v>2.5580345865791831</v>
      </c>
      <c r="BD87" s="8">
        <f t="shared" si="86"/>
        <v>2.457524059073311</v>
      </c>
      <c r="BE87" s="8">
        <f t="shared" si="86"/>
        <v>2.5408833169400391</v>
      </c>
      <c r="BF87" s="8">
        <f t="shared" si="86"/>
        <v>2.1405250423601569</v>
      </c>
      <c r="BG87" s="8">
        <f t="shared" si="86"/>
        <v>2.1351461690215725</v>
      </c>
      <c r="BH87" s="8">
        <f t="shared" si="86"/>
        <v>2.2003877044720475</v>
      </c>
      <c r="BI87" s="8">
        <f t="shared" si="86"/>
        <v>2.108879528702206</v>
      </c>
      <c r="BJ87" s="8">
        <f t="shared" si="86"/>
        <v>2.1927436933637261</v>
      </c>
      <c r="BK87" s="8" t="e">
        <f t="shared" si="86"/>
        <v>#DIV/0!</v>
      </c>
      <c r="BL87" s="8"/>
      <c r="BM87" s="8">
        <f t="shared" si="85"/>
        <v>2.7065941363513706</v>
      </c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</row>
    <row r="88" spans="1:78" s="5" customFormat="1">
      <c r="A88" s="4" t="s">
        <v>124</v>
      </c>
      <c r="B88" s="54">
        <f t="shared" si="68"/>
        <v>1.6670702582825343</v>
      </c>
      <c r="C88" s="8">
        <f t="shared" ref="C88:BM88" si="87">C51*46/C$75</f>
        <v>1.6599168302070249</v>
      </c>
      <c r="D88" s="8">
        <f t="shared" si="87"/>
        <v>1.6580316548871608</v>
      </c>
      <c r="E88" s="8">
        <f t="shared" si="87"/>
        <v>1.600825050456026</v>
      </c>
      <c r="F88" s="8">
        <f t="shared" si="87"/>
        <v>1.7155794473634054</v>
      </c>
      <c r="G88" s="8">
        <f t="shared" si="87"/>
        <v>1.7315714528201449</v>
      </c>
      <c r="H88" s="8">
        <f t="shared" si="87"/>
        <v>1.7391954156942837</v>
      </c>
      <c r="I88" s="8">
        <f t="shared" si="87"/>
        <v>1.6947731275930167</v>
      </c>
      <c r="J88" s="8">
        <f t="shared" si="87"/>
        <v>1.610549160468921</v>
      </c>
      <c r="K88" s="54">
        <f t="shared" si="87"/>
        <v>1.7153774687353847</v>
      </c>
      <c r="L88" s="8">
        <f t="shared" si="87"/>
        <v>1.6380732889785206</v>
      </c>
      <c r="M88" s="8">
        <f t="shared" si="87"/>
        <v>1.7083248828285948</v>
      </c>
      <c r="N88" s="8">
        <f t="shared" si="87"/>
        <v>1.6328853294729744</v>
      </c>
      <c r="O88" s="8">
        <f t="shared" si="87"/>
        <v>1.7068868542563693</v>
      </c>
      <c r="P88" s="8">
        <f t="shared" si="87"/>
        <v>1.9395055088783957</v>
      </c>
      <c r="Q88" s="54">
        <f t="shared" si="87"/>
        <v>1.9569924596945338</v>
      </c>
      <c r="R88" s="8">
        <f t="shared" si="87"/>
        <v>1.9100134624040648</v>
      </c>
      <c r="S88" s="8">
        <f t="shared" si="87"/>
        <v>1.9217128181954506</v>
      </c>
      <c r="T88" s="8">
        <f t="shared" si="87"/>
        <v>1.9318498989977773</v>
      </c>
      <c r="U88" s="8">
        <f t="shared" ref="U88:BK88" si="88">U51*46/U$75</f>
        <v>1.9138763926169464</v>
      </c>
      <c r="V88" s="8">
        <f t="shared" si="88"/>
        <v>1.940652192508671</v>
      </c>
      <c r="W88" s="8">
        <f t="shared" si="88"/>
        <v>1.9356203296192938</v>
      </c>
      <c r="X88" s="8">
        <f t="shared" si="88"/>
        <v>1.8916159770490175</v>
      </c>
      <c r="Y88" s="54">
        <f t="shared" si="88"/>
        <v>2.6153336242605207</v>
      </c>
      <c r="Z88" s="8">
        <f t="shared" si="88"/>
        <v>2.0831964092950179</v>
      </c>
      <c r="AA88" s="54">
        <f t="shared" si="88"/>
        <v>2.1272571852425668</v>
      </c>
      <c r="AB88" s="8">
        <f t="shared" si="88"/>
        <v>1.772051724358835</v>
      </c>
      <c r="AC88" s="8">
        <f t="shared" si="88"/>
        <v>1.7649241587926348</v>
      </c>
      <c r="AD88" s="8">
        <f t="shared" si="88"/>
        <v>1.8075571389039915</v>
      </c>
      <c r="AE88" s="8">
        <f t="shared" si="88"/>
        <v>1.7536790183548159</v>
      </c>
      <c r="AF88" s="8">
        <f t="shared" si="88"/>
        <v>1.7646888157234264</v>
      </c>
      <c r="AG88" s="8">
        <f t="shared" si="88"/>
        <v>1.7645820855433376</v>
      </c>
      <c r="AH88" s="8">
        <f t="shared" si="88"/>
        <v>1.7371421145548802</v>
      </c>
      <c r="AI88" s="8">
        <f t="shared" si="88"/>
        <v>1.7830955818461121</v>
      </c>
      <c r="AJ88" s="8">
        <f t="shared" si="88"/>
        <v>1.7315148681494841</v>
      </c>
      <c r="AK88" s="8">
        <f t="shared" si="88"/>
        <v>1.7439820309304366</v>
      </c>
      <c r="AL88" s="8">
        <f t="shared" si="88"/>
        <v>1.7295989114089196</v>
      </c>
      <c r="AM88" s="8">
        <f t="shared" si="88"/>
        <v>1.7057201291383566</v>
      </c>
      <c r="AN88" s="8">
        <f t="shared" si="88"/>
        <v>1.6914566616887494</v>
      </c>
      <c r="AO88" s="8">
        <f t="shared" si="88"/>
        <v>1.7151336845387475</v>
      </c>
      <c r="AP88" s="8">
        <f t="shared" si="88"/>
        <v>1.8918153860192994</v>
      </c>
      <c r="AQ88" s="8">
        <f t="shared" si="88"/>
        <v>1.8696352491395622</v>
      </c>
      <c r="AR88" s="8">
        <f t="shared" si="88"/>
        <v>1.9009713358135578</v>
      </c>
      <c r="AS88" s="8">
        <f t="shared" si="88"/>
        <v>1.8884868494397331</v>
      </c>
      <c r="AT88" s="8">
        <f t="shared" si="88"/>
        <v>1.8454142520474925</v>
      </c>
      <c r="AU88" s="54">
        <f t="shared" si="88"/>
        <v>1.8806271132302537</v>
      </c>
      <c r="AV88" s="8">
        <f t="shared" si="88"/>
        <v>1.8392204436236088</v>
      </c>
      <c r="AW88" s="8">
        <f t="shared" si="88"/>
        <v>1.8956643091746908</v>
      </c>
      <c r="AX88" s="8">
        <f t="shared" si="88"/>
        <v>2.3359811088233577</v>
      </c>
      <c r="AY88" s="8">
        <f t="shared" si="88"/>
        <v>1.8535194422104719</v>
      </c>
      <c r="AZ88" s="8">
        <f t="shared" si="88"/>
        <v>1.8804105865158531</v>
      </c>
      <c r="BA88" s="8">
        <f t="shared" si="88"/>
        <v>1.9155342305372349</v>
      </c>
      <c r="BB88" s="8">
        <f t="shared" si="88"/>
        <v>1.8852250738759047</v>
      </c>
      <c r="BC88" s="8">
        <f t="shared" si="88"/>
        <v>1.9327443226187364</v>
      </c>
      <c r="BD88" s="8">
        <f t="shared" si="88"/>
        <v>1.9103291324511844</v>
      </c>
      <c r="BE88" s="8">
        <f t="shared" si="88"/>
        <v>1.9091008583901974</v>
      </c>
      <c r="BF88" s="8">
        <f t="shared" si="88"/>
        <v>1.873145847436706</v>
      </c>
      <c r="BG88" s="8">
        <f t="shared" si="88"/>
        <v>1.8416777904406474</v>
      </c>
      <c r="BH88" s="8">
        <f t="shared" si="88"/>
        <v>1.8808969231815429</v>
      </c>
      <c r="BI88" s="8">
        <f t="shared" si="88"/>
        <v>1.8521654208247893</v>
      </c>
      <c r="BJ88" s="8">
        <f t="shared" si="88"/>
        <v>1.9406027459456536</v>
      </c>
      <c r="BK88" s="8" t="e">
        <f t="shared" si="88"/>
        <v>#DIV/0!</v>
      </c>
      <c r="BL88" s="8"/>
      <c r="BM88" s="8">
        <f t="shared" si="87"/>
        <v>1.6835055683467657</v>
      </c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spans="1:78" s="5" customFormat="1">
      <c r="A89" s="4" t="s">
        <v>125</v>
      </c>
      <c r="B89" s="54">
        <f t="shared" si="68"/>
        <v>0.38822598336093744</v>
      </c>
      <c r="C89" s="8">
        <f t="shared" ref="C89:BM89" si="89">C52*46/C$75</f>
        <v>0.39935433931915332</v>
      </c>
      <c r="D89" s="8">
        <f t="shared" si="89"/>
        <v>0.42942736917863383</v>
      </c>
      <c r="E89" s="8">
        <f t="shared" si="89"/>
        <v>0.40265313695301141</v>
      </c>
      <c r="F89" s="8">
        <f t="shared" si="89"/>
        <v>0.39697988889172503</v>
      </c>
      <c r="G89" s="8">
        <f t="shared" si="89"/>
        <v>0.4210298089107487</v>
      </c>
      <c r="H89" s="8">
        <f t="shared" si="89"/>
        <v>0.39125488194138658</v>
      </c>
      <c r="I89" s="8">
        <f t="shared" si="89"/>
        <v>0.40001603689465121</v>
      </c>
      <c r="J89" s="8">
        <f t="shared" si="89"/>
        <v>0.40051441601302118</v>
      </c>
      <c r="K89" s="54">
        <f t="shared" si="89"/>
        <v>0.38688463019953484</v>
      </c>
      <c r="L89" s="8">
        <f t="shared" si="89"/>
        <v>0.4327488193760593</v>
      </c>
      <c r="M89" s="8">
        <f t="shared" si="89"/>
        <v>0.41465336097872224</v>
      </c>
      <c r="N89" s="8">
        <f t="shared" si="89"/>
        <v>0.46355381427063486</v>
      </c>
      <c r="O89" s="8">
        <f t="shared" si="89"/>
        <v>0.42985735067104447</v>
      </c>
      <c r="P89" s="8">
        <f t="shared" si="89"/>
        <v>0.39928382562440762</v>
      </c>
      <c r="Q89" s="54">
        <f t="shared" si="89"/>
        <v>0.20732239301445674</v>
      </c>
      <c r="R89" s="8">
        <f t="shared" si="89"/>
        <v>0.48301143118377421</v>
      </c>
      <c r="S89" s="8">
        <f t="shared" si="89"/>
        <v>0.45383180348878643</v>
      </c>
      <c r="T89" s="8">
        <f t="shared" si="89"/>
        <v>0.46340264362843081</v>
      </c>
      <c r="U89" s="8">
        <f t="shared" ref="U89:BK89" si="90">U52*46/U$75</f>
        <v>0.47849723167625535</v>
      </c>
      <c r="V89" s="8">
        <f t="shared" si="90"/>
        <v>0.48798121391118926</v>
      </c>
      <c r="W89" s="8">
        <f t="shared" si="90"/>
        <v>0.36043522533971373</v>
      </c>
      <c r="X89" s="8">
        <f t="shared" si="90"/>
        <v>0.43980912100546715</v>
      </c>
      <c r="Y89" s="54">
        <f t="shared" si="90"/>
        <v>0.30598686669989145</v>
      </c>
      <c r="Z89" s="8">
        <f t="shared" si="90"/>
        <v>0.36257836204579813</v>
      </c>
      <c r="AA89" s="54">
        <f t="shared" si="90"/>
        <v>0.33164885783893944</v>
      </c>
      <c r="AB89" s="8">
        <f t="shared" si="90"/>
        <v>0.58816488128814548</v>
      </c>
      <c r="AC89" s="8">
        <f t="shared" si="90"/>
        <v>0.69871726426239733</v>
      </c>
      <c r="AD89" s="8">
        <f t="shared" si="90"/>
        <v>0.71514858398767711</v>
      </c>
      <c r="AE89" s="8">
        <f t="shared" si="90"/>
        <v>0.73627056706789396</v>
      </c>
      <c r="AF89" s="8">
        <f t="shared" si="90"/>
        <v>0.74985669602976457</v>
      </c>
      <c r="AG89" s="8">
        <f t="shared" si="90"/>
        <v>0.75199091717310973</v>
      </c>
      <c r="AH89" s="8">
        <f t="shared" si="90"/>
        <v>0.72887718302014204</v>
      </c>
      <c r="AI89" s="8">
        <f t="shared" si="90"/>
        <v>0.73201656348835931</v>
      </c>
      <c r="AJ89" s="8">
        <f t="shared" si="90"/>
        <v>0.72853645196429118</v>
      </c>
      <c r="AK89" s="8">
        <f t="shared" si="90"/>
        <v>0.69685427574513292</v>
      </c>
      <c r="AL89" s="8">
        <f t="shared" si="90"/>
        <v>0.74232646475880326</v>
      </c>
      <c r="AM89" s="8">
        <f t="shared" si="90"/>
        <v>0.70137066698010486</v>
      </c>
      <c r="AN89" s="8">
        <f t="shared" si="90"/>
        <v>0.71161184102359543</v>
      </c>
      <c r="AO89" s="8">
        <f t="shared" si="90"/>
        <v>0.73597184742038202</v>
      </c>
      <c r="AP89" s="8">
        <f t="shared" si="90"/>
        <v>0.40940814236672246</v>
      </c>
      <c r="AQ89" s="8">
        <f t="shared" si="90"/>
        <v>0.37623408977028999</v>
      </c>
      <c r="AR89" s="8">
        <f t="shared" si="90"/>
        <v>0.41801524906547932</v>
      </c>
      <c r="AS89" s="8">
        <f t="shared" si="90"/>
        <v>0.43224239193849029</v>
      </c>
      <c r="AT89" s="8">
        <f t="shared" si="90"/>
        <v>0.46201626861394585</v>
      </c>
      <c r="AU89" s="54">
        <f t="shared" si="90"/>
        <v>0.33625209613678858</v>
      </c>
      <c r="AV89" s="8">
        <f t="shared" si="90"/>
        <v>0.44802360570493416</v>
      </c>
      <c r="AW89" s="8">
        <f t="shared" si="90"/>
        <v>0.44973265539521412</v>
      </c>
      <c r="AX89" s="8">
        <f t="shared" si="90"/>
        <v>0.29457089898711503</v>
      </c>
      <c r="AY89" s="8">
        <f t="shared" si="90"/>
        <v>0.46454179854472083</v>
      </c>
      <c r="AZ89" s="8">
        <f t="shared" si="90"/>
        <v>0.41736833580965721</v>
      </c>
      <c r="BA89" s="8">
        <f t="shared" si="90"/>
        <v>0.56809908611114779</v>
      </c>
      <c r="BB89" s="8">
        <f t="shared" si="90"/>
        <v>0.57434285425830423</v>
      </c>
      <c r="BC89" s="8">
        <f t="shared" si="90"/>
        <v>0.56040749241064614</v>
      </c>
      <c r="BD89" s="8">
        <f t="shared" si="90"/>
        <v>0.56408859586129456</v>
      </c>
      <c r="BE89" s="8">
        <f t="shared" si="90"/>
        <v>0.56425590556264638</v>
      </c>
      <c r="BF89" s="8">
        <f t="shared" si="90"/>
        <v>0.69604533943352853</v>
      </c>
      <c r="BG89" s="8">
        <f t="shared" si="90"/>
        <v>0.71119447997204233</v>
      </c>
      <c r="BH89" s="8">
        <f t="shared" si="90"/>
        <v>0.65509670932375352</v>
      </c>
      <c r="BI89" s="8">
        <f t="shared" si="90"/>
        <v>0.65268000753947331</v>
      </c>
      <c r="BJ89" s="8">
        <f t="shared" si="90"/>
        <v>0.63901158536558889</v>
      </c>
      <c r="BK89" s="8" t="e">
        <f t="shared" si="90"/>
        <v>#DIV/0!</v>
      </c>
      <c r="BL89" s="8"/>
      <c r="BM89" s="8">
        <f t="shared" si="89"/>
        <v>0.40363642291615781</v>
      </c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</row>
    <row r="90" spans="1:78" s="5" customFormat="1">
      <c r="A90" s="4" t="s">
        <v>126</v>
      </c>
      <c r="B90" s="54">
        <f t="shared" si="68"/>
        <v>4.5412640529705339E-2</v>
      </c>
      <c r="C90" s="8">
        <f t="shared" ref="C90:BM90" si="91">C53*46/C$75</f>
        <v>2.6276837218343698E-2</v>
      </c>
      <c r="D90" s="8">
        <f t="shared" si="91"/>
        <v>5.0523243085981086E-2</v>
      </c>
      <c r="E90" s="8">
        <f t="shared" si="91"/>
        <v>4.7650885790644332E-2</v>
      </c>
      <c r="F90" s="8">
        <f t="shared" si="91"/>
        <v>6.3892121010841352E-2</v>
      </c>
      <c r="G90" s="8">
        <f t="shared" si="91"/>
        <v>4.8998585294969213E-2</v>
      </c>
      <c r="H90" s="8">
        <f t="shared" si="91"/>
        <v>3.9461462794048337E-2</v>
      </c>
      <c r="I90" s="8">
        <f t="shared" si="91"/>
        <v>4.2933946332121047E-2</v>
      </c>
      <c r="J90" s="8">
        <f t="shared" si="91"/>
        <v>2.990430444753921E-2</v>
      </c>
      <c r="K90" s="54">
        <f t="shared" si="91"/>
        <v>5.3280735777723826E-2</v>
      </c>
      <c r="L90" s="8">
        <f t="shared" si="91"/>
        <v>2.6054766143231389E-2</v>
      </c>
      <c r="M90" s="8">
        <f t="shared" si="91"/>
        <v>4.1395635232742485E-2</v>
      </c>
      <c r="N90" s="8">
        <f t="shared" si="91"/>
        <v>4.6780757095792935E-2</v>
      </c>
      <c r="O90" s="8">
        <f t="shared" si="91"/>
        <v>4.6827621780649656E-2</v>
      </c>
      <c r="P90" s="8">
        <f t="shared" si="91"/>
        <v>0.1389761174058585</v>
      </c>
      <c r="Q90" s="54">
        <f t="shared" si="91"/>
        <v>4.7929458693316905E-2</v>
      </c>
      <c r="R90" s="8">
        <f t="shared" si="91"/>
        <v>0.18840430211142278</v>
      </c>
      <c r="S90" s="8">
        <f t="shared" si="91"/>
        <v>0.19400375201643608</v>
      </c>
      <c r="T90" s="8">
        <f t="shared" si="91"/>
        <v>0.17913525277292161</v>
      </c>
      <c r="U90" s="8">
        <f t="shared" ref="U90:BK90" si="92">U53*46/U$75</f>
        <v>0.19389724488565607</v>
      </c>
      <c r="V90" s="8">
        <f t="shared" si="92"/>
        <v>0.20449951479051892</v>
      </c>
      <c r="W90" s="8">
        <f t="shared" si="92"/>
        <v>0.13388078980809787</v>
      </c>
      <c r="X90" s="8">
        <f t="shared" si="92"/>
        <v>0.14469346570149078</v>
      </c>
      <c r="Y90" s="54">
        <f t="shared" si="92"/>
        <v>0.12847036943788384</v>
      </c>
      <c r="Z90" s="8">
        <f t="shared" si="92"/>
        <v>0.13064569730952913</v>
      </c>
      <c r="AA90" s="54">
        <f t="shared" si="92"/>
        <v>7.4604894138941141E-3</v>
      </c>
      <c r="AB90" s="8">
        <f t="shared" si="92"/>
        <v>1.8605889510861624E-2</v>
      </c>
      <c r="AC90" s="8">
        <f t="shared" si="92"/>
        <v>2.7919681704989752E-2</v>
      </c>
      <c r="AD90" s="8">
        <f t="shared" si="92"/>
        <v>2.6246130275422257E-2</v>
      </c>
      <c r="AE90" s="8">
        <f t="shared" si="92"/>
        <v>2.6288175909413868E-2</v>
      </c>
      <c r="AF90" s="8">
        <f t="shared" si="92"/>
        <v>2.2512226748355266E-2</v>
      </c>
      <c r="AG90" s="8">
        <f t="shared" si="92"/>
        <v>2.6239248150096973E-2</v>
      </c>
      <c r="AH90" s="8">
        <f t="shared" si="92"/>
        <v>2.2220330796032976E-2</v>
      </c>
      <c r="AI90" s="8">
        <f t="shared" si="92"/>
        <v>3.3999138732210929E-2</v>
      </c>
      <c r="AJ90" s="8">
        <f t="shared" si="92"/>
        <v>2.2470216145327772E-2</v>
      </c>
      <c r="AK90" s="8">
        <f t="shared" si="92"/>
        <v>8.4562797038284745E-2</v>
      </c>
      <c r="AL90" s="8">
        <f t="shared" si="92"/>
        <v>6.0347577488042557E-2</v>
      </c>
      <c r="AM90" s="8">
        <f t="shared" si="92"/>
        <v>7.0998459383898177E-2</v>
      </c>
      <c r="AN90" s="8">
        <f t="shared" si="92"/>
        <v>6.9576123168768739E-2</v>
      </c>
      <c r="AO90" s="8">
        <f t="shared" si="92"/>
        <v>5.2555020544721075E-2</v>
      </c>
      <c r="AP90" s="8">
        <f t="shared" si="92"/>
        <v>2.4836786168124597E-2</v>
      </c>
      <c r="AQ90" s="8">
        <f t="shared" si="92"/>
        <v>3.4276934863511188E-2</v>
      </c>
      <c r="AR90" s="8">
        <f t="shared" si="92"/>
        <v>2.8650722274832518E-2</v>
      </c>
      <c r="AS90" s="8">
        <f t="shared" si="92"/>
        <v>3.0540472719339407E-2</v>
      </c>
      <c r="AT90" s="8">
        <f t="shared" si="92"/>
        <v>7.6961736034909791E-3</v>
      </c>
      <c r="AU90" s="54">
        <f t="shared" si="92"/>
        <v>3.0516988685482731E-2</v>
      </c>
      <c r="AV90" s="8">
        <f t="shared" si="92"/>
        <v>2.6799265710097692E-2</v>
      </c>
      <c r="AW90" s="8">
        <f t="shared" si="92"/>
        <v>3.2879605386537114E-2</v>
      </c>
      <c r="AX90" s="8">
        <f t="shared" si="92"/>
        <v>1.3567585374430523E-2</v>
      </c>
      <c r="AY90" s="8">
        <f t="shared" si="92"/>
        <v>1.5379150346458828E-2</v>
      </c>
      <c r="AZ90" s="8">
        <f t="shared" si="92"/>
        <v>3.2420567294218931E-2</v>
      </c>
      <c r="BA90" s="8">
        <f t="shared" si="92"/>
        <v>7.5898385668986311E-3</v>
      </c>
      <c r="BB90" s="8">
        <f t="shared" si="92"/>
        <v>5.69710315792949E-3</v>
      </c>
      <c r="BC90" s="8">
        <f t="shared" si="92"/>
        <v>7.7222745844525232E-3</v>
      </c>
      <c r="BD90" s="8">
        <f t="shared" si="92"/>
        <v>1.3323717972710728E-2</v>
      </c>
      <c r="BE90" s="8">
        <f t="shared" si="92"/>
        <v>1.7048149066643672E-2</v>
      </c>
      <c r="BF90" s="8">
        <f t="shared" si="92"/>
        <v>1.7318798732311041E-2</v>
      </c>
      <c r="BG90" s="8">
        <f t="shared" si="92"/>
        <v>2.707171253385534E-2</v>
      </c>
      <c r="BH90" s="8">
        <f t="shared" si="92"/>
        <v>1.5325955833849452E-2</v>
      </c>
      <c r="BI90" s="8">
        <f t="shared" si="92"/>
        <v>9.6723504302020872E-3</v>
      </c>
      <c r="BJ90" s="8">
        <f t="shared" si="92"/>
        <v>2.3144519420399651E-2</v>
      </c>
      <c r="BK90" s="8" t="e">
        <f t="shared" si="92"/>
        <v>#DIV/0!</v>
      </c>
      <c r="BL90" s="8"/>
      <c r="BM90" s="8">
        <f t="shared" si="91"/>
        <v>4.5636551487109038E-2</v>
      </c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spans="1:78" s="5" customFormat="1">
      <c r="A91" s="4" t="s">
        <v>89</v>
      </c>
      <c r="B91" s="54">
        <f>2-B92-B93</f>
        <v>2</v>
      </c>
      <c r="C91" s="8">
        <f t="shared" ref="C91:BM91" si="93">2-C92-C93</f>
        <v>2</v>
      </c>
      <c r="D91" s="8">
        <f t="shared" si="93"/>
        <v>2</v>
      </c>
      <c r="E91" s="8">
        <f t="shared" si="93"/>
        <v>2</v>
      </c>
      <c r="F91" s="8">
        <f t="shared" si="93"/>
        <v>2</v>
      </c>
      <c r="G91" s="8">
        <f t="shared" si="93"/>
        <v>2</v>
      </c>
      <c r="H91" s="8">
        <f t="shared" si="93"/>
        <v>2</v>
      </c>
      <c r="I91" s="8">
        <f t="shared" si="93"/>
        <v>2</v>
      </c>
      <c r="J91" s="8">
        <f t="shared" si="93"/>
        <v>2</v>
      </c>
      <c r="K91" s="54">
        <f t="shared" si="93"/>
        <v>2</v>
      </c>
      <c r="L91" s="8">
        <f t="shared" si="93"/>
        <v>2</v>
      </c>
      <c r="M91" s="8">
        <f t="shared" si="93"/>
        <v>2</v>
      </c>
      <c r="N91" s="8">
        <f t="shared" si="93"/>
        <v>2</v>
      </c>
      <c r="O91" s="8">
        <f t="shared" si="93"/>
        <v>2</v>
      </c>
      <c r="P91" s="8">
        <f t="shared" si="93"/>
        <v>2</v>
      </c>
      <c r="Q91" s="54">
        <f t="shared" si="93"/>
        <v>2</v>
      </c>
      <c r="R91" s="8">
        <f t="shared" si="93"/>
        <v>2</v>
      </c>
      <c r="S91" s="8">
        <f t="shared" si="93"/>
        <v>2</v>
      </c>
      <c r="T91" s="8">
        <f t="shared" si="93"/>
        <v>2</v>
      </c>
      <c r="U91" s="8">
        <f t="shared" ref="U91:BK91" si="94">2-U92-U93</f>
        <v>2</v>
      </c>
      <c r="V91" s="8">
        <f t="shared" si="94"/>
        <v>2</v>
      </c>
      <c r="W91" s="8">
        <f t="shared" si="94"/>
        <v>2</v>
      </c>
      <c r="X91" s="8">
        <f t="shared" si="94"/>
        <v>2</v>
      </c>
      <c r="Y91" s="54">
        <f t="shared" si="94"/>
        <v>2</v>
      </c>
      <c r="Z91" s="8">
        <f t="shared" si="94"/>
        <v>2</v>
      </c>
      <c r="AA91" s="54">
        <f t="shared" si="94"/>
        <v>2</v>
      </c>
      <c r="AB91" s="8">
        <f t="shared" si="94"/>
        <v>2</v>
      </c>
      <c r="AC91" s="8">
        <f t="shared" si="94"/>
        <v>2</v>
      </c>
      <c r="AD91" s="8">
        <f t="shared" si="94"/>
        <v>2</v>
      </c>
      <c r="AE91" s="8">
        <f t="shared" si="94"/>
        <v>2</v>
      </c>
      <c r="AF91" s="8">
        <f t="shared" si="94"/>
        <v>2</v>
      </c>
      <c r="AG91" s="8">
        <f t="shared" si="94"/>
        <v>2</v>
      </c>
      <c r="AH91" s="8">
        <f t="shared" si="94"/>
        <v>2</v>
      </c>
      <c r="AI91" s="8">
        <f t="shared" si="94"/>
        <v>2</v>
      </c>
      <c r="AJ91" s="8">
        <f t="shared" si="94"/>
        <v>2</v>
      </c>
      <c r="AK91" s="8">
        <f t="shared" si="94"/>
        <v>2</v>
      </c>
      <c r="AL91" s="8">
        <f t="shared" si="94"/>
        <v>2</v>
      </c>
      <c r="AM91" s="8">
        <f t="shared" si="94"/>
        <v>2</v>
      </c>
      <c r="AN91" s="8">
        <f t="shared" si="94"/>
        <v>2</v>
      </c>
      <c r="AO91" s="8">
        <f t="shared" si="94"/>
        <v>2</v>
      </c>
      <c r="AP91" s="8">
        <f t="shared" si="94"/>
        <v>2</v>
      </c>
      <c r="AQ91" s="8">
        <f t="shared" si="94"/>
        <v>2</v>
      </c>
      <c r="AR91" s="8">
        <f t="shared" si="94"/>
        <v>2</v>
      </c>
      <c r="AS91" s="8">
        <f t="shared" si="94"/>
        <v>2</v>
      </c>
      <c r="AT91" s="8">
        <f t="shared" si="94"/>
        <v>2</v>
      </c>
      <c r="AU91" s="54">
        <f t="shared" si="94"/>
        <v>2</v>
      </c>
      <c r="AV91" s="8">
        <f t="shared" si="94"/>
        <v>2</v>
      </c>
      <c r="AW91" s="8">
        <f t="shared" si="94"/>
        <v>2</v>
      </c>
      <c r="AX91" s="8">
        <f t="shared" si="94"/>
        <v>2</v>
      </c>
      <c r="AY91" s="8">
        <f t="shared" si="94"/>
        <v>2</v>
      </c>
      <c r="AZ91" s="8">
        <f t="shared" si="94"/>
        <v>2</v>
      </c>
      <c r="BA91" s="8">
        <f t="shared" si="94"/>
        <v>2</v>
      </c>
      <c r="BB91" s="8">
        <f t="shared" si="94"/>
        <v>2</v>
      </c>
      <c r="BC91" s="8">
        <f t="shared" si="94"/>
        <v>2</v>
      </c>
      <c r="BD91" s="8">
        <f t="shared" si="94"/>
        <v>2</v>
      </c>
      <c r="BE91" s="8">
        <f t="shared" si="94"/>
        <v>2</v>
      </c>
      <c r="BF91" s="8">
        <f t="shared" si="94"/>
        <v>2</v>
      </c>
      <c r="BG91" s="8">
        <f t="shared" si="94"/>
        <v>2</v>
      </c>
      <c r="BH91" s="8">
        <f t="shared" si="94"/>
        <v>2</v>
      </c>
      <c r="BI91" s="8">
        <f t="shared" si="94"/>
        <v>2</v>
      </c>
      <c r="BJ91" s="8">
        <f t="shared" si="94"/>
        <v>2</v>
      </c>
      <c r="BK91" s="8" t="e">
        <f t="shared" si="94"/>
        <v>#DIV/0!</v>
      </c>
      <c r="BL91" s="8"/>
      <c r="BM91" s="8">
        <f t="shared" si="93"/>
        <v>2</v>
      </c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</row>
    <row r="92" spans="1:78" s="5" customFormat="1">
      <c r="A92" s="4" t="s">
        <v>86</v>
      </c>
      <c r="B92" s="54">
        <f>B55*46/B$75</f>
        <v>0</v>
      </c>
      <c r="C92" s="8">
        <f t="shared" ref="C92:BM92" si="95">C55*46/C$75</f>
        <v>0</v>
      </c>
      <c r="D92" s="8">
        <f t="shared" si="95"/>
        <v>0</v>
      </c>
      <c r="E92" s="8">
        <f t="shared" si="95"/>
        <v>0</v>
      </c>
      <c r="F92" s="8">
        <f t="shared" si="95"/>
        <v>0</v>
      </c>
      <c r="G92" s="8">
        <f t="shared" si="95"/>
        <v>0</v>
      </c>
      <c r="H92" s="8">
        <f t="shared" si="95"/>
        <v>0</v>
      </c>
      <c r="I92" s="8">
        <f t="shared" si="95"/>
        <v>0</v>
      </c>
      <c r="J92" s="8">
        <f t="shared" si="95"/>
        <v>0</v>
      </c>
      <c r="K92" s="54">
        <f t="shared" si="95"/>
        <v>0</v>
      </c>
      <c r="L92" s="8">
        <f t="shared" si="95"/>
        <v>0</v>
      </c>
      <c r="M92" s="8">
        <f t="shared" si="95"/>
        <v>0</v>
      </c>
      <c r="N92" s="8">
        <f t="shared" si="95"/>
        <v>0</v>
      </c>
      <c r="O92" s="8">
        <f t="shared" si="95"/>
        <v>0</v>
      </c>
      <c r="P92" s="8">
        <f t="shared" si="95"/>
        <v>0</v>
      </c>
      <c r="Q92" s="54">
        <f t="shared" si="95"/>
        <v>0</v>
      </c>
      <c r="R92" s="8">
        <f t="shared" si="95"/>
        <v>0</v>
      </c>
      <c r="S92" s="8">
        <f t="shared" si="95"/>
        <v>0</v>
      </c>
      <c r="T92" s="8">
        <f t="shared" si="95"/>
        <v>0</v>
      </c>
      <c r="U92" s="8">
        <f t="shared" ref="U92:BK92" si="96">U55*46/U$75</f>
        <v>0</v>
      </c>
      <c r="V92" s="8">
        <f t="shared" si="96"/>
        <v>0</v>
      </c>
      <c r="W92" s="8">
        <f t="shared" si="96"/>
        <v>0</v>
      </c>
      <c r="X92" s="8">
        <f t="shared" si="96"/>
        <v>0</v>
      </c>
      <c r="Y92" s="54">
        <f t="shared" si="96"/>
        <v>0</v>
      </c>
      <c r="Z92" s="8">
        <f t="shared" si="96"/>
        <v>0</v>
      </c>
      <c r="AA92" s="54">
        <f t="shared" si="96"/>
        <v>0</v>
      </c>
      <c r="AB92" s="8">
        <f t="shared" si="96"/>
        <v>0</v>
      </c>
      <c r="AC92" s="8">
        <f t="shared" si="96"/>
        <v>0</v>
      </c>
      <c r="AD92" s="8">
        <f t="shared" si="96"/>
        <v>0</v>
      </c>
      <c r="AE92" s="8">
        <f t="shared" si="96"/>
        <v>0</v>
      </c>
      <c r="AF92" s="8">
        <f t="shared" si="96"/>
        <v>0</v>
      </c>
      <c r="AG92" s="8">
        <f t="shared" si="96"/>
        <v>0</v>
      </c>
      <c r="AH92" s="8">
        <f t="shared" si="96"/>
        <v>0</v>
      </c>
      <c r="AI92" s="8">
        <f t="shared" si="96"/>
        <v>0</v>
      </c>
      <c r="AJ92" s="8">
        <f t="shared" si="96"/>
        <v>0</v>
      </c>
      <c r="AK92" s="8">
        <f t="shared" si="96"/>
        <v>0</v>
      </c>
      <c r="AL92" s="8">
        <f t="shared" si="96"/>
        <v>0</v>
      </c>
      <c r="AM92" s="8">
        <f t="shared" si="96"/>
        <v>0</v>
      </c>
      <c r="AN92" s="8">
        <f t="shared" si="96"/>
        <v>0</v>
      </c>
      <c r="AO92" s="8">
        <f t="shared" si="96"/>
        <v>0</v>
      </c>
      <c r="AP92" s="8">
        <f t="shared" si="96"/>
        <v>0</v>
      </c>
      <c r="AQ92" s="8">
        <f t="shared" si="96"/>
        <v>0</v>
      </c>
      <c r="AR92" s="8">
        <f t="shared" si="96"/>
        <v>0</v>
      </c>
      <c r="AS92" s="8">
        <f t="shared" si="96"/>
        <v>0</v>
      </c>
      <c r="AT92" s="8">
        <f t="shared" si="96"/>
        <v>0</v>
      </c>
      <c r="AU92" s="54">
        <f t="shared" si="96"/>
        <v>0</v>
      </c>
      <c r="AV92" s="8">
        <f t="shared" si="96"/>
        <v>0</v>
      </c>
      <c r="AW92" s="8">
        <f t="shared" si="96"/>
        <v>0</v>
      </c>
      <c r="AX92" s="8">
        <f t="shared" si="96"/>
        <v>0</v>
      </c>
      <c r="AY92" s="8">
        <f t="shared" si="96"/>
        <v>0</v>
      </c>
      <c r="AZ92" s="8">
        <f t="shared" si="96"/>
        <v>0</v>
      </c>
      <c r="BA92" s="8">
        <f t="shared" si="96"/>
        <v>0</v>
      </c>
      <c r="BB92" s="8">
        <f t="shared" si="96"/>
        <v>0</v>
      </c>
      <c r="BC92" s="8">
        <f t="shared" si="96"/>
        <v>0</v>
      </c>
      <c r="BD92" s="8">
        <f t="shared" si="96"/>
        <v>0</v>
      </c>
      <c r="BE92" s="8">
        <f t="shared" si="96"/>
        <v>0</v>
      </c>
      <c r="BF92" s="8">
        <f t="shared" si="96"/>
        <v>0</v>
      </c>
      <c r="BG92" s="8">
        <f t="shared" si="96"/>
        <v>0</v>
      </c>
      <c r="BH92" s="8">
        <f t="shared" si="96"/>
        <v>0</v>
      </c>
      <c r="BI92" s="8">
        <f t="shared" si="96"/>
        <v>0</v>
      </c>
      <c r="BJ92" s="8">
        <f t="shared" si="96"/>
        <v>0</v>
      </c>
      <c r="BK92" s="8" t="e">
        <f t="shared" si="96"/>
        <v>#DIV/0!</v>
      </c>
      <c r="BL92" s="8"/>
      <c r="BM92" s="8">
        <f t="shared" si="95"/>
        <v>0</v>
      </c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 spans="1:78" s="5" customFormat="1">
      <c r="A93" s="4" t="s">
        <v>87</v>
      </c>
      <c r="B93" s="54">
        <f>B56*46/B$75</f>
        <v>0</v>
      </c>
      <c r="C93" s="8">
        <f t="shared" ref="C93:BM93" si="97">C56*46/C$75</f>
        <v>0</v>
      </c>
      <c r="D93" s="8">
        <f t="shared" si="97"/>
        <v>0</v>
      </c>
      <c r="E93" s="8">
        <f t="shared" si="97"/>
        <v>0</v>
      </c>
      <c r="F93" s="8">
        <f t="shared" si="97"/>
        <v>0</v>
      </c>
      <c r="G93" s="8">
        <f t="shared" si="97"/>
        <v>0</v>
      </c>
      <c r="H93" s="8">
        <f t="shared" si="97"/>
        <v>0</v>
      </c>
      <c r="I93" s="8">
        <f t="shared" si="97"/>
        <v>0</v>
      </c>
      <c r="J93" s="8">
        <f t="shared" si="97"/>
        <v>0</v>
      </c>
      <c r="K93" s="54">
        <f t="shared" si="97"/>
        <v>0</v>
      </c>
      <c r="L93" s="8">
        <f t="shared" si="97"/>
        <v>0</v>
      </c>
      <c r="M93" s="8">
        <f t="shared" si="97"/>
        <v>0</v>
      </c>
      <c r="N93" s="8">
        <f t="shared" si="97"/>
        <v>0</v>
      </c>
      <c r="O93" s="8">
        <f t="shared" si="97"/>
        <v>0</v>
      </c>
      <c r="P93" s="8">
        <f t="shared" si="97"/>
        <v>0</v>
      </c>
      <c r="Q93" s="54">
        <f t="shared" si="97"/>
        <v>0</v>
      </c>
      <c r="R93" s="8">
        <f t="shared" si="97"/>
        <v>0</v>
      </c>
      <c r="S93" s="8">
        <f t="shared" si="97"/>
        <v>0</v>
      </c>
      <c r="T93" s="8">
        <f t="shared" si="97"/>
        <v>0</v>
      </c>
      <c r="U93" s="8">
        <f t="shared" ref="U93:BK93" si="98">U56*46/U$75</f>
        <v>0</v>
      </c>
      <c r="V93" s="8">
        <f t="shared" si="98"/>
        <v>0</v>
      </c>
      <c r="W93" s="8">
        <f t="shared" si="98"/>
        <v>0</v>
      </c>
      <c r="X93" s="8">
        <f t="shared" si="98"/>
        <v>0</v>
      </c>
      <c r="Y93" s="54">
        <f t="shared" si="98"/>
        <v>0</v>
      </c>
      <c r="Z93" s="8">
        <f t="shared" si="98"/>
        <v>0</v>
      </c>
      <c r="AA93" s="54">
        <f t="shared" si="98"/>
        <v>0</v>
      </c>
      <c r="AB93" s="8">
        <f t="shared" si="98"/>
        <v>0</v>
      </c>
      <c r="AC93" s="8">
        <f t="shared" si="98"/>
        <v>0</v>
      </c>
      <c r="AD93" s="8">
        <f t="shared" si="98"/>
        <v>0</v>
      </c>
      <c r="AE93" s="8">
        <f t="shared" si="98"/>
        <v>0</v>
      </c>
      <c r="AF93" s="8">
        <f t="shared" si="98"/>
        <v>0</v>
      </c>
      <c r="AG93" s="8">
        <f t="shared" si="98"/>
        <v>0</v>
      </c>
      <c r="AH93" s="8">
        <f t="shared" si="98"/>
        <v>0</v>
      </c>
      <c r="AI93" s="8">
        <f t="shared" si="98"/>
        <v>0</v>
      </c>
      <c r="AJ93" s="8">
        <f t="shared" si="98"/>
        <v>0</v>
      </c>
      <c r="AK93" s="8">
        <f t="shared" si="98"/>
        <v>0</v>
      </c>
      <c r="AL93" s="8">
        <f t="shared" si="98"/>
        <v>0</v>
      </c>
      <c r="AM93" s="8">
        <f t="shared" si="98"/>
        <v>0</v>
      </c>
      <c r="AN93" s="8">
        <f t="shared" si="98"/>
        <v>0</v>
      </c>
      <c r="AO93" s="8">
        <f t="shared" si="98"/>
        <v>0</v>
      </c>
      <c r="AP93" s="8">
        <f t="shared" si="98"/>
        <v>0</v>
      </c>
      <c r="AQ93" s="8">
        <f t="shared" si="98"/>
        <v>0</v>
      </c>
      <c r="AR93" s="8">
        <f t="shared" si="98"/>
        <v>0</v>
      </c>
      <c r="AS93" s="8">
        <f t="shared" si="98"/>
        <v>0</v>
      </c>
      <c r="AT93" s="8">
        <f t="shared" si="98"/>
        <v>0</v>
      </c>
      <c r="AU93" s="54">
        <f t="shared" si="98"/>
        <v>0</v>
      </c>
      <c r="AV93" s="8">
        <f t="shared" si="98"/>
        <v>0</v>
      </c>
      <c r="AW93" s="8">
        <f t="shared" si="98"/>
        <v>0</v>
      </c>
      <c r="AX93" s="8">
        <f t="shared" si="98"/>
        <v>0</v>
      </c>
      <c r="AY93" s="8">
        <f t="shared" si="98"/>
        <v>0</v>
      </c>
      <c r="AZ93" s="8">
        <f t="shared" si="98"/>
        <v>0</v>
      </c>
      <c r="BA93" s="8">
        <f t="shared" si="98"/>
        <v>0</v>
      </c>
      <c r="BB93" s="8">
        <f t="shared" si="98"/>
        <v>0</v>
      </c>
      <c r="BC93" s="8">
        <f t="shared" si="98"/>
        <v>0</v>
      </c>
      <c r="BD93" s="8">
        <f t="shared" si="98"/>
        <v>0</v>
      </c>
      <c r="BE93" s="8">
        <f t="shared" si="98"/>
        <v>0</v>
      </c>
      <c r="BF93" s="8">
        <f t="shared" si="98"/>
        <v>0</v>
      </c>
      <c r="BG93" s="8">
        <f t="shared" si="98"/>
        <v>0</v>
      </c>
      <c r="BH93" s="8">
        <f t="shared" si="98"/>
        <v>0</v>
      </c>
      <c r="BI93" s="8">
        <f t="shared" si="98"/>
        <v>0</v>
      </c>
      <c r="BJ93" s="8">
        <f t="shared" si="98"/>
        <v>0</v>
      </c>
      <c r="BK93" s="8" t="e">
        <f t="shared" si="98"/>
        <v>#DIV/0!</v>
      </c>
      <c r="BL93" s="8"/>
      <c r="BM93" s="8">
        <f t="shared" si="97"/>
        <v>0</v>
      </c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</row>
    <row r="94" spans="1:78" s="5" customFormat="1">
      <c r="A94" s="4" t="s">
        <v>115</v>
      </c>
      <c r="B94" s="54">
        <f>SUM(B79:B90)</f>
        <v>15.269206347716187</v>
      </c>
      <c r="C94" s="8">
        <f t="shared" ref="C94:BM94" si="99">SUM(C79:C90)</f>
        <v>15.358385419979172</v>
      </c>
      <c r="D94" s="8">
        <f t="shared" si="99"/>
        <v>15.380635834014658</v>
      </c>
      <c r="E94" s="8">
        <f t="shared" si="99"/>
        <v>15.383657117712747</v>
      </c>
      <c r="F94" s="8">
        <f t="shared" si="99"/>
        <v>15.37003032855762</v>
      </c>
      <c r="G94" s="8">
        <f t="shared" si="99"/>
        <v>15.416794796813823</v>
      </c>
      <c r="H94" s="8">
        <f t="shared" si="99"/>
        <v>15.3535923466406</v>
      </c>
      <c r="I94" s="8">
        <f t="shared" si="99"/>
        <v>15.358514213765103</v>
      </c>
      <c r="J94" s="8">
        <f t="shared" si="99"/>
        <v>15.317270828942807</v>
      </c>
      <c r="K94" s="54">
        <f t="shared" si="99"/>
        <v>15.298039943125364</v>
      </c>
      <c r="L94" s="8">
        <f t="shared" si="99"/>
        <v>15.358296771231812</v>
      </c>
      <c r="M94" s="8">
        <f t="shared" si="99"/>
        <v>15.365693165963251</v>
      </c>
      <c r="N94" s="8">
        <f t="shared" si="99"/>
        <v>15.301963693716186</v>
      </c>
      <c r="O94" s="8">
        <f t="shared" si="99"/>
        <v>15.406315111661337</v>
      </c>
      <c r="P94" s="8">
        <f t="shared" si="99"/>
        <v>15.436327591565638</v>
      </c>
      <c r="Q94" s="54">
        <f t="shared" si="99"/>
        <v>15.203262471960423</v>
      </c>
      <c r="R94" s="8">
        <f t="shared" si="99"/>
        <v>15.571269868108008</v>
      </c>
      <c r="S94" s="8">
        <f t="shared" si="99"/>
        <v>15.559782546690597</v>
      </c>
      <c r="T94" s="8">
        <f t="shared" si="99"/>
        <v>15.593431840360934</v>
      </c>
      <c r="U94" s="8">
        <f t="shared" ref="U94:BK94" si="100">SUM(U79:U90)</f>
        <v>15.589081699340854</v>
      </c>
      <c r="V94" s="8">
        <f t="shared" si="100"/>
        <v>15.606951024362989</v>
      </c>
      <c r="W94" s="8">
        <f t="shared" si="100"/>
        <v>15.398841166556386</v>
      </c>
      <c r="X94" s="8">
        <f t="shared" si="100"/>
        <v>15.514166342217123</v>
      </c>
      <c r="Y94" s="54">
        <f t="shared" si="100"/>
        <v>15.388581991275833</v>
      </c>
      <c r="Z94" s="8">
        <f t="shared" si="100"/>
        <v>15.425052364663083</v>
      </c>
      <c r="AA94" s="54">
        <f t="shared" si="100"/>
        <v>15.237623827246502</v>
      </c>
      <c r="AB94" s="8">
        <f t="shared" si="100"/>
        <v>15.477128534845418</v>
      </c>
      <c r="AC94" s="8">
        <f t="shared" si="100"/>
        <v>15.512054200378619</v>
      </c>
      <c r="AD94" s="8">
        <f t="shared" si="100"/>
        <v>15.563227962997939</v>
      </c>
      <c r="AE94" s="8">
        <f t="shared" si="100"/>
        <v>15.585607161086187</v>
      </c>
      <c r="AF94" s="8">
        <f t="shared" si="100"/>
        <v>15.574403538104132</v>
      </c>
      <c r="AG94" s="8">
        <f t="shared" si="100"/>
        <v>15.581906389382537</v>
      </c>
      <c r="AH94" s="8">
        <f t="shared" si="100"/>
        <v>15.55405937650424</v>
      </c>
      <c r="AI94" s="8">
        <f t="shared" si="100"/>
        <v>15.568194700457788</v>
      </c>
      <c r="AJ94" s="8">
        <f t="shared" si="100"/>
        <v>15.542833544467122</v>
      </c>
      <c r="AK94" s="8">
        <f t="shared" si="100"/>
        <v>15.541125221560897</v>
      </c>
      <c r="AL94" s="8">
        <f t="shared" si="100"/>
        <v>15.542707769819698</v>
      </c>
      <c r="AM94" s="8">
        <f t="shared" si="100"/>
        <v>15.528097843730841</v>
      </c>
      <c r="AN94" s="8">
        <f t="shared" si="100"/>
        <v>15.516790706035298</v>
      </c>
      <c r="AO94" s="8">
        <f t="shared" si="100"/>
        <v>15.525477196832258</v>
      </c>
      <c r="AP94" s="8">
        <f t="shared" si="100"/>
        <v>15.366372957681788</v>
      </c>
      <c r="AQ94" s="8">
        <f t="shared" si="100"/>
        <v>15.3123731875417</v>
      </c>
      <c r="AR94" s="8">
        <f t="shared" si="100"/>
        <v>15.368340769203375</v>
      </c>
      <c r="AS94" s="8">
        <f t="shared" si="100"/>
        <v>15.388157302359401</v>
      </c>
      <c r="AT94" s="8">
        <f t="shared" si="100"/>
        <v>15.369168950465367</v>
      </c>
      <c r="AU94" s="54">
        <f t="shared" si="100"/>
        <v>15.297241411218785</v>
      </c>
      <c r="AV94" s="8">
        <f t="shared" si="100"/>
        <v>15.373485235006797</v>
      </c>
      <c r="AW94" s="8">
        <f t="shared" si="100"/>
        <v>15.429813902563827</v>
      </c>
      <c r="AX94" s="8">
        <f t="shared" si="100"/>
        <v>15.216796544637125</v>
      </c>
      <c r="AY94" s="8">
        <f t="shared" si="100"/>
        <v>15.369406062916413</v>
      </c>
      <c r="AZ94" s="8">
        <f t="shared" si="100"/>
        <v>15.366039107519406</v>
      </c>
      <c r="BA94" s="8">
        <f t="shared" si="100"/>
        <v>15.494421744498508</v>
      </c>
      <c r="BB94" s="8">
        <f t="shared" si="100"/>
        <v>15.483463567482199</v>
      </c>
      <c r="BC94" s="8">
        <f t="shared" si="100"/>
        <v>15.532605813998</v>
      </c>
      <c r="BD94" s="8">
        <f t="shared" si="100"/>
        <v>15.497651890635913</v>
      </c>
      <c r="BE94" s="8">
        <f t="shared" si="100"/>
        <v>15.536746921846929</v>
      </c>
      <c r="BF94" s="8">
        <f t="shared" si="100"/>
        <v>15.557222597429288</v>
      </c>
      <c r="BG94" s="8">
        <f t="shared" si="100"/>
        <v>15.590305865784243</v>
      </c>
      <c r="BH94" s="8">
        <f t="shared" si="100"/>
        <v>15.514041136255237</v>
      </c>
      <c r="BI94" s="8">
        <f t="shared" si="100"/>
        <v>15.512740752031737</v>
      </c>
      <c r="BJ94" s="8">
        <f t="shared" si="100"/>
        <v>15.534114614808418</v>
      </c>
      <c r="BK94" s="8" t="e">
        <f t="shared" si="100"/>
        <v>#DIV/0!</v>
      </c>
      <c r="BL94" s="8"/>
      <c r="BM94" s="8">
        <f t="shared" si="99"/>
        <v>15.36137962102387</v>
      </c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spans="1:78" s="5" customFormat="1">
      <c r="A95" s="4"/>
      <c r="B95" s="54"/>
      <c r="C95" s="8"/>
      <c r="D95" s="8"/>
      <c r="E95" s="8"/>
      <c r="F95" s="8"/>
      <c r="G95" s="8"/>
      <c r="H95" s="8"/>
      <c r="I95" s="8"/>
      <c r="J95" s="8"/>
      <c r="K95" s="54"/>
      <c r="L95" s="8"/>
      <c r="M95" s="8"/>
      <c r="N95" s="8"/>
      <c r="O95" s="8"/>
      <c r="P95" s="8"/>
      <c r="Q95" s="54"/>
      <c r="R95" s="8"/>
      <c r="S95" s="8"/>
      <c r="T95" s="8"/>
      <c r="U95" s="8"/>
      <c r="V95" s="8"/>
      <c r="W95" s="8"/>
      <c r="X95" s="8"/>
      <c r="Y95" s="54"/>
      <c r="Z95" s="8"/>
      <c r="AA95" s="54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54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</row>
    <row r="96" spans="1:78" s="5" customFormat="1">
      <c r="A96" s="4" t="s">
        <v>132</v>
      </c>
      <c r="B96" s="54"/>
      <c r="C96" s="8"/>
      <c r="D96" s="8"/>
      <c r="E96" s="8"/>
      <c r="F96" s="8"/>
      <c r="G96" s="8"/>
      <c r="H96" s="8"/>
      <c r="I96" s="8"/>
      <c r="J96" s="8"/>
      <c r="K96" s="54"/>
      <c r="L96" s="8"/>
      <c r="M96" s="8"/>
      <c r="N96" s="8"/>
      <c r="O96" s="8"/>
      <c r="P96" s="8"/>
      <c r="Q96" s="54"/>
      <c r="R96" s="8"/>
      <c r="S96" s="8"/>
      <c r="T96" s="8"/>
      <c r="U96" s="8"/>
      <c r="V96" s="8"/>
      <c r="W96" s="8"/>
      <c r="X96" s="8"/>
      <c r="Y96" s="54"/>
      <c r="Z96" s="8"/>
      <c r="AA96" s="54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54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 spans="1:78" s="5" customFormat="1">
      <c r="A97" s="4"/>
      <c r="B97" s="54"/>
      <c r="C97" s="8"/>
      <c r="D97" s="8"/>
      <c r="E97" s="8"/>
      <c r="F97" s="8"/>
      <c r="G97" s="8"/>
      <c r="H97" s="8"/>
      <c r="I97" s="8"/>
      <c r="J97" s="8"/>
      <c r="K97" s="54"/>
      <c r="L97" s="8"/>
      <c r="M97" s="8"/>
      <c r="N97" s="8"/>
      <c r="O97" s="8"/>
      <c r="P97" s="8"/>
      <c r="Q97" s="54"/>
      <c r="R97" s="8"/>
      <c r="S97" s="8"/>
      <c r="T97" s="8"/>
      <c r="U97" s="8"/>
      <c r="V97" s="8"/>
      <c r="W97" s="8"/>
      <c r="X97" s="8"/>
      <c r="Y97" s="54"/>
      <c r="Z97" s="8"/>
      <c r="AA97" s="54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54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</row>
    <row r="98" spans="1:78" s="5" customFormat="1">
      <c r="A98" s="4" t="s">
        <v>264</v>
      </c>
      <c r="B98" s="54">
        <f>(B79/B$94)*$B4*B$57/$C4</f>
        <v>46.44</v>
      </c>
      <c r="C98" s="8">
        <f t="shared" ref="C98:BM98" si="101">(C79/C$94)*$B4*C$57/$C4</f>
        <v>45.220000000000006</v>
      </c>
      <c r="D98" s="8">
        <f t="shared" si="101"/>
        <v>44.980000000000018</v>
      </c>
      <c r="E98" s="8">
        <f t="shared" si="101"/>
        <v>44.030000000000015</v>
      </c>
      <c r="F98" s="8">
        <f t="shared" si="101"/>
        <v>44.95</v>
      </c>
      <c r="G98" s="8">
        <f t="shared" si="101"/>
        <v>44.230000000000004</v>
      </c>
      <c r="H98" s="8">
        <f t="shared" si="101"/>
        <v>44.960000000000015</v>
      </c>
      <c r="I98" s="8">
        <f t="shared" si="101"/>
        <v>45.330000000000005</v>
      </c>
      <c r="J98" s="8">
        <f t="shared" si="101"/>
        <v>45.95</v>
      </c>
      <c r="K98" s="54">
        <f t="shared" si="101"/>
        <v>44.190000000000005</v>
      </c>
      <c r="L98" s="8">
        <f t="shared" si="101"/>
        <v>45.63000000000001</v>
      </c>
      <c r="M98" s="8">
        <f t="shared" si="101"/>
        <v>44.73</v>
      </c>
      <c r="N98" s="8">
        <f t="shared" si="101"/>
        <v>45.720000000000006</v>
      </c>
      <c r="O98" s="8">
        <f t="shared" si="101"/>
        <v>44.31</v>
      </c>
      <c r="P98" s="8">
        <f t="shared" si="101"/>
        <v>44.7</v>
      </c>
      <c r="Q98" s="54">
        <f t="shared" si="101"/>
        <v>51.090000000000025</v>
      </c>
      <c r="R98" s="8">
        <f t="shared" si="101"/>
        <v>42.91</v>
      </c>
      <c r="S98" s="8">
        <f t="shared" si="101"/>
        <v>42.89</v>
      </c>
      <c r="T98" s="8">
        <f t="shared" si="101"/>
        <v>42.61</v>
      </c>
      <c r="U98" s="8">
        <f t="shared" ref="U98:BK98" si="102">(U79/U$94)*$B4*U$57/$C4</f>
        <v>42.069999999999986</v>
      </c>
      <c r="V98" s="8">
        <f t="shared" si="102"/>
        <v>42.23</v>
      </c>
      <c r="W98" s="8">
        <f t="shared" si="102"/>
        <v>45.550000000000004</v>
      </c>
      <c r="X98" s="8">
        <f t="shared" si="102"/>
        <v>44.269999999999996</v>
      </c>
      <c r="Y98" s="54">
        <f t="shared" si="102"/>
        <v>41.03</v>
      </c>
      <c r="Z98" s="8">
        <f t="shared" si="102"/>
        <v>44.42</v>
      </c>
      <c r="AA98" s="54">
        <f t="shared" si="102"/>
        <v>46.990000000000016</v>
      </c>
      <c r="AB98" s="8">
        <f t="shared" si="102"/>
        <v>44.269999999999996</v>
      </c>
      <c r="AC98" s="8">
        <f t="shared" si="102"/>
        <v>43.540000000000006</v>
      </c>
      <c r="AD98" s="8">
        <f t="shared" si="102"/>
        <v>42.809999999999988</v>
      </c>
      <c r="AE98" s="8">
        <f t="shared" si="102"/>
        <v>42.5</v>
      </c>
      <c r="AF98" s="8">
        <f t="shared" si="102"/>
        <v>43.06</v>
      </c>
      <c r="AG98" s="8">
        <f t="shared" si="102"/>
        <v>42.370000000000005</v>
      </c>
      <c r="AH98" s="8">
        <f t="shared" si="102"/>
        <v>43.38</v>
      </c>
      <c r="AI98" s="8">
        <f t="shared" si="102"/>
        <v>42.26</v>
      </c>
      <c r="AJ98" s="8">
        <f t="shared" si="102"/>
        <v>43.27</v>
      </c>
      <c r="AK98" s="8">
        <f t="shared" si="102"/>
        <v>43.920000000000009</v>
      </c>
      <c r="AL98" s="8">
        <f t="shared" si="102"/>
        <v>43.510000000000005</v>
      </c>
      <c r="AM98" s="8">
        <f t="shared" si="102"/>
        <v>44.27</v>
      </c>
      <c r="AN98" s="8">
        <f t="shared" si="102"/>
        <v>44.190000000000005</v>
      </c>
      <c r="AO98" s="8">
        <f t="shared" si="102"/>
        <v>44.269999999999996</v>
      </c>
      <c r="AP98" s="8">
        <f t="shared" si="102"/>
        <v>44.290000000000006</v>
      </c>
      <c r="AQ98" s="8">
        <f t="shared" si="102"/>
        <v>44.56</v>
      </c>
      <c r="AR98" s="8">
        <f t="shared" si="102"/>
        <v>44.179999999999986</v>
      </c>
      <c r="AS98" s="8">
        <f t="shared" si="102"/>
        <v>44.01</v>
      </c>
      <c r="AT98" s="8">
        <f t="shared" si="102"/>
        <v>43.91</v>
      </c>
      <c r="AU98" s="54">
        <f t="shared" si="102"/>
        <v>45.76</v>
      </c>
      <c r="AV98" s="8">
        <f t="shared" si="102"/>
        <v>43.95000000000001</v>
      </c>
      <c r="AW98" s="8">
        <f t="shared" si="102"/>
        <v>42.920000000000009</v>
      </c>
      <c r="AX98" s="8">
        <f t="shared" si="102"/>
        <v>43.27000000000001</v>
      </c>
      <c r="AY98" s="8">
        <f t="shared" si="102"/>
        <v>43.81</v>
      </c>
      <c r="AZ98" s="8">
        <f t="shared" si="102"/>
        <v>44.32</v>
      </c>
      <c r="BA98" s="8">
        <f t="shared" si="102"/>
        <v>43.24</v>
      </c>
      <c r="BB98" s="8">
        <f t="shared" si="102"/>
        <v>43.13000000000001</v>
      </c>
      <c r="BC98" s="8">
        <f t="shared" si="102"/>
        <v>42.29999999999999</v>
      </c>
      <c r="BD98" s="8">
        <f t="shared" si="102"/>
        <v>42.86</v>
      </c>
      <c r="BE98" s="8">
        <f t="shared" si="102"/>
        <v>42.82</v>
      </c>
      <c r="BF98" s="8">
        <f t="shared" si="102"/>
        <v>41.750000000000007</v>
      </c>
      <c r="BG98" s="8">
        <f t="shared" si="102"/>
        <v>41.260000000000005</v>
      </c>
      <c r="BH98" s="8">
        <f t="shared" si="102"/>
        <v>42.62</v>
      </c>
      <c r="BI98" s="8">
        <f t="shared" si="102"/>
        <v>41.500000000000014</v>
      </c>
      <c r="BJ98" s="8">
        <f t="shared" si="102"/>
        <v>41.82</v>
      </c>
      <c r="BK98" s="8" t="e">
        <f t="shared" si="102"/>
        <v>#DIV/0!</v>
      </c>
      <c r="BL98" s="8"/>
      <c r="BM98" s="8">
        <f t="shared" si="101"/>
        <v>45.017499999999984</v>
      </c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 spans="1:78" s="5" customFormat="1">
      <c r="A99" s="4" t="s">
        <v>265</v>
      </c>
      <c r="B99" s="54">
        <f>(B80/B$94)*$B5*B$57/$C5</f>
        <v>0.43999999999999995</v>
      </c>
      <c r="C99" s="8">
        <f t="shared" ref="C99:BM99" si="103">(C80/C$94)*$B5*C$57/$C5</f>
        <v>0.55000000000000016</v>
      </c>
      <c r="D99" s="8">
        <f t="shared" si="103"/>
        <v>0.57000000000000017</v>
      </c>
      <c r="E99" s="8">
        <f t="shared" si="103"/>
        <v>0.39000000000000012</v>
      </c>
      <c r="F99" s="8">
        <f t="shared" si="103"/>
        <v>0.62</v>
      </c>
      <c r="G99" s="8">
        <f t="shared" si="103"/>
        <v>0.57999999999999996</v>
      </c>
      <c r="H99" s="8">
        <f t="shared" si="103"/>
        <v>0.6000000000000002</v>
      </c>
      <c r="I99" s="8">
        <f t="shared" si="103"/>
        <v>0.6100000000000001</v>
      </c>
      <c r="J99" s="8">
        <f t="shared" si="103"/>
        <v>0.48999999999999994</v>
      </c>
      <c r="K99" s="54">
        <f t="shared" si="103"/>
        <v>0.44000000000000006</v>
      </c>
      <c r="L99" s="8">
        <f t="shared" si="103"/>
        <v>0.60000000000000009</v>
      </c>
      <c r="M99" s="8">
        <f t="shared" si="103"/>
        <v>0.62999999999999989</v>
      </c>
      <c r="N99" s="8">
        <f t="shared" si="103"/>
        <v>0.63</v>
      </c>
      <c r="O99" s="8">
        <f t="shared" si="103"/>
        <v>0.79</v>
      </c>
      <c r="P99" s="8">
        <f t="shared" si="103"/>
        <v>1.3700000000000003</v>
      </c>
      <c r="Q99" s="54">
        <f t="shared" si="103"/>
        <v>8.0000000000000016E-2</v>
      </c>
      <c r="R99" s="8">
        <f t="shared" si="103"/>
        <v>1.6300000000000006</v>
      </c>
      <c r="S99" s="8">
        <f t="shared" si="103"/>
        <v>1.5900000000000005</v>
      </c>
      <c r="T99" s="8">
        <f t="shared" si="103"/>
        <v>1.59</v>
      </c>
      <c r="U99" s="8">
        <f t="shared" ref="U99:BK99" si="104">(U80/U$94)*$B5*U$57/$C5</f>
        <v>1.5499999999999996</v>
      </c>
      <c r="V99" s="8">
        <f t="shared" si="104"/>
        <v>1.4899999999999998</v>
      </c>
      <c r="W99" s="8">
        <f t="shared" si="104"/>
        <v>0.8500000000000002</v>
      </c>
      <c r="X99" s="8">
        <f t="shared" si="104"/>
        <v>0.85999999999999988</v>
      </c>
      <c r="Y99" s="54">
        <f t="shared" si="104"/>
        <v>1.24</v>
      </c>
      <c r="Z99" s="8">
        <f t="shared" si="104"/>
        <v>0.63000000000000012</v>
      </c>
      <c r="AA99" s="54">
        <f t="shared" si="104"/>
        <v>0.92000000000000026</v>
      </c>
      <c r="AB99" s="8">
        <f t="shared" si="104"/>
        <v>2.2399999999999998</v>
      </c>
      <c r="AC99" s="8">
        <f t="shared" si="104"/>
        <v>2.48</v>
      </c>
      <c r="AD99" s="8">
        <f t="shared" si="104"/>
        <v>2.5199999999999996</v>
      </c>
      <c r="AE99" s="8">
        <f t="shared" si="104"/>
        <v>2.5300000000000002</v>
      </c>
      <c r="AF99" s="8">
        <f t="shared" si="104"/>
        <v>2.5</v>
      </c>
      <c r="AG99" s="8">
        <f t="shared" si="104"/>
        <v>2.6300000000000003</v>
      </c>
      <c r="AH99" s="8">
        <f t="shared" si="104"/>
        <v>2.34</v>
      </c>
      <c r="AI99" s="8">
        <f t="shared" si="104"/>
        <v>2.6300000000000003</v>
      </c>
      <c r="AJ99" s="8">
        <f t="shared" si="104"/>
        <v>2.36</v>
      </c>
      <c r="AK99" s="8">
        <f t="shared" si="104"/>
        <v>0.77000000000000013</v>
      </c>
      <c r="AL99" s="8">
        <f t="shared" si="104"/>
        <v>0.90000000000000013</v>
      </c>
      <c r="AM99" s="8">
        <f t="shared" si="104"/>
        <v>0.78</v>
      </c>
      <c r="AN99" s="8">
        <f t="shared" si="104"/>
        <v>0.7200000000000002</v>
      </c>
      <c r="AO99" s="8">
        <f t="shared" si="104"/>
        <v>0.77999999999999992</v>
      </c>
      <c r="AP99" s="8">
        <f t="shared" si="104"/>
        <v>0.87000000000000011</v>
      </c>
      <c r="AQ99" s="8">
        <f t="shared" si="104"/>
        <v>0.95</v>
      </c>
      <c r="AR99" s="8">
        <f t="shared" si="104"/>
        <v>0.87999999999999967</v>
      </c>
      <c r="AS99" s="8">
        <f t="shared" si="104"/>
        <v>0.97</v>
      </c>
      <c r="AT99" s="8">
        <f t="shared" si="104"/>
        <v>0.92999999999999983</v>
      </c>
      <c r="AU99" s="54">
        <f t="shared" si="104"/>
        <v>0.6</v>
      </c>
      <c r="AV99" s="8">
        <f t="shared" si="104"/>
        <v>1.05</v>
      </c>
      <c r="AW99" s="8">
        <f t="shared" si="104"/>
        <v>0.80000000000000016</v>
      </c>
      <c r="AX99" s="8">
        <f t="shared" si="104"/>
        <v>0.76000000000000023</v>
      </c>
      <c r="AY99" s="8">
        <f t="shared" si="104"/>
        <v>1.0399999999999998</v>
      </c>
      <c r="AZ99" s="8">
        <f t="shared" si="104"/>
        <v>0.91999999999999993</v>
      </c>
      <c r="BA99" s="8">
        <f t="shared" si="104"/>
        <v>1.4899999999999998</v>
      </c>
      <c r="BB99" s="8">
        <f t="shared" si="104"/>
        <v>1.5100000000000005</v>
      </c>
      <c r="BC99" s="8">
        <f t="shared" si="104"/>
        <v>1.4399999999999997</v>
      </c>
      <c r="BD99" s="8">
        <f t="shared" si="104"/>
        <v>1.3800000000000001</v>
      </c>
      <c r="BE99" s="8">
        <f t="shared" si="104"/>
        <v>1.5599999999999998</v>
      </c>
      <c r="BF99" s="8">
        <f t="shared" si="104"/>
        <v>1.82</v>
      </c>
      <c r="BG99" s="8">
        <f t="shared" si="104"/>
        <v>1.87</v>
      </c>
      <c r="BH99" s="8">
        <f t="shared" si="104"/>
        <v>1.57</v>
      </c>
      <c r="BI99" s="8">
        <f t="shared" si="104"/>
        <v>1.9800000000000004</v>
      </c>
      <c r="BJ99" s="8">
        <f t="shared" si="104"/>
        <v>1.94</v>
      </c>
      <c r="BK99" s="8" t="e">
        <f t="shared" si="104"/>
        <v>#DIV/0!</v>
      </c>
      <c r="BL99" s="8"/>
      <c r="BM99" s="8">
        <f t="shared" si="103"/>
        <v>0.54499999999999993</v>
      </c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</row>
    <row r="100" spans="1:78" s="5" customFormat="1">
      <c r="A100" s="4" t="s">
        <v>113</v>
      </c>
      <c r="B100" s="54">
        <f>(B81/B$94)*$B6*B$57/$C6</f>
        <v>5.000000000000001E-2</v>
      </c>
      <c r="C100" s="8">
        <f t="shared" ref="C100:BM100" si="105">(C81/C$94)*$B6*C$57/$C6</f>
        <v>0.04</v>
      </c>
      <c r="D100" s="8">
        <f t="shared" si="105"/>
        <v>3.0000000000000013E-2</v>
      </c>
      <c r="E100" s="8">
        <f t="shared" si="105"/>
        <v>5.0000000000000017E-2</v>
      </c>
      <c r="F100" s="8">
        <f t="shared" si="105"/>
        <v>3.0000000000000002E-2</v>
      </c>
      <c r="G100" s="8">
        <f t="shared" si="105"/>
        <v>2.0000000000000004E-2</v>
      </c>
      <c r="H100" s="8">
        <f t="shared" si="105"/>
        <v>7.0000000000000034E-2</v>
      </c>
      <c r="I100" s="8">
        <f t="shared" si="105"/>
        <v>0.05</v>
      </c>
      <c r="J100" s="8">
        <f t="shared" si="105"/>
        <v>0.06</v>
      </c>
      <c r="K100" s="54">
        <f t="shared" si="105"/>
        <v>1.0000000000000004E-2</v>
      </c>
      <c r="L100" s="8">
        <f t="shared" si="105"/>
        <v>0.05</v>
      </c>
      <c r="M100" s="8">
        <f t="shared" si="105"/>
        <v>3.9999999999999994E-2</v>
      </c>
      <c r="N100" s="8">
        <f t="shared" si="105"/>
        <v>6.0000000000000012E-2</v>
      </c>
      <c r="O100" s="8">
        <f t="shared" si="105"/>
        <v>4.0000000000000008E-2</v>
      </c>
      <c r="P100" s="8">
        <f t="shared" si="105"/>
        <v>0.09</v>
      </c>
      <c r="Q100" s="54">
        <f t="shared" si="105"/>
        <v>2.0000000000000004E-2</v>
      </c>
      <c r="R100" s="8">
        <f t="shared" si="105"/>
        <v>0.11000000000000001</v>
      </c>
      <c r="S100" s="8">
        <f t="shared" si="105"/>
        <v>0.11000000000000001</v>
      </c>
      <c r="T100" s="8">
        <f t="shared" si="105"/>
        <v>9.9999999999999992E-2</v>
      </c>
      <c r="U100" s="8">
        <f t="shared" ref="U100:BK100" si="106">(U81/U$94)*$B6*U$57/$C6</f>
        <v>0.10999999999999999</v>
      </c>
      <c r="V100" s="8">
        <f t="shared" si="106"/>
        <v>9.9999999999999992E-2</v>
      </c>
      <c r="W100" s="8">
        <f t="shared" si="106"/>
        <v>7.0000000000000021E-2</v>
      </c>
      <c r="X100" s="8">
        <f t="shared" si="106"/>
        <v>7.0000000000000007E-2</v>
      </c>
      <c r="Y100" s="54">
        <f t="shared" si="106"/>
        <v>0.17</v>
      </c>
      <c r="Z100" s="8">
        <f t="shared" si="106"/>
        <v>0.09</v>
      </c>
      <c r="AA100" s="54">
        <f t="shared" si="106"/>
        <v>9.0000000000000038E-2</v>
      </c>
      <c r="AB100" s="8">
        <f t="shared" si="106"/>
        <v>0.11</v>
      </c>
      <c r="AC100" s="8">
        <f t="shared" si="106"/>
        <v>0.25</v>
      </c>
      <c r="AD100" s="8">
        <f t="shared" si="106"/>
        <v>0.22999999999999998</v>
      </c>
      <c r="AE100" s="8">
        <f t="shared" si="106"/>
        <v>0.11000000000000001</v>
      </c>
      <c r="AF100" s="8">
        <f t="shared" si="106"/>
        <v>0.15</v>
      </c>
      <c r="AG100" s="8">
        <f t="shared" si="106"/>
        <v>6.0000000000000012E-2</v>
      </c>
      <c r="AH100" s="8">
        <f t="shared" si="106"/>
        <v>0.02</v>
      </c>
      <c r="AI100" s="8">
        <f t="shared" si="106"/>
        <v>0.05</v>
      </c>
      <c r="AJ100" s="8">
        <f t="shared" si="106"/>
        <v>4.0000000000000015E-2</v>
      </c>
      <c r="AK100" s="8">
        <f t="shared" si="106"/>
        <v>2.0000000000000004E-2</v>
      </c>
      <c r="AL100" s="8">
        <f t="shared" si="106"/>
        <v>2.0000000000000004E-2</v>
      </c>
      <c r="AM100" s="8">
        <f t="shared" si="106"/>
        <v>6.0000000000000005E-2</v>
      </c>
      <c r="AN100" s="8">
        <f t="shared" si="106"/>
        <v>7.0000000000000034E-2</v>
      </c>
      <c r="AO100" s="8">
        <f t="shared" si="106"/>
        <v>6.9999999999999993E-2</v>
      </c>
      <c r="AP100" s="8">
        <f t="shared" si="106"/>
        <v>5.000000000000001E-2</v>
      </c>
      <c r="AQ100" s="8">
        <f t="shared" si="106"/>
        <v>5.000000000000001E-2</v>
      </c>
      <c r="AR100" s="8">
        <f t="shared" si="106"/>
        <v>2.9999999999999992E-2</v>
      </c>
      <c r="AS100" s="8">
        <f t="shared" si="106"/>
        <v>3.0000000000000006E-2</v>
      </c>
      <c r="AT100" s="8">
        <f t="shared" si="106"/>
        <v>0.02</v>
      </c>
      <c r="AU100" s="54">
        <f t="shared" si="106"/>
        <v>2.9999999999999992E-2</v>
      </c>
      <c r="AV100" s="8">
        <f t="shared" si="106"/>
        <v>2.0000000000000004E-2</v>
      </c>
      <c r="AW100" s="8">
        <f t="shared" si="106"/>
        <v>0</v>
      </c>
      <c r="AX100" s="8">
        <f t="shared" si="106"/>
        <v>3.0000000000000006E-2</v>
      </c>
      <c r="AY100" s="8">
        <f t="shared" si="106"/>
        <v>0.05</v>
      </c>
      <c r="AZ100" s="8">
        <f t="shared" si="106"/>
        <v>0.02</v>
      </c>
      <c r="BA100" s="8">
        <f t="shared" si="106"/>
        <v>1.9999999999999997E-2</v>
      </c>
      <c r="BB100" s="8">
        <f t="shared" si="106"/>
        <v>2.0000000000000004E-2</v>
      </c>
      <c r="BC100" s="8">
        <f t="shared" si="106"/>
        <v>2.9999999999999995E-2</v>
      </c>
      <c r="BD100" s="8">
        <f t="shared" si="106"/>
        <v>2.0000000000000004E-2</v>
      </c>
      <c r="BE100" s="8">
        <f t="shared" si="106"/>
        <v>0.01</v>
      </c>
      <c r="BF100" s="8">
        <f t="shared" si="106"/>
        <v>3.0000000000000006E-2</v>
      </c>
      <c r="BG100" s="8">
        <f t="shared" si="106"/>
        <v>0</v>
      </c>
      <c r="BH100" s="8">
        <f t="shared" si="106"/>
        <v>3.0000000000000002E-2</v>
      </c>
      <c r="BI100" s="8">
        <f t="shared" si="106"/>
        <v>2.0000000000000011E-2</v>
      </c>
      <c r="BJ100" s="8">
        <f t="shared" si="106"/>
        <v>0.01</v>
      </c>
      <c r="BK100" s="8" t="e">
        <f t="shared" si="106"/>
        <v>#DIV/0!</v>
      </c>
      <c r="BL100" s="8"/>
      <c r="BM100" s="8">
        <f t="shared" si="105"/>
        <v>4.2499999999999989E-2</v>
      </c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 spans="1:78" s="5" customFormat="1">
      <c r="A101" s="4" t="s">
        <v>266</v>
      </c>
      <c r="B101" s="54">
        <f>(B82/B$94)*$B7*B$57/$C7</f>
        <v>9.56</v>
      </c>
      <c r="C101" s="8">
        <f t="shared" ref="C101:BM101" si="107">(C82/C$94)*$B7*C$57/$C7</f>
        <v>11.209999999999999</v>
      </c>
      <c r="D101" s="8">
        <f t="shared" si="107"/>
        <v>11.780000000000003</v>
      </c>
      <c r="E101" s="8">
        <f t="shared" si="107"/>
        <v>11.730000000000004</v>
      </c>
      <c r="F101" s="8">
        <f t="shared" si="107"/>
        <v>11.480000000000002</v>
      </c>
      <c r="G101" s="8">
        <f t="shared" si="107"/>
        <v>11.91</v>
      </c>
      <c r="H101" s="8">
        <f t="shared" si="107"/>
        <v>11.540000000000006</v>
      </c>
      <c r="I101" s="8">
        <f t="shared" si="107"/>
        <v>11.44</v>
      </c>
      <c r="J101" s="8">
        <f t="shared" si="107"/>
        <v>10.869999999999997</v>
      </c>
      <c r="K101" s="54">
        <f t="shared" si="107"/>
        <v>9.2700000000000031</v>
      </c>
      <c r="L101" s="8">
        <f t="shared" si="107"/>
        <v>11.370000000000001</v>
      </c>
      <c r="M101" s="8">
        <f t="shared" si="107"/>
        <v>11.74</v>
      </c>
      <c r="N101" s="8">
        <f t="shared" si="107"/>
        <v>11.600000000000001</v>
      </c>
      <c r="O101" s="8">
        <f t="shared" si="107"/>
        <v>12.230000000000002</v>
      </c>
      <c r="P101" s="8">
        <f t="shared" si="107"/>
        <v>9.49</v>
      </c>
      <c r="Q101" s="54">
        <f t="shared" si="107"/>
        <v>4.8100000000000014</v>
      </c>
      <c r="R101" s="8">
        <f t="shared" si="107"/>
        <v>11.310000000000002</v>
      </c>
      <c r="S101" s="8">
        <f t="shared" si="107"/>
        <v>11.450000000000001</v>
      </c>
      <c r="T101" s="8">
        <f t="shared" si="107"/>
        <v>11.289999999999997</v>
      </c>
      <c r="U101" s="8">
        <f t="shared" ref="U101:BK101" si="108">(U82/U$94)*$B7*U$57/$C7</f>
        <v>11.809999999999999</v>
      </c>
      <c r="V101" s="8">
        <f t="shared" si="108"/>
        <v>11.960000000000003</v>
      </c>
      <c r="W101" s="8">
        <f t="shared" si="108"/>
        <v>8.35</v>
      </c>
      <c r="X101" s="8">
        <f t="shared" si="108"/>
        <v>10.17</v>
      </c>
      <c r="Y101" s="54">
        <f t="shared" si="108"/>
        <v>15.090000000000002</v>
      </c>
      <c r="Z101" s="8">
        <f t="shared" si="108"/>
        <v>11.22</v>
      </c>
      <c r="AA101" s="54">
        <f t="shared" si="108"/>
        <v>9.4400000000000013</v>
      </c>
      <c r="AB101" s="8">
        <f t="shared" si="108"/>
        <v>11.109999999999998</v>
      </c>
      <c r="AC101" s="8">
        <f t="shared" si="108"/>
        <v>12.36</v>
      </c>
      <c r="AD101" s="8">
        <f t="shared" si="108"/>
        <v>12.319999999999999</v>
      </c>
      <c r="AE101" s="8">
        <f t="shared" si="108"/>
        <v>12.530000000000001</v>
      </c>
      <c r="AF101" s="8">
        <f t="shared" si="108"/>
        <v>11.910000000000004</v>
      </c>
      <c r="AG101" s="8">
        <f t="shared" si="108"/>
        <v>12.980000000000006</v>
      </c>
      <c r="AH101" s="8">
        <f t="shared" si="108"/>
        <v>12.96</v>
      </c>
      <c r="AI101" s="8">
        <f t="shared" si="108"/>
        <v>12.61</v>
      </c>
      <c r="AJ101" s="8">
        <f t="shared" si="108"/>
        <v>12.260000000000002</v>
      </c>
      <c r="AK101" s="8">
        <f t="shared" si="108"/>
        <v>12.93</v>
      </c>
      <c r="AL101" s="8">
        <f t="shared" si="108"/>
        <v>13.26</v>
      </c>
      <c r="AM101" s="8">
        <f t="shared" si="108"/>
        <v>12.939999999999998</v>
      </c>
      <c r="AN101" s="8">
        <f t="shared" si="108"/>
        <v>12.750000000000002</v>
      </c>
      <c r="AO101" s="8">
        <f t="shared" si="108"/>
        <v>12.689999999999998</v>
      </c>
      <c r="AP101" s="8">
        <f t="shared" si="108"/>
        <v>10.06</v>
      </c>
      <c r="AQ101" s="8">
        <f t="shared" si="108"/>
        <v>10.340000000000003</v>
      </c>
      <c r="AR101" s="8">
        <f t="shared" si="108"/>
        <v>10.359999999999996</v>
      </c>
      <c r="AS101" s="8">
        <f t="shared" si="108"/>
        <v>10.380000000000003</v>
      </c>
      <c r="AT101" s="8">
        <f t="shared" si="108"/>
        <v>10.18</v>
      </c>
      <c r="AU101" s="54">
        <f t="shared" si="108"/>
        <v>8.5799999999999983</v>
      </c>
      <c r="AV101" s="8">
        <f t="shared" si="108"/>
        <v>10.35</v>
      </c>
      <c r="AW101" s="8">
        <f t="shared" si="108"/>
        <v>10.960000000000004</v>
      </c>
      <c r="AX101" s="8">
        <f t="shared" si="108"/>
        <v>11.960000000000004</v>
      </c>
      <c r="AY101" s="8">
        <f t="shared" si="108"/>
        <v>10.309999999999999</v>
      </c>
      <c r="AZ101" s="8">
        <f t="shared" si="108"/>
        <v>10.249999999999998</v>
      </c>
      <c r="BA101" s="8">
        <f t="shared" si="108"/>
        <v>11.509999999999998</v>
      </c>
      <c r="BB101" s="8">
        <f t="shared" si="108"/>
        <v>11.740000000000004</v>
      </c>
      <c r="BC101" s="8">
        <f t="shared" si="108"/>
        <v>11.15</v>
      </c>
      <c r="BD101" s="8">
        <f t="shared" si="108"/>
        <v>11.970000000000002</v>
      </c>
      <c r="BE101" s="8">
        <f t="shared" si="108"/>
        <v>11.789999999999997</v>
      </c>
      <c r="BF101" s="8">
        <f t="shared" si="108"/>
        <v>12.130000000000003</v>
      </c>
      <c r="BG101" s="8">
        <f t="shared" si="108"/>
        <v>12.220000000000002</v>
      </c>
      <c r="BH101" s="8">
        <f t="shared" si="108"/>
        <v>11.660000000000002</v>
      </c>
      <c r="BI101" s="8">
        <f t="shared" si="108"/>
        <v>12.080000000000004</v>
      </c>
      <c r="BJ101" s="8">
        <f t="shared" si="108"/>
        <v>11.73</v>
      </c>
      <c r="BK101" s="8" t="e">
        <f t="shared" si="108"/>
        <v>#DIV/0!</v>
      </c>
      <c r="BL101" s="8"/>
      <c r="BM101" s="8">
        <f t="shared" si="107"/>
        <v>11.331249999999997</v>
      </c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</row>
    <row r="102" spans="1:78" s="5" customFormat="1">
      <c r="A102" s="4" t="s">
        <v>133</v>
      </c>
      <c r="B102" s="54">
        <f>(B83/B$94)*$B15*B$57/$C15</f>
        <v>3.0626889074460695</v>
      </c>
      <c r="C102" s="8">
        <f t="shared" ref="C102:BM102" si="109">(C83/C$94)*$B15*C$57/$C15</f>
        <v>2.9871218371607515</v>
      </c>
      <c r="D102" s="8">
        <f t="shared" si="109"/>
        <v>3.2227132915796823</v>
      </c>
      <c r="E102" s="8">
        <f t="shared" si="109"/>
        <v>3.2471614613778721</v>
      </c>
      <c r="F102" s="8">
        <f t="shared" si="109"/>
        <v>3.0893596381350039</v>
      </c>
      <c r="G102" s="8">
        <f t="shared" si="109"/>
        <v>3.2560517049408499</v>
      </c>
      <c r="H102" s="8">
        <f t="shared" si="109"/>
        <v>2.996012080723732</v>
      </c>
      <c r="I102" s="8">
        <f t="shared" si="109"/>
        <v>3.1360334168406405</v>
      </c>
      <c r="J102" s="8">
        <f t="shared" si="109"/>
        <v>3.067134029227558</v>
      </c>
      <c r="K102" s="54">
        <f t="shared" si="109"/>
        <v>3.2427163395963818</v>
      </c>
      <c r="L102" s="8">
        <f t="shared" si="109"/>
        <v>3.0493535421016014</v>
      </c>
      <c r="M102" s="8">
        <f t="shared" si="109"/>
        <v>3.0871370772442601</v>
      </c>
      <c r="N102" s="8">
        <f t="shared" si="109"/>
        <v>3.087137077244261</v>
      </c>
      <c r="O102" s="8">
        <f t="shared" si="109"/>
        <v>3.2116004871259576</v>
      </c>
      <c r="P102" s="8">
        <f t="shared" si="109"/>
        <v>2.9848992762700077</v>
      </c>
      <c r="Q102" s="54">
        <f t="shared" si="109"/>
        <v>2.2336736951983309</v>
      </c>
      <c r="R102" s="8">
        <f t="shared" si="109"/>
        <v>3.1849297564370227</v>
      </c>
      <c r="S102" s="8">
        <f t="shared" si="109"/>
        <v>3.171594391092555</v>
      </c>
      <c r="T102" s="8">
        <f t="shared" si="109"/>
        <v>3.2627193876130827</v>
      </c>
      <c r="U102" s="8">
        <f t="shared" ref="U102:BK102" si="110">(U83/U$94)*$B15*U$57/$C15</f>
        <v>3.2849449965205291</v>
      </c>
      <c r="V102" s="8">
        <f t="shared" si="110"/>
        <v>3.2293809742519142</v>
      </c>
      <c r="W102" s="8">
        <f t="shared" si="110"/>
        <v>3.2049328044537244</v>
      </c>
      <c r="X102" s="8">
        <f t="shared" si="110"/>
        <v>3.1226980514961733</v>
      </c>
      <c r="Y102" s="54">
        <f t="shared" si="110"/>
        <v>3.0738017118997916</v>
      </c>
      <c r="Z102" s="8">
        <f t="shared" si="110"/>
        <v>3.0604663465553235</v>
      </c>
      <c r="AA102" s="54">
        <f t="shared" si="110"/>
        <v>2.5692803897007668</v>
      </c>
      <c r="AB102" s="8">
        <f t="shared" si="110"/>
        <v>2.9493383020180932</v>
      </c>
      <c r="AC102" s="8">
        <f t="shared" si="110"/>
        <v>2.7048566040361868</v>
      </c>
      <c r="AD102" s="8">
        <f t="shared" si="110"/>
        <v>2.833765135699374</v>
      </c>
      <c r="AE102" s="8">
        <f t="shared" si="110"/>
        <v>2.9960120807237312</v>
      </c>
      <c r="AF102" s="8">
        <f t="shared" si="110"/>
        <v>2.9159998886569247</v>
      </c>
      <c r="AG102" s="8">
        <f t="shared" si="110"/>
        <v>2.9604511064718171</v>
      </c>
      <c r="AH102" s="8">
        <f t="shared" si="110"/>
        <v>2.9093322059846907</v>
      </c>
      <c r="AI102" s="8">
        <f t="shared" si="110"/>
        <v>2.8871065970772447</v>
      </c>
      <c r="AJ102" s="8">
        <f t="shared" si="110"/>
        <v>2.8471005010438422</v>
      </c>
      <c r="AK102" s="8">
        <f t="shared" si="110"/>
        <v>3.0715791510090478</v>
      </c>
      <c r="AL102" s="8">
        <f t="shared" si="110"/>
        <v>3.0449084203201129</v>
      </c>
      <c r="AM102" s="8">
        <f t="shared" si="110"/>
        <v>3.0360181767571337</v>
      </c>
      <c r="AN102" s="8">
        <f t="shared" si="110"/>
        <v>3.0249053723034112</v>
      </c>
      <c r="AO102" s="8">
        <f t="shared" si="110"/>
        <v>2.958228545581072</v>
      </c>
      <c r="AP102" s="8">
        <f t="shared" si="110"/>
        <v>4.0495059429366744</v>
      </c>
      <c r="AQ102" s="8">
        <f t="shared" si="110"/>
        <v>3.9406004592901884</v>
      </c>
      <c r="AR102" s="8">
        <f t="shared" si="110"/>
        <v>3.9828291162143352</v>
      </c>
      <c r="AS102" s="8">
        <f t="shared" si="110"/>
        <v>4.1072925260960345</v>
      </c>
      <c r="AT102" s="8">
        <f t="shared" si="110"/>
        <v>4.067286430062631</v>
      </c>
      <c r="AU102" s="54">
        <f t="shared" si="110"/>
        <v>3.8850364370215731</v>
      </c>
      <c r="AV102" s="8">
        <f t="shared" si="110"/>
        <v>4.1339632567849707</v>
      </c>
      <c r="AW102" s="8">
        <f t="shared" si="110"/>
        <v>4.0872894780793336</v>
      </c>
      <c r="AX102" s="8">
        <f t="shared" si="110"/>
        <v>3.5472071816283939</v>
      </c>
      <c r="AY102" s="8">
        <f t="shared" si="110"/>
        <v>4.0828443562978434</v>
      </c>
      <c r="AZ102" s="8">
        <f t="shared" si="110"/>
        <v>3.9983870424495485</v>
      </c>
      <c r="BA102" s="8">
        <f t="shared" si="110"/>
        <v>3.2960578009742525</v>
      </c>
      <c r="BB102" s="8">
        <f t="shared" si="110"/>
        <v>3.3071706054279759</v>
      </c>
      <c r="BC102" s="8">
        <f t="shared" si="110"/>
        <v>3.3227285316631874</v>
      </c>
      <c r="BD102" s="8">
        <f t="shared" si="110"/>
        <v>3.3293962143354223</v>
      </c>
      <c r="BE102" s="8">
        <f t="shared" si="110"/>
        <v>3.3738474321503138</v>
      </c>
      <c r="BF102" s="8">
        <f t="shared" si="110"/>
        <v>3.7783535142658322</v>
      </c>
      <c r="BG102" s="8">
        <f t="shared" si="110"/>
        <v>3.8428077800974254</v>
      </c>
      <c r="BH102" s="8">
        <f t="shared" si="110"/>
        <v>3.7005638830897709</v>
      </c>
      <c r="BI102" s="8">
        <f t="shared" si="110"/>
        <v>3.822804732080725</v>
      </c>
      <c r="BJ102" s="8">
        <f t="shared" si="110"/>
        <v>3.6427772999304118</v>
      </c>
      <c r="BK102" s="8" t="e">
        <f t="shared" si="110"/>
        <v>#DIV/0!</v>
      </c>
      <c r="BL102" s="8"/>
      <c r="BM102" s="8">
        <f t="shared" si="109"/>
        <v>3.1246427922755742</v>
      </c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spans="1:78" s="5" customFormat="1">
      <c r="A103" s="4" t="s">
        <v>268</v>
      </c>
      <c r="B103" s="54">
        <f t="shared" ref="B103:B109" si="111">(B84/B$94)*$B8*B$57/$C8</f>
        <v>11.024000000000003</v>
      </c>
      <c r="C103" s="8">
        <f t="shared" ref="C103:BM103" si="112">(C84/C$94)*$B8*C$57/$C8</f>
        <v>10.751999999999999</v>
      </c>
      <c r="D103" s="8">
        <f t="shared" si="112"/>
        <v>11.600000000000009</v>
      </c>
      <c r="E103" s="8">
        <f t="shared" si="112"/>
        <v>11.688000000000004</v>
      </c>
      <c r="F103" s="8">
        <f t="shared" si="112"/>
        <v>11.120000000000001</v>
      </c>
      <c r="G103" s="8">
        <f t="shared" si="112"/>
        <v>11.72</v>
      </c>
      <c r="H103" s="8">
        <f t="shared" si="112"/>
        <v>10.784000000000006</v>
      </c>
      <c r="I103" s="8">
        <f t="shared" si="112"/>
        <v>11.288</v>
      </c>
      <c r="J103" s="8">
        <f t="shared" si="112"/>
        <v>11.040000000000003</v>
      </c>
      <c r="K103" s="54">
        <f t="shared" si="112"/>
        <v>11.672000000000002</v>
      </c>
      <c r="L103" s="8">
        <f t="shared" si="112"/>
        <v>10.976000000000001</v>
      </c>
      <c r="M103" s="8">
        <f t="shared" si="112"/>
        <v>11.112000000000004</v>
      </c>
      <c r="N103" s="8">
        <f t="shared" si="112"/>
        <v>11.112000000000005</v>
      </c>
      <c r="O103" s="8">
        <f t="shared" si="112"/>
        <v>11.560000000000002</v>
      </c>
      <c r="P103" s="8">
        <f t="shared" si="112"/>
        <v>10.744000000000002</v>
      </c>
      <c r="Q103" s="54">
        <f t="shared" si="112"/>
        <v>8.0400000000000027</v>
      </c>
      <c r="R103" s="8">
        <f t="shared" si="112"/>
        <v>11.464000000000002</v>
      </c>
      <c r="S103" s="8">
        <f t="shared" si="112"/>
        <v>11.416000000000004</v>
      </c>
      <c r="T103" s="8">
        <f t="shared" si="112"/>
        <v>11.744</v>
      </c>
      <c r="U103" s="8">
        <f t="shared" ref="U103:BK103" si="113">(U84/U$94)*$B8*U$57/$C8</f>
        <v>11.824</v>
      </c>
      <c r="V103" s="8">
        <f t="shared" si="113"/>
        <v>11.624000000000001</v>
      </c>
      <c r="W103" s="8">
        <f t="shared" si="113"/>
        <v>11.536000000000003</v>
      </c>
      <c r="X103" s="8">
        <f t="shared" si="113"/>
        <v>11.240000000000002</v>
      </c>
      <c r="Y103" s="54">
        <f t="shared" si="113"/>
        <v>11.064000000000002</v>
      </c>
      <c r="Z103" s="8">
        <f t="shared" si="113"/>
        <v>11.015999999999998</v>
      </c>
      <c r="AA103" s="54">
        <f t="shared" si="113"/>
        <v>9.2480000000000029</v>
      </c>
      <c r="AB103" s="8">
        <f t="shared" si="113"/>
        <v>10.616</v>
      </c>
      <c r="AC103" s="8">
        <f t="shared" si="113"/>
        <v>9.7359999999999989</v>
      </c>
      <c r="AD103" s="8">
        <f t="shared" si="113"/>
        <v>10.199999999999999</v>
      </c>
      <c r="AE103" s="8">
        <f t="shared" si="113"/>
        <v>10.784000000000002</v>
      </c>
      <c r="AF103" s="8">
        <f t="shared" si="113"/>
        <v>10.496</v>
      </c>
      <c r="AG103" s="8">
        <f t="shared" si="113"/>
        <v>10.656000000000002</v>
      </c>
      <c r="AH103" s="8">
        <f t="shared" si="113"/>
        <v>10.472000000000001</v>
      </c>
      <c r="AI103" s="8">
        <f t="shared" si="113"/>
        <v>10.392000000000001</v>
      </c>
      <c r="AJ103" s="8">
        <f t="shared" si="113"/>
        <v>10.248000000000001</v>
      </c>
      <c r="AK103" s="8">
        <f t="shared" si="113"/>
        <v>11.056000000000004</v>
      </c>
      <c r="AL103" s="8">
        <f t="shared" si="113"/>
        <v>10.960000000000003</v>
      </c>
      <c r="AM103" s="8">
        <f t="shared" si="113"/>
        <v>10.928000000000001</v>
      </c>
      <c r="AN103" s="8">
        <f t="shared" si="113"/>
        <v>10.888000000000003</v>
      </c>
      <c r="AO103" s="8">
        <f t="shared" si="113"/>
        <v>10.648</v>
      </c>
      <c r="AP103" s="8">
        <f t="shared" si="113"/>
        <v>14.576000000000002</v>
      </c>
      <c r="AQ103" s="8">
        <f t="shared" si="113"/>
        <v>14.184000000000005</v>
      </c>
      <c r="AR103" s="8">
        <f t="shared" si="113"/>
        <v>14.335999999999999</v>
      </c>
      <c r="AS103" s="8">
        <f t="shared" si="113"/>
        <v>14.784000000000002</v>
      </c>
      <c r="AT103" s="8">
        <f t="shared" si="113"/>
        <v>14.639999999999999</v>
      </c>
      <c r="AU103" s="54">
        <f t="shared" si="113"/>
        <v>13.984000000000002</v>
      </c>
      <c r="AV103" s="8">
        <f t="shared" si="113"/>
        <v>14.880000000000004</v>
      </c>
      <c r="AW103" s="8">
        <f t="shared" si="113"/>
        <v>14.712000000000005</v>
      </c>
      <c r="AX103" s="8">
        <f t="shared" si="113"/>
        <v>12.768000000000002</v>
      </c>
      <c r="AY103" s="8">
        <f t="shared" si="113"/>
        <v>14.696000000000003</v>
      </c>
      <c r="AZ103" s="8">
        <f t="shared" si="113"/>
        <v>14.391999999999999</v>
      </c>
      <c r="BA103" s="8">
        <f t="shared" si="113"/>
        <v>11.863999999999999</v>
      </c>
      <c r="BB103" s="8">
        <f t="shared" si="113"/>
        <v>11.904000000000002</v>
      </c>
      <c r="BC103" s="8">
        <f t="shared" si="113"/>
        <v>11.959999999999999</v>
      </c>
      <c r="BD103" s="8">
        <f t="shared" si="113"/>
        <v>11.984000000000004</v>
      </c>
      <c r="BE103" s="8">
        <f t="shared" si="113"/>
        <v>12.144000000000002</v>
      </c>
      <c r="BF103" s="8">
        <f t="shared" si="113"/>
        <v>13.600000000000001</v>
      </c>
      <c r="BG103" s="8">
        <f t="shared" si="113"/>
        <v>13.832000000000001</v>
      </c>
      <c r="BH103" s="8">
        <f t="shared" si="113"/>
        <v>13.32</v>
      </c>
      <c r="BI103" s="8">
        <f t="shared" si="113"/>
        <v>13.760000000000003</v>
      </c>
      <c r="BJ103" s="8">
        <f t="shared" si="113"/>
        <v>13.112000000000004</v>
      </c>
      <c r="BK103" s="8" t="e">
        <f t="shared" si="113"/>
        <v>#DIV/0!</v>
      </c>
      <c r="BL103" s="8"/>
      <c r="BM103" s="8">
        <f t="shared" si="112"/>
        <v>11.246999999999998</v>
      </c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 spans="1:78" s="5" customFormat="1">
      <c r="A104" s="4" t="s">
        <v>269</v>
      </c>
      <c r="B104" s="54">
        <f t="shared" si="111"/>
        <v>0.68</v>
      </c>
      <c r="C104" s="8">
        <f t="shared" ref="C104:BM104" si="114">(C85/C$94)*$B9*C$57/$C9</f>
        <v>0.84</v>
      </c>
      <c r="D104" s="8">
        <f t="shared" si="114"/>
        <v>1.0100000000000005</v>
      </c>
      <c r="E104" s="8">
        <f t="shared" si="114"/>
        <v>1.1100000000000005</v>
      </c>
      <c r="F104" s="8">
        <f t="shared" si="114"/>
        <v>0.85</v>
      </c>
      <c r="G104" s="8">
        <f t="shared" si="114"/>
        <v>0.84000000000000008</v>
      </c>
      <c r="H104" s="8">
        <f t="shared" si="114"/>
        <v>0.81000000000000028</v>
      </c>
      <c r="I104" s="8">
        <f t="shared" si="114"/>
        <v>0.8500000000000002</v>
      </c>
      <c r="J104" s="8">
        <f t="shared" si="114"/>
        <v>0.8899999999999999</v>
      </c>
      <c r="K104" s="54">
        <f t="shared" si="114"/>
        <v>0.89</v>
      </c>
      <c r="L104" s="8">
        <f t="shared" si="114"/>
        <v>0.9</v>
      </c>
      <c r="M104" s="8">
        <f t="shared" si="114"/>
        <v>0.77000000000000013</v>
      </c>
      <c r="N104" s="8">
        <f t="shared" si="114"/>
        <v>0.69</v>
      </c>
      <c r="O104" s="8">
        <f t="shared" si="114"/>
        <v>0.7</v>
      </c>
      <c r="P104" s="8">
        <f t="shared" si="114"/>
        <v>0.22000000000000006</v>
      </c>
      <c r="Q104" s="54">
        <f t="shared" si="114"/>
        <v>0.23000000000000007</v>
      </c>
      <c r="R104" s="8">
        <f t="shared" si="114"/>
        <v>0.18000000000000002</v>
      </c>
      <c r="S104" s="8">
        <f t="shared" si="114"/>
        <v>0.20000000000000009</v>
      </c>
      <c r="T104" s="8">
        <f t="shared" si="114"/>
        <v>0.20999999999999994</v>
      </c>
      <c r="U104" s="8">
        <f t="shared" ref="U104:BK104" si="115">(U85/U$94)*$B9*U$57/$C9</f>
        <v>0.18999999999999992</v>
      </c>
      <c r="V104" s="8">
        <f t="shared" si="115"/>
        <v>0.26</v>
      </c>
      <c r="W104" s="8">
        <f t="shared" si="115"/>
        <v>0.25</v>
      </c>
      <c r="X104" s="8">
        <f t="shared" si="115"/>
        <v>0.22999999999999998</v>
      </c>
      <c r="Y104" s="54">
        <f t="shared" si="115"/>
        <v>0.15</v>
      </c>
      <c r="Z104" s="8">
        <f t="shared" si="115"/>
        <v>0.20999999999999996</v>
      </c>
      <c r="AA104" s="54">
        <f t="shared" si="115"/>
        <v>0.18000000000000005</v>
      </c>
      <c r="AB104" s="8">
        <f t="shared" si="115"/>
        <v>0.26</v>
      </c>
      <c r="AC104" s="8">
        <f t="shared" si="115"/>
        <v>0.14000000000000001</v>
      </c>
      <c r="AD104" s="8">
        <f t="shared" si="115"/>
        <v>0.20999999999999994</v>
      </c>
      <c r="AE104" s="8">
        <f t="shared" si="115"/>
        <v>0.24000000000000005</v>
      </c>
      <c r="AF104" s="8">
        <f t="shared" si="115"/>
        <v>0.22000000000000003</v>
      </c>
      <c r="AG104" s="8">
        <f t="shared" si="115"/>
        <v>0.2400000000000001</v>
      </c>
      <c r="AH104" s="8">
        <f t="shared" si="115"/>
        <v>0.21</v>
      </c>
      <c r="AI104" s="8">
        <f t="shared" si="115"/>
        <v>0.25</v>
      </c>
      <c r="AJ104" s="8">
        <f t="shared" si="115"/>
        <v>0.24000000000000002</v>
      </c>
      <c r="AK104" s="8">
        <f t="shared" si="115"/>
        <v>0.25</v>
      </c>
      <c r="AL104" s="8">
        <f t="shared" si="115"/>
        <v>0.20000000000000012</v>
      </c>
      <c r="AM104" s="8">
        <f t="shared" si="115"/>
        <v>0.18</v>
      </c>
      <c r="AN104" s="8">
        <f t="shared" si="115"/>
        <v>0.21000000000000005</v>
      </c>
      <c r="AO104" s="8">
        <f t="shared" si="115"/>
        <v>0.28000000000000008</v>
      </c>
      <c r="AP104" s="8">
        <f t="shared" si="115"/>
        <v>0.31</v>
      </c>
      <c r="AQ104" s="8">
        <f t="shared" si="115"/>
        <v>0.27</v>
      </c>
      <c r="AR104" s="8">
        <f t="shared" si="115"/>
        <v>0.33999999999999997</v>
      </c>
      <c r="AS104" s="8">
        <f t="shared" si="115"/>
        <v>0.34000000000000008</v>
      </c>
      <c r="AT104" s="8">
        <f t="shared" si="115"/>
        <v>0.3299999999999999</v>
      </c>
      <c r="AU104" s="54">
        <f t="shared" si="115"/>
        <v>0.27000000000000007</v>
      </c>
      <c r="AV104" s="8">
        <f t="shared" si="115"/>
        <v>0.28000000000000003</v>
      </c>
      <c r="AW104" s="8">
        <f t="shared" si="115"/>
        <v>0.26000000000000006</v>
      </c>
      <c r="AX104" s="8">
        <f t="shared" si="115"/>
        <v>0.25000000000000006</v>
      </c>
      <c r="AY104" s="8">
        <f t="shared" si="115"/>
        <v>0.29999999999999993</v>
      </c>
      <c r="AZ104" s="8">
        <f t="shared" si="115"/>
        <v>0.29999999999999993</v>
      </c>
      <c r="BA104" s="8">
        <f t="shared" si="115"/>
        <v>0.20000000000000004</v>
      </c>
      <c r="BB104" s="8">
        <f t="shared" si="115"/>
        <v>0.24000000000000005</v>
      </c>
      <c r="BC104" s="8">
        <f t="shared" si="115"/>
        <v>0.17999999999999994</v>
      </c>
      <c r="BD104" s="8">
        <f t="shared" si="115"/>
        <v>0.20000000000000009</v>
      </c>
      <c r="BE104" s="8">
        <f t="shared" si="115"/>
        <v>0.18</v>
      </c>
      <c r="BF104" s="8">
        <f t="shared" si="115"/>
        <v>0.16000000000000003</v>
      </c>
      <c r="BG104" s="8">
        <f t="shared" si="115"/>
        <v>0.25000000000000006</v>
      </c>
      <c r="BH104" s="8">
        <f t="shared" si="115"/>
        <v>0.20000000000000007</v>
      </c>
      <c r="BI104" s="8">
        <f t="shared" si="115"/>
        <v>0.21000000000000002</v>
      </c>
      <c r="BJ104" s="8">
        <f t="shared" si="115"/>
        <v>0.24000000000000002</v>
      </c>
      <c r="BK104" s="8" t="e">
        <f t="shared" si="115"/>
        <v>#DIV/0!</v>
      </c>
      <c r="BL104" s="8"/>
      <c r="BM104" s="8">
        <f t="shared" si="114"/>
        <v>0.87374999999999992</v>
      </c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spans="1:78" s="5" customFormat="1">
      <c r="A105" s="4" t="s">
        <v>114</v>
      </c>
      <c r="B105" s="54">
        <f t="shared" si="111"/>
        <v>2.9999999999999995E-2</v>
      </c>
      <c r="C105" s="8">
        <f t="shared" ref="C105:BM105" si="116">(C86/C$94)*$B10*C$57/$C10</f>
        <v>0</v>
      </c>
      <c r="D105" s="8">
        <f t="shared" si="116"/>
        <v>0</v>
      </c>
      <c r="E105" s="8">
        <f t="shared" si="116"/>
        <v>3.0000000000000009E-2</v>
      </c>
      <c r="F105" s="8">
        <f t="shared" si="116"/>
        <v>0</v>
      </c>
      <c r="G105" s="8">
        <f t="shared" si="116"/>
        <v>0</v>
      </c>
      <c r="H105" s="8">
        <f t="shared" si="116"/>
        <v>0</v>
      </c>
      <c r="I105" s="8">
        <f t="shared" si="116"/>
        <v>0</v>
      </c>
      <c r="J105" s="8">
        <f t="shared" si="116"/>
        <v>0</v>
      </c>
      <c r="K105" s="54">
        <f t="shared" si="116"/>
        <v>0</v>
      </c>
      <c r="L105" s="8">
        <f t="shared" si="116"/>
        <v>0</v>
      </c>
      <c r="M105" s="8">
        <f t="shared" si="116"/>
        <v>0</v>
      </c>
      <c r="N105" s="8">
        <f t="shared" si="116"/>
        <v>0</v>
      </c>
      <c r="O105" s="8">
        <f t="shared" si="116"/>
        <v>0</v>
      </c>
      <c r="P105" s="8">
        <f t="shared" si="116"/>
        <v>0</v>
      </c>
      <c r="Q105" s="54">
        <f t="shared" si="116"/>
        <v>0</v>
      </c>
      <c r="R105" s="8">
        <f t="shared" si="116"/>
        <v>0</v>
      </c>
      <c r="S105" s="8">
        <f t="shared" si="116"/>
        <v>0</v>
      </c>
      <c r="T105" s="8">
        <f t="shared" si="116"/>
        <v>0</v>
      </c>
      <c r="U105" s="8">
        <f t="shared" ref="U105:BK105" si="117">(U86/U$94)*$B10*U$57/$C10</f>
        <v>0</v>
      </c>
      <c r="V105" s="8">
        <f t="shared" si="117"/>
        <v>0</v>
      </c>
      <c r="W105" s="8">
        <f t="shared" si="117"/>
        <v>0</v>
      </c>
      <c r="X105" s="8">
        <f t="shared" si="117"/>
        <v>0</v>
      </c>
      <c r="Y105" s="54">
        <f t="shared" si="117"/>
        <v>0</v>
      </c>
      <c r="Z105" s="8">
        <f t="shared" si="117"/>
        <v>0</v>
      </c>
      <c r="AA105" s="54">
        <f t="shared" si="117"/>
        <v>0</v>
      </c>
      <c r="AB105" s="8">
        <f t="shared" si="117"/>
        <v>0</v>
      </c>
      <c r="AC105" s="8">
        <f t="shared" si="117"/>
        <v>0</v>
      </c>
      <c r="AD105" s="8">
        <f t="shared" si="117"/>
        <v>0</v>
      </c>
      <c r="AE105" s="8">
        <f t="shared" si="117"/>
        <v>0</v>
      </c>
      <c r="AF105" s="8">
        <f t="shared" si="117"/>
        <v>0</v>
      </c>
      <c r="AG105" s="8">
        <f t="shared" si="117"/>
        <v>0</v>
      </c>
      <c r="AH105" s="8">
        <f t="shared" si="117"/>
        <v>0</v>
      </c>
      <c r="AI105" s="8">
        <f t="shared" si="117"/>
        <v>0</v>
      </c>
      <c r="AJ105" s="8">
        <f t="shared" si="117"/>
        <v>0</v>
      </c>
      <c r="AK105" s="8">
        <f t="shared" si="117"/>
        <v>0</v>
      </c>
      <c r="AL105" s="8">
        <f t="shared" si="117"/>
        <v>0</v>
      </c>
      <c r="AM105" s="8">
        <f t="shared" si="117"/>
        <v>0</v>
      </c>
      <c r="AN105" s="8">
        <f t="shared" si="117"/>
        <v>0</v>
      </c>
      <c r="AO105" s="8">
        <f t="shared" si="117"/>
        <v>0</v>
      </c>
      <c r="AP105" s="8">
        <f t="shared" si="117"/>
        <v>0</v>
      </c>
      <c r="AQ105" s="8">
        <f t="shared" si="117"/>
        <v>0</v>
      </c>
      <c r="AR105" s="8">
        <f t="shared" si="117"/>
        <v>0</v>
      </c>
      <c r="AS105" s="8">
        <f t="shared" si="117"/>
        <v>0</v>
      </c>
      <c r="AT105" s="8">
        <f t="shared" si="117"/>
        <v>0</v>
      </c>
      <c r="AU105" s="54">
        <f t="shared" si="117"/>
        <v>0</v>
      </c>
      <c r="AV105" s="8">
        <f t="shared" si="117"/>
        <v>0</v>
      </c>
      <c r="AW105" s="8">
        <f t="shared" si="117"/>
        <v>0</v>
      </c>
      <c r="AX105" s="8">
        <f t="shared" si="117"/>
        <v>0</v>
      </c>
      <c r="AY105" s="8">
        <f t="shared" si="117"/>
        <v>0</v>
      </c>
      <c r="AZ105" s="8">
        <f t="shared" si="117"/>
        <v>0</v>
      </c>
      <c r="BA105" s="8">
        <f t="shared" si="117"/>
        <v>0</v>
      </c>
      <c r="BB105" s="8">
        <f t="shared" si="117"/>
        <v>0</v>
      </c>
      <c r="BC105" s="8">
        <f t="shared" si="117"/>
        <v>0</v>
      </c>
      <c r="BD105" s="8">
        <f t="shared" si="117"/>
        <v>0</v>
      </c>
      <c r="BE105" s="8">
        <f t="shared" si="117"/>
        <v>0</v>
      </c>
      <c r="BF105" s="8">
        <f t="shared" si="117"/>
        <v>0</v>
      </c>
      <c r="BG105" s="8">
        <f t="shared" si="117"/>
        <v>0</v>
      </c>
      <c r="BH105" s="8">
        <f t="shared" si="117"/>
        <v>0</v>
      </c>
      <c r="BI105" s="8">
        <f t="shared" si="117"/>
        <v>0</v>
      </c>
      <c r="BJ105" s="8">
        <f t="shared" si="117"/>
        <v>0</v>
      </c>
      <c r="BK105" s="8" t="e">
        <f t="shared" si="117"/>
        <v>#DIV/0!</v>
      </c>
      <c r="BL105" s="8"/>
      <c r="BM105" s="8">
        <f t="shared" si="116"/>
        <v>7.4999999999999989E-3</v>
      </c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</row>
    <row r="106" spans="1:78" s="5" customFormat="1">
      <c r="A106" s="4" t="s">
        <v>270</v>
      </c>
      <c r="B106" s="54">
        <f t="shared" si="111"/>
        <v>12.46</v>
      </c>
      <c r="C106" s="8">
        <f t="shared" ref="C106:BM106" si="118">(C87/C$94)*$B11*C$57/$C11</f>
        <v>13.000000000000002</v>
      </c>
      <c r="D106" s="8">
        <f t="shared" si="118"/>
        <v>12.060000000000006</v>
      </c>
      <c r="E106" s="8">
        <f t="shared" si="118"/>
        <v>11.980000000000004</v>
      </c>
      <c r="F106" s="8">
        <f t="shared" si="118"/>
        <v>12.24</v>
      </c>
      <c r="G106" s="8">
        <f t="shared" si="118"/>
        <v>11.92</v>
      </c>
      <c r="H106" s="8">
        <f t="shared" si="118"/>
        <v>12.390000000000006</v>
      </c>
      <c r="I106" s="8">
        <f t="shared" si="118"/>
        <v>12.420000000000002</v>
      </c>
      <c r="J106" s="8">
        <f t="shared" si="118"/>
        <v>12.839999999999998</v>
      </c>
      <c r="K106" s="54">
        <f t="shared" si="118"/>
        <v>11.100000000000003</v>
      </c>
      <c r="L106" s="8">
        <f t="shared" si="118"/>
        <v>12.839999999999998</v>
      </c>
      <c r="M106" s="8">
        <f t="shared" si="118"/>
        <v>12.18</v>
      </c>
      <c r="N106" s="8">
        <f t="shared" si="118"/>
        <v>11.800000000000002</v>
      </c>
      <c r="O106" s="8">
        <f t="shared" si="118"/>
        <v>12.09</v>
      </c>
      <c r="P106" s="8">
        <f t="shared" si="118"/>
        <v>12.360000000000001</v>
      </c>
      <c r="Q106" s="54">
        <f t="shared" si="118"/>
        <v>16.410000000000004</v>
      </c>
      <c r="R106" s="8">
        <f t="shared" si="118"/>
        <v>11.66</v>
      </c>
      <c r="S106" s="8">
        <f t="shared" si="118"/>
        <v>11.640000000000002</v>
      </c>
      <c r="T106" s="8">
        <f t="shared" si="118"/>
        <v>11.74</v>
      </c>
      <c r="U106" s="8">
        <f t="shared" ref="U106:BK106" si="119">(U87/U$94)*$B11*U$57/$C11</f>
        <v>11.159999999999997</v>
      </c>
      <c r="V106" s="8">
        <f t="shared" si="119"/>
        <v>11.2</v>
      </c>
      <c r="W106" s="8">
        <f t="shared" si="119"/>
        <v>12.170000000000002</v>
      </c>
      <c r="X106" s="8">
        <f t="shared" si="119"/>
        <v>12.380000000000003</v>
      </c>
      <c r="Y106" s="54">
        <f t="shared" si="119"/>
        <v>7.0499999999999989</v>
      </c>
      <c r="Z106" s="8">
        <f t="shared" si="119"/>
        <v>11.19</v>
      </c>
      <c r="AA106" s="54">
        <f t="shared" si="119"/>
        <v>12.510000000000002</v>
      </c>
      <c r="AB106" s="8">
        <f t="shared" si="119"/>
        <v>12.979999999999999</v>
      </c>
      <c r="AC106" s="8">
        <f t="shared" si="119"/>
        <v>12.590000000000002</v>
      </c>
      <c r="AD106" s="8">
        <f t="shared" si="119"/>
        <v>12.28</v>
      </c>
      <c r="AE106" s="8">
        <f t="shared" si="119"/>
        <v>12.109999999999998</v>
      </c>
      <c r="AF106" s="8">
        <f t="shared" si="119"/>
        <v>12.34</v>
      </c>
      <c r="AG106" s="8">
        <f t="shared" si="119"/>
        <v>11.880000000000004</v>
      </c>
      <c r="AH106" s="8">
        <f t="shared" si="119"/>
        <v>12.38</v>
      </c>
      <c r="AI106" s="8">
        <f t="shared" si="119"/>
        <v>11.88</v>
      </c>
      <c r="AJ106" s="8">
        <f t="shared" si="119"/>
        <v>12.43</v>
      </c>
      <c r="AK106" s="8">
        <f t="shared" si="119"/>
        <v>11.290000000000001</v>
      </c>
      <c r="AL106" s="8">
        <f t="shared" si="119"/>
        <v>11.100000000000003</v>
      </c>
      <c r="AM106" s="8">
        <f t="shared" si="119"/>
        <v>11.649999999999999</v>
      </c>
      <c r="AN106" s="8">
        <f t="shared" si="119"/>
        <v>11.480000000000002</v>
      </c>
      <c r="AO106" s="8">
        <f t="shared" si="119"/>
        <v>11.579999999999998</v>
      </c>
      <c r="AP106" s="8">
        <f t="shared" si="119"/>
        <v>9.8800000000000008</v>
      </c>
      <c r="AQ106" s="8">
        <f t="shared" si="119"/>
        <v>9.8900000000000023</v>
      </c>
      <c r="AR106" s="8">
        <f t="shared" si="119"/>
        <v>9.7999999999999972</v>
      </c>
      <c r="AS106" s="8">
        <f t="shared" si="119"/>
        <v>9.6500000000000021</v>
      </c>
      <c r="AT106" s="8">
        <f t="shared" si="119"/>
        <v>9.6199999999999974</v>
      </c>
      <c r="AU106" s="54">
        <f t="shared" si="119"/>
        <v>10.79</v>
      </c>
      <c r="AV106" s="8">
        <f t="shared" si="119"/>
        <v>9.5800000000000018</v>
      </c>
      <c r="AW106" s="8">
        <f t="shared" si="119"/>
        <v>9.4200000000000017</v>
      </c>
      <c r="AX106" s="8">
        <f t="shared" si="119"/>
        <v>7.5300000000000011</v>
      </c>
      <c r="AY106" s="8">
        <f t="shared" si="119"/>
        <v>9.4599999999999991</v>
      </c>
      <c r="AZ106" s="8">
        <f t="shared" si="119"/>
        <v>9.92</v>
      </c>
      <c r="BA106" s="8">
        <f t="shared" si="119"/>
        <v>11.34</v>
      </c>
      <c r="BB106" s="8">
        <f t="shared" si="119"/>
        <v>11.19</v>
      </c>
      <c r="BC106" s="8">
        <f t="shared" si="119"/>
        <v>11.339999999999998</v>
      </c>
      <c r="BD106" s="8">
        <f t="shared" si="119"/>
        <v>11.050000000000002</v>
      </c>
      <c r="BE106" s="8">
        <f t="shared" si="119"/>
        <v>11.48</v>
      </c>
      <c r="BF106" s="8">
        <f t="shared" si="119"/>
        <v>9.5200000000000031</v>
      </c>
      <c r="BG106" s="8">
        <f t="shared" si="119"/>
        <v>9.4500000000000011</v>
      </c>
      <c r="BH106" s="8">
        <f t="shared" si="119"/>
        <v>9.83</v>
      </c>
      <c r="BI106" s="8">
        <f t="shared" si="119"/>
        <v>9.3300000000000036</v>
      </c>
      <c r="BJ106" s="8">
        <f t="shared" si="119"/>
        <v>9.73</v>
      </c>
      <c r="BK106" s="8" t="e">
        <f t="shared" si="119"/>
        <v>#DIV/0!</v>
      </c>
      <c r="BL106" s="8"/>
      <c r="BM106" s="8">
        <f t="shared" si="118"/>
        <v>12.308750000000002</v>
      </c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spans="1:78" s="5" customFormat="1">
      <c r="A107" s="4" t="s">
        <v>271</v>
      </c>
      <c r="B107" s="54">
        <f t="shared" si="111"/>
        <v>10.489999999999998</v>
      </c>
      <c r="C107" s="8">
        <f t="shared" ref="C107:BM107" si="120">(C88/C$94)*$B12*C$57/$C12</f>
        <v>10.53</v>
      </c>
      <c r="D107" s="8">
        <f t="shared" si="120"/>
        <v>10.550000000000004</v>
      </c>
      <c r="E107" s="8">
        <f t="shared" si="120"/>
        <v>10.000000000000004</v>
      </c>
      <c r="F107" s="8">
        <f t="shared" si="120"/>
        <v>10.87</v>
      </c>
      <c r="G107" s="8">
        <f t="shared" si="120"/>
        <v>10.940000000000001</v>
      </c>
      <c r="H107" s="8">
        <f t="shared" si="120"/>
        <v>11.020000000000005</v>
      </c>
      <c r="I107" s="8">
        <f t="shared" si="120"/>
        <v>10.81</v>
      </c>
      <c r="J107" s="8">
        <f t="shared" si="120"/>
        <v>10.26</v>
      </c>
      <c r="K107" s="54">
        <f t="shared" si="120"/>
        <v>10.350000000000003</v>
      </c>
      <c r="L107" s="8">
        <f t="shared" si="120"/>
        <v>10.48</v>
      </c>
      <c r="M107" s="8">
        <f t="shared" si="120"/>
        <v>10.81</v>
      </c>
      <c r="N107" s="8">
        <f t="shared" si="120"/>
        <v>10.390000000000002</v>
      </c>
      <c r="O107" s="8">
        <f t="shared" si="120"/>
        <v>10.85</v>
      </c>
      <c r="P107" s="8">
        <f t="shared" si="120"/>
        <v>12.13</v>
      </c>
      <c r="Q107" s="54">
        <f t="shared" si="120"/>
        <v>12.640000000000002</v>
      </c>
      <c r="R107" s="8">
        <f t="shared" si="120"/>
        <v>11.950000000000001</v>
      </c>
      <c r="S107" s="8">
        <f t="shared" si="120"/>
        <v>12.030000000000001</v>
      </c>
      <c r="T107" s="8">
        <f t="shared" si="120"/>
        <v>12.069999999999999</v>
      </c>
      <c r="U107" s="8">
        <f t="shared" ref="U107:BK107" si="121">(U88/U$94)*$B12*U$57/$C12</f>
        <v>11.869999999999996</v>
      </c>
      <c r="V107" s="8">
        <f t="shared" si="121"/>
        <v>12.09</v>
      </c>
      <c r="W107" s="8">
        <f t="shared" si="121"/>
        <v>12.050000000000004</v>
      </c>
      <c r="X107" s="8">
        <f t="shared" si="121"/>
        <v>11.83</v>
      </c>
      <c r="Y107" s="54">
        <f t="shared" si="121"/>
        <v>16.239999999999998</v>
      </c>
      <c r="Z107" s="8">
        <f t="shared" si="121"/>
        <v>13.1</v>
      </c>
      <c r="AA107" s="54">
        <f t="shared" si="121"/>
        <v>13.580000000000004</v>
      </c>
      <c r="AB107" s="8">
        <f t="shared" si="121"/>
        <v>11.34</v>
      </c>
      <c r="AC107" s="8">
        <f t="shared" si="121"/>
        <v>11.289999999999997</v>
      </c>
      <c r="AD107" s="8">
        <f t="shared" si="121"/>
        <v>11.479999999999997</v>
      </c>
      <c r="AE107" s="8">
        <f t="shared" si="121"/>
        <v>11.12</v>
      </c>
      <c r="AF107" s="8">
        <f t="shared" si="121"/>
        <v>11.2</v>
      </c>
      <c r="AG107" s="8">
        <f t="shared" si="121"/>
        <v>11.210000000000003</v>
      </c>
      <c r="AH107" s="8">
        <f t="shared" si="121"/>
        <v>11.170000000000002</v>
      </c>
      <c r="AI107" s="8">
        <f t="shared" si="121"/>
        <v>11.24</v>
      </c>
      <c r="AJ107" s="8">
        <f t="shared" si="121"/>
        <v>11.01</v>
      </c>
      <c r="AK107" s="8">
        <f t="shared" si="121"/>
        <v>11.050000000000004</v>
      </c>
      <c r="AL107" s="8">
        <f t="shared" si="121"/>
        <v>10.920000000000003</v>
      </c>
      <c r="AM107" s="8">
        <f t="shared" si="121"/>
        <v>10.87</v>
      </c>
      <c r="AN107" s="8">
        <f t="shared" si="121"/>
        <v>10.710000000000003</v>
      </c>
      <c r="AO107" s="8">
        <f t="shared" si="121"/>
        <v>10.879999999999999</v>
      </c>
      <c r="AP107" s="8">
        <f t="shared" si="121"/>
        <v>11.790000000000001</v>
      </c>
      <c r="AQ107" s="8">
        <f t="shared" si="121"/>
        <v>11.690000000000001</v>
      </c>
      <c r="AR107" s="8">
        <f t="shared" si="121"/>
        <v>11.849999999999998</v>
      </c>
      <c r="AS107" s="8">
        <f t="shared" si="121"/>
        <v>11.780000000000001</v>
      </c>
      <c r="AT107" s="8">
        <f t="shared" si="121"/>
        <v>11.42</v>
      </c>
      <c r="AU107" s="54">
        <f t="shared" si="121"/>
        <v>11.74</v>
      </c>
      <c r="AV107" s="8">
        <f t="shared" si="121"/>
        <v>11.44</v>
      </c>
      <c r="AW107" s="8">
        <f t="shared" si="121"/>
        <v>11.670000000000003</v>
      </c>
      <c r="AX107" s="8">
        <f t="shared" si="121"/>
        <v>14.349999999999998</v>
      </c>
      <c r="AY107" s="8">
        <f t="shared" si="121"/>
        <v>11.48</v>
      </c>
      <c r="AZ107" s="8">
        <f t="shared" si="121"/>
        <v>11.74</v>
      </c>
      <c r="BA107" s="8">
        <f t="shared" si="121"/>
        <v>12.02</v>
      </c>
      <c r="BB107" s="8">
        <f t="shared" si="121"/>
        <v>11.820000000000002</v>
      </c>
      <c r="BC107" s="8">
        <f t="shared" si="121"/>
        <v>11.919999999999998</v>
      </c>
      <c r="BD107" s="8">
        <f t="shared" si="121"/>
        <v>11.950000000000001</v>
      </c>
      <c r="BE107" s="8">
        <f t="shared" si="121"/>
        <v>11.999999999999998</v>
      </c>
      <c r="BF107" s="8">
        <f t="shared" si="121"/>
        <v>11.589999999999998</v>
      </c>
      <c r="BG107" s="8">
        <f t="shared" si="121"/>
        <v>11.340000000000002</v>
      </c>
      <c r="BH107" s="8">
        <f t="shared" si="121"/>
        <v>11.69</v>
      </c>
      <c r="BI107" s="8">
        <f t="shared" si="121"/>
        <v>11.400000000000004</v>
      </c>
      <c r="BJ107" s="8">
        <f t="shared" si="121"/>
        <v>11.980000000000002</v>
      </c>
      <c r="BK107" s="8" t="e">
        <f t="shared" si="121"/>
        <v>#DIV/0!</v>
      </c>
      <c r="BL107" s="8"/>
      <c r="BM107" s="8">
        <f t="shared" si="120"/>
        <v>10.651249999999999</v>
      </c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 spans="1:78" s="5" customFormat="1">
      <c r="A108" s="4" t="s">
        <v>272</v>
      </c>
      <c r="B108" s="54">
        <f t="shared" si="111"/>
        <v>1.3500000000000003</v>
      </c>
      <c r="C108" s="8">
        <f t="shared" ref="C108:BM108" si="122">(C89/C$94)*$B13*C$57/$C13</f>
        <v>1.4</v>
      </c>
      <c r="D108" s="8">
        <f t="shared" si="122"/>
        <v>1.5100000000000007</v>
      </c>
      <c r="E108" s="8">
        <f t="shared" si="122"/>
        <v>1.3900000000000006</v>
      </c>
      <c r="F108" s="8">
        <f t="shared" si="122"/>
        <v>1.3900000000000001</v>
      </c>
      <c r="G108" s="8">
        <f t="shared" si="122"/>
        <v>1.47</v>
      </c>
      <c r="H108" s="8">
        <f t="shared" si="122"/>
        <v>1.3700000000000008</v>
      </c>
      <c r="I108" s="8">
        <f t="shared" si="122"/>
        <v>1.41</v>
      </c>
      <c r="J108" s="8">
        <f t="shared" si="122"/>
        <v>1.4099999999999997</v>
      </c>
      <c r="K108" s="54">
        <f t="shared" si="122"/>
        <v>1.29</v>
      </c>
      <c r="L108" s="8">
        <f t="shared" si="122"/>
        <v>1.53</v>
      </c>
      <c r="M108" s="8">
        <f t="shared" si="122"/>
        <v>1.4499999999999997</v>
      </c>
      <c r="N108" s="8">
        <f t="shared" si="122"/>
        <v>1.6300000000000001</v>
      </c>
      <c r="O108" s="8">
        <f t="shared" si="122"/>
        <v>1.51</v>
      </c>
      <c r="P108" s="8">
        <f t="shared" si="122"/>
        <v>1.3800000000000001</v>
      </c>
      <c r="Q108" s="54">
        <f t="shared" si="122"/>
        <v>0.74000000000000032</v>
      </c>
      <c r="R108" s="8">
        <f t="shared" si="122"/>
        <v>1.6700000000000004</v>
      </c>
      <c r="S108" s="8">
        <f t="shared" si="122"/>
        <v>1.5700000000000003</v>
      </c>
      <c r="T108" s="8">
        <f t="shared" si="122"/>
        <v>1.6</v>
      </c>
      <c r="U108" s="8">
        <f t="shared" ref="U108:BK108" si="123">(U89/U$94)*$B13*U$57/$C13</f>
        <v>1.6399999999999995</v>
      </c>
      <c r="V108" s="8">
        <f t="shared" si="123"/>
        <v>1.6800000000000002</v>
      </c>
      <c r="W108" s="8">
        <f t="shared" si="123"/>
        <v>1.2400000000000002</v>
      </c>
      <c r="X108" s="8">
        <f t="shared" si="123"/>
        <v>1.5199999999999998</v>
      </c>
      <c r="Y108" s="54">
        <f t="shared" si="123"/>
        <v>1.05</v>
      </c>
      <c r="Z108" s="8">
        <f t="shared" si="123"/>
        <v>1.2600000000000002</v>
      </c>
      <c r="AA108" s="54">
        <f t="shared" si="123"/>
        <v>1.17</v>
      </c>
      <c r="AB108" s="8">
        <f t="shared" si="123"/>
        <v>2.08</v>
      </c>
      <c r="AC108" s="8">
        <f t="shared" si="123"/>
        <v>2.4700000000000006</v>
      </c>
      <c r="AD108" s="8">
        <f t="shared" si="123"/>
        <v>2.5099999999999993</v>
      </c>
      <c r="AE108" s="8">
        <f t="shared" si="123"/>
        <v>2.58</v>
      </c>
      <c r="AF108" s="8">
        <f t="shared" si="123"/>
        <v>2.6300000000000003</v>
      </c>
      <c r="AG108" s="8">
        <f t="shared" si="123"/>
        <v>2.6400000000000006</v>
      </c>
      <c r="AH108" s="8">
        <f t="shared" si="123"/>
        <v>2.59</v>
      </c>
      <c r="AI108" s="8">
        <f t="shared" si="123"/>
        <v>2.5500000000000003</v>
      </c>
      <c r="AJ108" s="8">
        <f t="shared" si="123"/>
        <v>2.5600000000000005</v>
      </c>
      <c r="AK108" s="8">
        <f t="shared" si="123"/>
        <v>2.4400000000000004</v>
      </c>
      <c r="AL108" s="8">
        <f t="shared" si="123"/>
        <v>2.5900000000000003</v>
      </c>
      <c r="AM108" s="8">
        <f t="shared" si="123"/>
        <v>2.4700000000000002</v>
      </c>
      <c r="AN108" s="8">
        <f t="shared" si="123"/>
        <v>2.4900000000000011</v>
      </c>
      <c r="AO108" s="8">
        <f t="shared" si="123"/>
        <v>2.58</v>
      </c>
      <c r="AP108" s="8">
        <f t="shared" si="123"/>
        <v>1.41</v>
      </c>
      <c r="AQ108" s="8">
        <f t="shared" si="123"/>
        <v>1.3000000000000003</v>
      </c>
      <c r="AR108" s="8">
        <f t="shared" si="123"/>
        <v>1.4399999999999993</v>
      </c>
      <c r="AS108" s="8">
        <f t="shared" si="123"/>
        <v>1.4900000000000004</v>
      </c>
      <c r="AT108" s="8">
        <f t="shared" si="123"/>
        <v>1.58</v>
      </c>
      <c r="AU108" s="54">
        <f t="shared" si="123"/>
        <v>1.1599999999999997</v>
      </c>
      <c r="AV108" s="8">
        <f t="shared" si="123"/>
        <v>1.54</v>
      </c>
      <c r="AW108" s="8">
        <f t="shared" si="123"/>
        <v>1.53</v>
      </c>
      <c r="AX108" s="8">
        <f t="shared" si="123"/>
        <v>1.0000000000000002</v>
      </c>
      <c r="AY108" s="8">
        <f t="shared" si="123"/>
        <v>1.5900000000000003</v>
      </c>
      <c r="AZ108" s="8">
        <f t="shared" si="123"/>
        <v>1.44</v>
      </c>
      <c r="BA108" s="8">
        <f t="shared" si="123"/>
        <v>1.9699999999999998</v>
      </c>
      <c r="BB108" s="8">
        <f t="shared" si="123"/>
        <v>1.99</v>
      </c>
      <c r="BC108" s="8">
        <f t="shared" si="123"/>
        <v>1.9099999999999993</v>
      </c>
      <c r="BD108" s="8">
        <f t="shared" si="123"/>
        <v>1.9500000000000002</v>
      </c>
      <c r="BE108" s="8">
        <f t="shared" si="123"/>
        <v>1.9600000000000002</v>
      </c>
      <c r="BF108" s="8">
        <f t="shared" si="123"/>
        <v>2.3800000000000003</v>
      </c>
      <c r="BG108" s="8">
        <f t="shared" si="123"/>
        <v>2.4200000000000004</v>
      </c>
      <c r="BH108" s="8">
        <f t="shared" si="123"/>
        <v>2.25</v>
      </c>
      <c r="BI108" s="8">
        <f t="shared" si="123"/>
        <v>2.2200000000000011</v>
      </c>
      <c r="BJ108" s="8">
        <f t="shared" si="123"/>
        <v>2.1800000000000002</v>
      </c>
      <c r="BK108" s="8" t="e">
        <f t="shared" si="123"/>
        <v>#DIV/0!</v>
      </c>
      <c r="BL108" s="8"/>
      <c r="BM108" s="8">
        <f t="shared" si="122"/>
        <v>1.4112499999999994</v>
      </c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spans="1:78" s="5" customFormat="1">
      <c r="A109" s="4" t="s">
        <v>273</v>
      </c>
      <c r="B109" s="54">
        <f t="shared" si="111"/>
        <v>0.23999999999999996</v>
      </c>
      <c r="C109" s="8">
        <f t="shared" ref="C109:BM109" si="124">(C90/C$94)*$B14*C$57/$C14</f>
        <v>0.14000000000000001</v>
      </c>
      <c r="D109" s="8">
        <f t="shared" si="124"/>
        <v>0.27000000000000013</v>
      </c>
      <c r="E109" s="8">
        <f t="shared" si="124"/>
        <v>0.25000000000000006</v>
      </c>
      <c r="F109" s="8">
        <f t="shared" si="124"/>
        <v>0.33999999999999997</v>
      </c>
      <c r="G109" s="8">
        <f t="shared" si="124"/>
        <v>0.26000000000000006</v>
      </c>
      <c r="H109" s="8">
        <f t="shared" si="124"/>
        <v>0.21000000000000008</v>
      </c>
      <c r="I109" s="8">
        <f t="shared" si="124"/>
        <v>0.23</v>
      </c>
      <c r="J109" s="8">
        <f t="shared" si="124"/>
        <v>0.16</v>
      </c>
      <c r="K109" s="54">
        <f t="shared" si="124"/>
        <v>0.27000000000000007</v>
      </c>
      <c r="L109" s="8">
        <f t="shared" si="124"/>
        <v>0.13999999999999999</v>
      </c>
      <c r="M109" s="8">
        <f t="shared" si="124"/>
        <v>0.21999999999999997</v>
      </c>
      <c r="N109" s="8">
        <f t="shared" si="124"/>
        <v>0.25</v>
      </c>
      <c r="O109" s="8">
        <f t="shared" si="124"/>
        <v>0.24999999999999997</v>
      </c>
      <c r="P109" s="8">
        <f t="shared" si="124"/>
        <v>0.73</v>
      </c>
      <c r="Q109" s="54">
        <f t="shared" si="124"/>
        <v>0.26000000000000006</v>
      </c>
      <c r="R109" s="8">
        <f t="shared" si="124"/>
        <v>0.99000000000000021</v>
      </c>
      <c r="S109" s="8">
        <f t="shared" si="124"/>
        <v>1.0200000000000002</v>
      </c>
      <c r="T109" s="8">
        <f t="shared" si="124"/>
        <v>0.94</v>
      </c>
      <c r="U109" s="8">
        <f t="shared" ref="U109:BK109" si="125">(U90/U$94)*$B14*U$57/$C14</f>
        <v>1.0099999999999996</v>
      </c>
      <c r="V109" s="8">
        <f t="shared" si="125"/>
        <v>1.07</v>
      </c>
      <c r="W109" s="8">
        <f t="shared" si="125"/>
        <v>0.70000000000000018</v>
      </c>
      <c r="X109" s="8">
        <f t="shared" si="125"/>
        <v>0.7599999999999999</v>
      </c>
      <c r="Y109" s="54">
        <f t="shared" si="125"/>
        <v>0.67</v>
      </c>
      <c r="Z109" s="8">
        <f t="shared" si="125"/>
        <v>0.69</v>
      </c>
      <c r="AA109" s="54">
        <f t="shared" si="125"/>
        <v>4.0000000000000008E-2</v>
      </c>
      <c r="AB109" s="8">
        <f t="shared" si="125"/>
        <v>9.9999999999999978E-2</v>
      </c>
      <c r="AC109" s="8">
        <f t="shared" si="125"/>
        <v>0.15</v>
      </c>
      <c r="AD109" s="8">
        <f t="shared" si="125"/>
        <v>0.13999999999999999</v>
      </c>
      <c r="AE109" s="8">
        <f t="shared" si="125"/>
        <v>0.14000000000000001</v>
      </c>
      <c r="AF109" s="8">
        <f t="shared" si="125"/>
        <v>0.12</v>
      </c>
      <c r="AG109" s="8">
        <f t="shared" si="125"/>
        <v>0.14000000000000004</v>
      </c>
      <c r="AH109" s="8">
        <f t="shared" si="125"/>
        <v>0.12</v>
      </c>
      <c r="AI109" s="8">
        <f t="shared" si="125"/>
        <v>0.18</v>
      </c>
      <c r="AJ109" s="8">
        <f t="shared" si="125"/>
        <v>0.12000000000000001</v>
      </c>
      <c r="AK109" s="8">
        <f t="shared" si="125"/>
        <v>0.45000000000000012</v>
      </c>
      <c r="AL109" s="8">
        <f t="shared" si="125"/>
        <v>0.32000000000000006</v>
      </c>
      <c r="AM109" s="8">
        <f t="shared" si="125"/>
        <v>0.38</v>
      </c>
      <c r="AN109" s="8">
        <f t="shared" si="125"/>
        <v>0.37000000000000005</v>
      </c>
      <c r="AO109" s="8">
        <f t="shared" si="125"/>
        <v>0.27999999999999997</v>
      </c>
      <c r="AP109" s="8">
        <f t="shared" si="125"/>
        <v>0.13000000000000003</v>
      </c>
      <c r="AQ109" s="8">
        <f t="shared" si="125"/>
        <v>0.18000000000000002</v>
      </c>
      <c r="AR109" s="8">
        <f t="shared" si="125"/>
        <v>0.14999999999999997</v>
      </c>
      <c r="AS109" s="8">
        <f t="shared" si="125"/>
        <v>0.16000000000000003</v>
      </c>
      <c r="AT109" s="8">
        <f t="shared" si="125"/>
        <v>3.9999999999999994E-2</v>
      </c>
      <c r="AU109" s="54">
        <f t="shared" si="125"/>
        <v>0.15999999999999998</v>
      </c>
      <c r="AV109" s="8">
        <f t="shared" si="125"/>
        <v>0.14000000000000001</v>
      </c>
      <c r="AW109" s="8">
        <f t="shared" si="125"/>
        <v>0.17000000000000004</v>
      </c>
      <c r="AX109" s="8">
        <f t="shared" si="125"/>
        <v>7.0000000000000007E-2</v>
      </c>
      <c r="AY109" s="8">
        <f t="shared" si="125"/>
        <v>7.9999999999999988E-2</v>
      </c>
      <c r="AZ109" s="8">
        <f t="shared" si="125"/>
        <v>0.16999999999999998</v>
      </c>
      <c r="BA109" s="8">
        <f t="shared" si="125"/>
        <v>3.9999999999999994E-2</v>
      </c>
      <c r="BB109" s="8">
        <f t="shared" si="125"/>
        <v>0.03</v>
      </c>
      <c r="BC109" s="8">
        <f t="shared" si="125"/>
        <v>3.9999999999999994E-2</v>
      </c>
      <c r="BD109" s="8">
        <f t="shared" si="125"/>
        <v>7.0000000000000021E-2</v>
      </c>
      <c r="BE109" s="8">
        <f t="shared" si="125"/>
        <v>0.09</v>
      </c>
      <c r="BF109" s="8">
        <f t="shared" si="125"/>
        <v>0.09</v>
      </c>
      <c r="BG109" s="8">
        <f t="shared" si="125"/>
        <v>0.14000000000000004</v>
      </c>
      <c r="BH109" s="8">
        <f t="shared" si="125"/>
        <v>8.0000000000000016E-2</v>
      </c>
      <c r="BI109" s="8">
        <f t="shared" si="125"/>
        <v>5.0000000000000024E-2</v>
      </c>
      <c r="BJ109" s="8">
        <f t="shared" si="125"/>
        <v>0.11999999999999998</v>
      </c>
      <c r="BK109" s="8" t="e">
        <f t="shared" si="125"/>
        <v>#DIV/0!</v>
      </c>
      <c r="BL109" s="8"/>
      <c r="BM109" s="8">
        <f t="shared" si="124"/>
        <v>0.24249999999999994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 spans="1:78" s="5" customFormat="1">
      <c r="A110" s="4" t="s">
        <v>85</v>
      </c>
      <c r="B110" s="54">
        <f>(B91/B$94)*$B16*B$57/$C16</f>
        <v>2.0214175999737023</v>
      </c>
      <c r="C110" s="8">
        <f t="shared" ref="C110:BM110" si="126">(C91/C$94)*$B16*C$57/$C16</f>
        <v>2.037870116231725</v>
      </c>
      <c r="D110" s="8">
        <f t="shared" si="126"/>
        <v>2.0440621657200038</v>
      </c>
      <c r="E110" s="8">
        <f t="shared" si="126"/>
        <v>2.0067375913915875</v>
      </c>
      <c r="F110" s="8">
        <f t="shared" si="126"/>
        <v>2.0354159211217309</v>
      </c>
      <c r="G110" s="8">
        <f t="shared" si="126"/>
        <v>2.0296042453407614</v>
      </c>
      <c r="H110" s="8">
        <f t="shared" si="126"/>
        <v>2.035483894596954</v>
      </c>
      <c r="I110" s="8">
        <f t="shared" si="126"/>
        <v>2.0490312536455728</v>
      </c>
      <c r="J110" s="8">
        <f t="shared" si="126"/>
        <v>2.0464815466965192</v>
      </c>
      <c r="K110" s="54">
        <f t="shared" si="126"/>
        <v>1.9382737151446396</v>
      </c>
      <c r="L110" s="8">
        <f t="shared" si="126"/>
        <v>2.0552393762420818</v>
      </c>
      <c r="M110" s="8">
        <f t="shared" si="126"/>
        <v>2.0327767517656508</v>
      </c>
      <c r="N110" s="8">
        <f t="shared" si="126"/>
        <v>2.0440631942614007</v>
      </c>
      <c r="O110" s="8">
        <f t="shared" si="126"/>
        <v>2.0420175132341853</v>
      </c>
      <c r="P110" s="8">
        <f t="shared" si="126"/>
        <v>2.0091124334681818</v>
      </c>
      <c r="Q110" s="54">
        <f t="shared" si="126"/>
        <v>2.0748771098520158</v>
      </c>
      <c r="R110" s="8">
        <f t="shared" si="126"/>
        <v>2.0098605919394599</v>
      </c>
      <c r="S110" s="8">
        <f t="shared" si="126"/>
        <v>2.0109978130013451</v>
      </c>
      <c r="T110" s="8">
        <f t="shared" si="126"/>
        <v>2.00709693845429</v>
      </c>
      <c r="U110" s="8">
        <f t="shared" ref="U110:BK110" si="127">(U91/U$94)*$B16*U$57/$C16</f>
        <v>1.9923759530247918</v>
      </c>
      <c r="V110" s="8">
        <f t="shared" si="127"/>
        <v>2.0013039453623263</v>
      </c>
      <c r="W110" s="8">
        <f t="shared" si="127"/>
        <v>1.9998679942471205</v>
      </c>
      <c r="X110" s="8">
        <f t="shared" si="127"/>
        <v>2.0090291077031841</v>
      </c>
      <c r="Y110" s="54">
        <f t="shared" si="127"/>
        <v>1.9947725600037711</v>
      </c>
      <c r="Z110" s="8">
        <f t="shared" si="127"/>
        <v>2.02011240374254</v>
      </c>
      <c r="AA110" s="54">
        <f t="shared" si="127"/>
        <v>2.0507571227401598</v>
      </c>
      <c r="AB110" s="8">
        <f t="shared" si="127"/>
        <v>2.055753877789527</v>
      </c>
      <c r="AC110" s="8">
        <f t="shared" si="127"/>
        <v>2.0549551701107753</v>
      </c>
      <c r="AD110" s="8">
        <f t="shared" si="127"/>
        <v>2.0402543443325447</v>
      </c>
      <c r="AE110" s="8">
        <f t="shared" si="127"/>
        <v>2.0369911362762996</v>
      </c>
      <c r="AF110" s="8">
        <f t="shared" si="127"/>
        <v>2.03884564272906</v>
      </c>
      <c r="AG110" s="8">
        <f t="shared" si="127"/>
        <v>2.0407894696536988</v>
      </c>
      <c r="AH110" s="8">
        <f t="shared" si="127"/>
        <v>2.065628807929679</v>
      </c>
      <c r="AI110" s="8">
        <f t="shared" si="127"/>
        <v>2.0250052115523678</v>
      </c>
      <c r="AJ110" s="8">
        <f t="shared" si="127"/>
        <v>2.0426574945767264</v>
      </c>
      <c r="AK110" s="8">
        <f t="shared" si="127"/>
        <v>2.0354232455747896</v>
      </c>
      <c r="AL110" s="8">
        <f t="shared" si="127"/>
        <v>2.0282042715238973</v>
      </c>
      <c r="AM110" s="8">
        <f t="shared" si="127"/>
        <v>2.0471809304827961</v>
      </c>
      <c r="AN110" s="8">
        <f t="shared" si="127"/>
        <v>2.0340566957132804</v>
      </c>
      <c r="AO110" s="8">
        <f t="shared" si="127"/>
        <v>2.037817919632682</v>
      </c>
      <c r="AP110" s="8">
        <f t="shared" si="127"/>
        <v>2.0020250618816307</v>
      </c>
      <c r="AQ110" s="8">
        <f t="shared" si="127"/>
        <v>2.0085936328662313</v>
      </c>
      <c r="AR110" s="8">
        <f t="shared" si="127"/>
        <v>2.0025217415867496</v>
      </c>
      <c r="AS110" s="8">
        <f t="shared" si="127"/>
        <v>2.0038526509097006</v>
      </c>
      <c r="AT110" s="8">
        <f t="shared" si="127"/>
        <v>1.9879556508095138</v>
      </c>
      <c r="AU110" s="54">
        <f t="shared" si="127"/>
        <v>2.0053946950472374</v>
      </c>
      <c r="AV110" s="8">
        <f t="shared" si="127"/>
        <v>1.9981436019783019</v>
      </c>
      <c r="AW110" s="8">
        <f t="shared" si="127"/>
        <v>1.9776247131139815</v>
      </c>
      <c r="AX110" s="8">
        <f t="shared" si="127"/>
        <v>1.9734086736342287</v>
      </c>
      <c r="AY110" s="8">
        <f t="shared" si="127"/>
        <v>1.9896615170543248</v>
      </c>
      <c r="AZ110" s="8">
        <f t="shared" si="127"/>
        <v>2.0056256135112731</v>
      </c>
      <c r="BA110" s="8">
        <f t="shared" si="127"/>
        <v>2.0158072757168894</v>
      </c>
      <c r="BB110" s="8">
        <f t="shared" si="127"/>
        <v>2.0141356993917365</v>
      </c>
      <c r="BC110" s="8">
        <f t="shared" si="127"/>
        <v>1.9812364397756765</v>
      </c>
      <c r="BD110" s="8">
        <f t="shared" si="127"/>
        <v>2.0095284749356503</v>
      </c>
      <c r="BE110" s="8">
        <f t="shared" si="127"/>
        <v>2.0192348404475067</v>
      </c>
      <c r="BF110" s="8">
        <f t="shared" si="127"/>
        <v>1.9876792318329541</v>
      </c>
      <c r="BG110" s="8">
        <f t="shared" si="127"/>
        <v>1.9780344981641322</v>
      </c>
      <c r="BH110" s="8">
        <f t="shared" si="127"/>
        <v>1.9965673881011134</v>
      </c>
      <c r="BI110" s="8">
        <f t="shared" si="127"/>
        <v>1.9772406814502759</v>
      </c>
      <c r="BJ110" s="8">
        <f t="shared" si="127"/>
        <v>1.9831457538736903</v>
      </c>
      <c r="BK110" s="8" t="e">
        <f t="shared" si="127"/>
        <v>#DIV/0!</v>
      </c>
      <c r="BL110" s="8"/>
      <c r="BM110" s="8">
        <f t="shared" si="126"/>
        <v>2.0324528485027549</v>
      </c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spans="1:78" s="5" customFormat="1">
      <c r="A111" s="4" t="s">
        <v>86</v>
      </c>
      <c r="B111" s="54">
        <f>(B92/B$94)*$B17*B$57/$C17</f>
        <v>0</v>
      </c>
      <c r="C111" s="8">
        <f t="shared" ref="C111:BM111" si="128">(C92/C$94)*$B17*C$57/$C17</f>
        <v>0</v>
      </c>
      <c r="D111" s="8">
        <f t="shared" si="128"/>
        <v>0</v>
      </c>
      <c r="E111" s="8">
        <f t="shared" si="128"/>
        <v>0</v>
      </c>
      <c r="F111" s="8">
        <f t="shared" si="128"/>
        <v>0</v>
      </c>
      <c r="G111" s="8">
        <f t="shared" si="128"/>
        <v>0</v>
      </c>
      <c r="H111" s="8">
        <f t="shared" si="128"/>
        <v>0</v>
      </c>
      <c r="I111" s="8">
        <f t="shared" si="128"/>
        <v>0</v>
      </c>
      <c r="J111" s="8">
        <f t="shared" si="128"/>
        <v>0</v>
      </c>
      <c r="K111" s="54">
        <f t="shared" si="128"/>
        <v>0</v>
      </c>
      <c r="L111" s="8">
        <f t="shared" si="128"/>
        <v>0</v>
      </c>
      <c r="M111" s="8">
        <f t="shared" si="128"/>
        <v>0</v>
      </c>
      <c r="N111" s="8">
        <f t="shared" si="128"/>
        <v>0</v>
      </c>
      <c r="O111" s="8">
        <f t="shared" si="128"/>
        <v>0</v>
      </c>
      <c r="P111" s="8">
        <f t="shared" si="128"/>
        <v>0</v>
      </c>
      <c r="Q111" s="54">
        <f t="shared" si="128"/>
        <v>0</v>
      </c>
      <c r="R111" s="8">
        <f t="shared" si="128"/>
        <v>0</v>
      </c>
      <c r="S111" s="8">
        <f t="shared" si="128"/>
        <v>0</v>
      </c>
      <c r="T111" s="8">
        <f t="shared" si="128"/>
        <v>0</v>
      </c>
      <c r="U111" s="8">
        <f t="shared" ref="U111:BK111" si="129">(U92/U$94)*$B17*U$57/$C17</f>
        <v>0</v>
      </c>
      <c r="V111" s="8">
        <f t="shared" si="129"/>
        <v>0</v>
      </c>
      <c r="W111" s="8">
        <f t="shared" si="129"/>
        <v>0</v>
      </c>
      <c r="X111" s="8">
        <f t="shared" si="129"/>
        <v>0</v>
      </c>
      <c r="Y111" s="54">
        <f t="shared" si="129"/>
        <v>0</v>
      </c>
      <c r="Z111" s="8">
        <f t="shared" si="129"/>
        <v>0</v>
      </c>
      <c r="AA111" s="54">
        <f t="shared" si="129"/>
        <v>0</v>
      </c>
      <c r="AB111" s="8">
        <f t="shared" si="129"/>
        <v>0</v>
      </c>
      <c r="AC111" s="8">
        <f t="shared" si="129"/>
        <v>0</v>
      </c>
      <c r="AD111" s="8">
        <f t="shared" si="129"/>
        <v>0</v>
      </c>
      <c r="AE111" s="8">
        <f t="shared" si="129"/>
        <v>0</v>
      </c>
      <c r="AF111" s="8">
        <f t="shared" si="129"/>
        <v>0</v>
      </c>
      <c r="AG111" s="8">
        <f t="shared" si="129"/>
        <v>0</v>
      </c>
      <c r="AH111" s="8">
        <f t="shared" si="129"/>
        <v>0</v>
      </c>
      <c r="AI111" s="8">
        <f t="shared" si="129"/>
        <v>0</v>
      </c>
      <c r="AJ111" s="8">
        <f t="shared" si="129"/>
        <v>0</v>
      </c>
      <c r="AK111" s="8">
        <f t="shared" si="129"/>
        <v>0</v>
      </c>
      <c r="AL111" s="8">
        <f t="shared" si="129"/>
        <v>0</v>
      </c>
      <c r="AM111" s="8">
        <f t="shared" si="129"/>
        <v>0</v>
      </c>
      <c r="AN111" s="8">
        <f t="shared" si="129"/>
        <v>0</v>
      </c>
      <c r="AO111" s="8">
        <f t="shared" si="129"/>
        <v>0</v>
      </c>
      <c r="AP111" s="8">
        <f t="shared" si="129"/>
        <v>0</v>
      </c>
      <c r="AQ111" s="8">
        <f t="shared" si="129"/>
        <v>0</v>
      </c>
      <c r="AR111" s="8">
        <f t="shared" si="129"/>
        <v>0</v>
      </c>
      <c r="AS111" s="8">
        <f t="shared" si="129"/>
        <v>0</v>
      </c>
      <c r="AT111" s="8">
        <f t="shared" si="129"/>
        <v>0</v>
      </c>
      <c r="AU111" s="54">
        <f t="shared" si="129"/>
        <v>0</v>
      </c>
      <c r="AV111" s="8">
        <f t="shared" si="129"/>
        <v>0</v>
      </c>
      <c r="AW111" s="8">
        <f t="shared" si="129"/>
        <v>0</v>
      </c>
      <c r="AX111" s="8">
        <f t="shared" si="129"/>
        <v>0</v>
      </c>
      <c r="AY111" s="8">
        <f t="shared" si="129"/>
        <v>0</v>
      </c>
      <c r="AZ111" s="8">
        <f t="shared" si="129"/>
        <v>0</v>
      </c>
      <c r="BA111" s="8">
        <f t="shared" si="129"/>
        <v>0</v>
      </c>
      <c r="BB111" s="8">
        <f t="shared" si="129"/>
        <v>0</v>
      </c>
      <c r="BC111" s="8">
        <f t="shared" si="129"/>
        <v>0</v>
      </c>
      <c r="BD111" s="8">
        <f t="shared" si="129"/>
        <v>0</v>
      </c>
      <c r="BE111" s="8">
        <f t="shared" si="129"/>
        <v>0</v>
      </c>
      <c r="BF111" s="8">
        <f t="shared" si="129"/>
        <v>0</v>
      </c>
      <c r="BG111" s="8">
        <f t="shared" si="129"/>
        <v>0</v>
      </c>
      <c r="BH111" s="8">
        <f t="shared" si="129"/>
        <v>0</v>
      </c>
      <c r="BI111" s="8">
        <f t="shared" si="129"/>
        <v>0</v>
      </c>
      <c r="BJ111" s="8">
        <f t="shared" si="129"/>
        <v>0</v>
      </c>
      <c r="BK111" s="8" t="e">
        <f t="shared" si="129"/>
        <v>#DIV/0!</v>
      </c>
      <c r="BL111" s="8"/>
      <c r="BM111" s="8">
        <f t="shared" si="128"/>
        <v>0</v>
      </c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 spans="1:78" s="5" customFormat="1">
      <c r="A112" s="4" t="s">
        <v>87</v>
      </c>
      <c r="B112" s="54">
        <f>(B93/B$94)*$B18*B$57/$C18</f>
        <v>0</v>
      </c>
      <c r="C112" s="8">
        <f t="shared" ref="C112:BM112" si="130">(C93/C$94)*$B18*C$57/$C18</f>
        <v>0</v>
      </c>
      <c r="D112" s="8">
        <f t="shared" si="130"/>
        <v>0</v>
      </c>
      <c r="E112" s="8">
        <f t="shared" si="130"/>
        <v>0</v>
      </c>
      <c r="F112" s="8">
        <f t="shared" si="130"/>
        <v>0</v>
      </c>
      <c r="G112" s="8">
        <f t="shared" si="130"/>
        <v>0</v>
      </c>
      <c r="H112" s="8">
        <f t="shared" si="130"/>
        <v>0</v>
      </c>
      <c r="I112" s="8">
        <f t="shared" si="130"/>
        <v>0</v>
      </c>
      <c r="J112" s="8">
        <f t="shared" si="130"/>
        <v>0</v>
      </c>
      <c r="K112" s="54">
        <f t="shared" si="130"/>
        <v>0</v>
      </c>
      <c r="L112" s="8">
        <f t="shared" si="130"/>
        <v>0</v>
      </c>
      <c r="M112" s="8">
        <f t="shared" si="130"/>
        <v>0</v>
      </c>
      <c r="N112" s="8">
        <f t="shared" si="130"/>
        <v>0</v>
      </c>
      <c r="O112" s="8">
        <f t="shared" si="130"/>
        <v>0</v>
      </c>
      <c r="P112" s="8">
        <f t="shared" si="130"/>
        <v>0</v>
      </c>
      <c r="Q112" s="54">
        <f t="shared" si="130"/>
        <v>0</v>
      </c>
      <c r="R112" s="8">
        <f t="shared" si="130"/>
        <v>0</v>
      </c>
      <c r="S112" s="8">
        <f t="shared" si="130"/>
        <v>0</v>
      </c>
      <c r="T112" s="8">
        <f t="shared" si="130"/>
        <v>0</v>
      </c>
      <c r="U112" s="8">
        <f t="shared" ref="U112:BK112" si="131">(U93/U$94)*$B18*U$57/$C18</f>
        <v>0</v>
      </c>
      <c r="V112" s="8">
        <f t="shared" si="131"/>
        <v>0</v>
      </c>
      <c r="W112" s="8">
        <f t="shared" si="131"/>
        <v>0</v>
      </c>
      <c r="X112" s="8">
        <f t="shared" si="131"/>
        <v>0</v>
      </c>
      <c r="Y112" s="54">
        <f t="shared" si="131"/>
        <v>0</v>
      </c>
      <c r="Z112" s="8">
        <f t="shared" si="131"/>
        <v>0</v>
      </c>
      <c r="AA112" s="54">
        <f t="shared" si="131"/>
        <v>0</v>
      </c>
      <c r="AB112" s="8">
        <f t="shared" si="131"/>
        <v>0</v>
      </c>
      <c r="AC112" s="8">
        <f t="shared" si="131"/>
        <v>0</v>
      </c>
      <c r="AD112" s="8">
        <f t="shared" si="131"/>
        <v>0</v>
      </c>
      <c r="AE112" s="8">
        <f t="shared" si="131"/>
        <v>0</v>
      </c>
      <c r="AF112" s="8">
        <f t="shared" si="131"/>
        <v>0</v>
      </c>
      <c r="AG112" s="8">
        <f t="shared" si="131"/>
        <v>0</v>
      </c>
      <c r="AH112" s="8">
        <f t="shared" si="131"/>
        <v>0</v>
      </c>
      <c r="AI112" s="8">
        <f t="shared" si="131"/>
        <v>0</v>
      </c>
      <c r="AJ112" s="8">
        <f t="shared" si="131"/>
        <v>0</v>
      </c>
      <c r="AK112" s="8">
        <f t="shared" si="131"/>
        <v>0</v>
      </c>
      <c r="AL112" s="8">
        <f t="shared" si="131"/>
        <v>0</v>
      </c>
      <c r="AM112" s="8">
        <f t="shared" si="131"/>
        <v>0</v>
      </c>
      <c r="AN112" s="8">
        <f t="shared" si="131"/>
        <v>0</v>
      </c>
      <c r="AO112" s="8">
        <f t="shared" si="131"/>
        <v>0</v>
      </c>
      <c r="AP112" s="8">
        <f t="shared" si="131"/>
        <v>0</v>
      </c>
      <c r="AQ112" s="8">
        <f t="shared" si="131"/>
        <v>0</v>
      </c>
      <c r="AR112" s="8">
        <f t="shared" si="131"/>
        <v>0</v>
      </c>
      <c r="AS112" s="8">
        <f t="shared" si="131"/>
        <v>0</v>
      </c>
      <c r="AT112" s="8">
        <f t="shared" si="131"/>
        <v>0</v>
      </c>
      <c r="AU112" s="54">
        <f t="shared" si="131"/>
        <v>0</v>
      </c>
      <c r="AV112" s="8">
        <f t="shared" si="131"/>
        <v>0</v>
      </c>
      <c r="AW112" s="8">
        <f t="shared" si="131"/>
        <v>0</v>
      </c>
      <c r="AX112" s="8">
        <f t="shared" si="131"/>
        <v>0</v>
      </c>
      <c r="AY112" s="8">
        <f t="shared" si="131"/>
        <v>0</v>
      </c>
      <c r="AZ112" s="8">
        <f t="shared" si="131"/>
        <v>0</v>
      </c>
      <c r="BA112" s="8">
        <f t="shared" si="131"/>
        <v>0</v>
      </c>
      <c r="BB112" s="8">
        <f t="shared" si="131"/>
        <v>0</v>
      </c>
      <c r="BC112" s="8">
        <f t="shared" si="131"/>
        <v>0</v>
      </c>
      <c r="BD112" s="8">
        <f t="shared" si="131"/>
        <v>0</v>
      </c>
      <c r="BE112" s="8">
        <f t="shared" si="131"/>
        <v>0</v>
      </c>
      <c r="BF112" s="8">
        <f t="shared" si="131"/>
        <v>0</v>
      </c>
      <c r="BG112" s="8">
        <f t="shared" si="131"/>
        <v>0</v>
      </c>
      <c r="BH112" s="8">
        <f t="shared" si="131"/>
        <v>0</v>
      </c>
      <c r="BI112" s="8">
        <f t="shared" si="131"/>
        <v>0</v>
      </c>
      <c r="BJ112" s="8">
        <f t="shared" si="131"/>
        <v>0</v>
      </c>
      <c r="BK112" s="8" t="e">
        <f t="shared" si="131"/>
        <v>#DIV/0!</v>
      </c>
      <c r="BL112" s="8"/>
      <c r="BM112" s="8">
        <f t="shared" si="130"/>
        <v>0</v>
      </c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spans="1:78" s="5" customFormat="1">
      <c r="A113" s="4" t="s">
        <v>115</v>
      </c>
      <c r="B113" s="54">
        <f t="shared" ref="B113:BM113" si="132">SUM(B98:B112)</f>
        <v>97.848106507419757</v>
      </c>
      <c r="C113" s="8">
        <f t="shared" si="132"/>
        <v>98.706991953392489</v>
      </c>
      <c r="D113" s="8">
        <f t="shared" si="132"/>
        <v>99.626775457299729</v>
      </c>
      <c r="E113" s="8">
        <f t="shared" si="132"/>
        <v>97.90189905276948</v>
      </c>
      <c r="F113" s="8">
        <f t="shared" si="132"/>
        <v>99.014775559256734</v>
      </c>
      <c r="G113" s="8">
        <f t="shared" si="132"/>
        <v>99.175655950281637</v>
      </c>
      <c r="H113" s="8">
        <f t="shared" si="132"/>
        <v>98.785495975320714</v>
      </c>
      <c r="I113" s="8">
        <f t="shared" si="132"/>
        <v>99.623064670486201</v>
      </c>
      <c r="J113" s="8">
        <f t="shared" si="132"/>
        <v>99.083615575924085</v>
      </c>
      <c r="K113" s="54">
        <f t="shared" si="132"/>
        <v>94.662990054741059</v>
      </c>
      <c r="L113" s="8">
        <f t="shared" si="132"/>
        <v>99.620592918343704</v>
      </c>
      <c r="M113" s="8">
        <f t="shared" si="132"/>
        <v>98.801913829009905</v>
      </c>
      <c r="N113" s="8">
        <f t="shared" si="132"/>
        <v>99.013200271505667</v>
      </c>
      <c r="O113" s="8">
        <f t="shared" si="132"/>
        <v>99.583618000360161</v>
      </c>
      <c r="P113" s="8">
        <f t="shared" si="132"/>
        <v>98.208011709738187</v>
      </c>
      <c r="Q113" s="54">
        <f t="shared" si="132"/>
        <v>98.628550805050395</v>
      </c>
      <c r="R113" s="8">
        <f t="shared" si="132"/>
        <v>99.068790348376481</v>
      </c>
      <c r="S113" s="8">
        <f t="shared" si="132"/>
        <v>99.098592204093904</v>
      </c>
      <c r="T113" s="8">
        <f t="shared" si="132"/>
        <v>99.163816326067362</v>
      </c>
      <c r="U113" s="8">
        <f t="shared" ref="U113:BK113" si="133">SUM(U98:U112)</f>
        <v>98.511320949545294</v>
      </c>
      <c r="V113" s="8">
        <f t="shared" si="133"/>
        <v>98.934684919614256</v>
      </c>
      <c r="W113" s="8">
        <f t="shared" si="133"/>
        <v>97.970800798700878</v>
      </c>
      <c r="X113" s="8">
        <f t="shared" si="133"/>
        <v>98.461727159199356</v>
      </c>
      <c r="Y113" s="54">
        <f t="shared" si="133"/>
        <v>98.822574271903562</v>
      </c>
      <c r="Z113" s="8">
        <f t="shared" si="133"/>
        <v>98.906578750297868</v>
      </c>
      <c r="AA113" s="54">
        <f t="shared" si="133"/>
        <v>98.78803751244098</v>
      </c>
      <c r="AB113" s="8">
        <f t="shared" si="133"/>
        <v>100.11109217980761</v>
      </c>
      <c r="AC113" s="8">
        <f t="shared" si="133"/>
        <v>99.765811774146968</v>
      </c>
      <c r="AD113" s="8">
        <f t="shared" si="133"/>
        <v>99.574019480031893</v>
      </c>
      <c r="AE113" s="8">
        <f t="shared" si="133"/>
        <v>99.677003217000035</v>
      </c>
      <c r="AF113" s="8">
        <f t="shared" si="133"/>
        <v>99.580845531385989</v>
      </c>
      <c r="AG113" s="8">
        <f t="shared" si="133"/>
        <v>99.807240576125551</v>
      </c>
      <c r="AH113" s="8">
        <f t="shared" si="133"/>
        <v>100.61696101391438</v>
      </c>
      <c r="AI113" s="8">
        <f t="shared" si="133"/>
        <v>98.954111808629605</v>
      </c>
      <c r="AJ113" s="8">
        <f t="shared" si="133"/>
        <v>99.427757995620581</v>
      </c>
      <c r="AK113" s="8">
        <f t="shared" si="133"/>
        <v>99.283002396583868</v>
      </c>
      <c r="AL113" s="8">
        <f t="shared" si="133"/>
        <v>98.853112691844018</v>
      </c>
      <c r="AM113" s="8">
        <f t="shared" si="133"/>
        <v>99.611199107239941</v>
      </c>
      <c r="AN113" s="8">
        <f t="shared" si="133"/>
        <v>98.936962068016697</v>
      </c>
      <c r="AO113" s="8">
        <f t="shared" si="133"/>
        <v>99.054046465213744</v>
      </c>
      <c r="AP113" s="8">
        <f t="shared" si="133"/>
        <v>99.417531004818301</v>
      </c>
      <c r="AQ113" s="8">
        <f t="shared" si="133"/>
        <v>99.363194092156434</v>
      </c>
      <c r="AR113" s="8">
        <f t="shared" si="133"/>
        <v>99.351350857801066</v>
      </c>
      <c r="AS113" s="8">
        <f t="shared" si="133"/>
        <v>99.705145177005747</v>
      </c>
      <c r="AT113" s="8">
        <f t="shared" si="133"/>
        <v>98.72524208087215</v>
      </c>
      <c r="AU113" s="54">
        <f t="shared" si="133"/>
        <v>98.96443113206881</v>
      </c>
      <c r="AV113" s="8">
        <f t="shared" si="133"/>
        <v>99.362106858763298</v>
      </c>
      <c r="AW113" s="8">
        <f t="shared" si="133"/>
        <v>98.506914191193346</v>
      </c>
      <c r="AX113" s="8">
        <f t="shared" si="133"/>
        <v>97.508615855262619</v>
      </c>
      <c r="AY113" s="8">
        <f t="shared" si="133"/>
        <v>98.888505873352159</v>
      </c>
      <c r="AZ113" s="8">
        <f t="shared" si="133"/>
        <v>99.476012655960815</v>
      </c>
      <c r="BA113" s="8">
        <f t="shared" si="133"/>
        <v>99.005865076691165</v>
      </c>
      <c r="BB113" s="8">
        <f t="shared" si="133"/>
        <v>98.895306304819712</v>
      </c>
      <c r="BC113" s="8">
        <f t="shared" si="133"/>
        <v>97.573964971438855</v>
      </c>
      <c r="BD113" s="8">
        <f t="shared" si="133"/>
        <v>98.772924689271079</v>
      </c>
      <c r="BE113" s="8">
        <f t="shared" si="133"/>
        <v>99.427082272597829</v>
      </c>
      <c r="BF113" s="8">
        <f t="shared" si="133"/>
        <v>98.836032746098809</v>
      </c>
      <c r="BG113" s="8">
        <f t="shared" si="133"/>
        <v>98.602842278261576</v>
      </c>
      <c r="BH113" s="8">
        <f t="shared" si="133"/>
        <v>98.947131271190884</v>
      </c>
      <c r="BI113" s="8">
        <f t="shared" si="133"/>
        <v>98.350045413531035</v>
      </c>
      <c r="BJ113" s="8">
        <f t="shared" si="133"/>
        <v>98.487923053804124</v>
      </c>
      <c r="BK113" s="8" t="e">
        <f t="shared" si="133"/>
        <v>#DIV/0!</v>
      </c>
      <c r="BL113" s="8"/>
      <c r="BM113" s="8">
        <f t="shared" si="132"/>
        <v>98.835345640778314</v>
      </c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 spans="1:78" s="5" customFormat="1">
      <c r="A114" s="4" t="s">
        <v>90</v>
      </c>
      <c r="B114" s="54">
        <f>B111*0.4211+B112*0.2256</f>
        <v>0</v>
      </c>
      <c r="C114" s="8">
        <f t="shared" ref="C114:BM114" si="134">C111*0.4211+C112*0.2256</f>
        <v>0</v>
      </c>
      <c r="D114" s="8">
        <f t="shared" si="134"/>
        <v>0</v>
      </c>
      <c r="E114" s="8">
        <f t="shared" si="134"/>
        <v>0</v>
      </c>
      <c r="F114" s="8">
        <f t="shared" si="134"/>
        <v>0</v>
      </c>
      <c r="G114" s="8">
        <f t="shared" si="134"/>
        <v>0</v>
      </c>
      <c r="H114" s="8">
        <f t="shared" si="134"/>
        <v>0</v>
      </c>
      <c r="I114" s="8">
        <f t="shared" si="134"/>
        <v>0</v>
      </c>
      <c r="J114" s="8">
        <f t="shared" si="134"/>
        <v>0</v>
      </c>
      <c r="K114" s="54">
        <f t="shared" si="134"/>
        <v>0</v>
      </c>
      <c r="L114" s="8">
        <f t="shared" si="134"/>
        <v>0</v>
      </c>
      <c r="M114" s="8">
        <f t="shared" si="134"/>
        <v>0</v>
      </c>
      <c r="N114" s="8">
        <f t="shared" si="134"/>
        <v>0</v>
      </c>
      <c r="O114" s="8">
        <f t="shared" si="134"/>
        <v>0</v>
      </c>
      <c r="P114" s="8">
        <f t="shared" si="134"/>
        <v>0</v>
      </c>
      <c r="Q114" s="54">
        <f t="shared" si="134"/>
        <v>0</v>
      </c>
      <c r="R114" s="8">
        <f t="shared" si="134"/>
        <v>0</v>
      </c>
      <c r="S114" s="8">
        <f t="shared" si="134"/>
        <v>0</v>
      </c>
      <c r="T114" s="8">
        <f t="shared" si="134"/>
        <v>0</v>
      </c>
      <c r="U114" s="8">
        <f t="shared" ref="U114:BK114" si="135">U111*0.4211+U112*0.2256</f>
        <v>0</v>
      </c>
      <c r="V114" s="8">
        <f t="shared" si="135"/>
        <v>0</v>
      </c>
      <c r="W114" s="8">
        <f t="shared" si="135"/>
        <v>0</v>
      </c>
      <c r="X114" s="8">
        <f t="shared" si="135"/>
        <v>0</v>
      </c>
      <c r="Y114" s="54">
        <f t="shared" si="135"/>
        <v>0</v>
      </c>
      <c r="Z114" s="8">
        <f t="shared" si="135"/>
        <v>0</v>
      </c>
      <c r="AA114" s="54">
        <f t="shared" si="135"/>
        <v>0</v>
      </c>
      <c r="AB114" s="8">
        <f t="shared" si="135"/>
        <v>0</v>
      </c>
      <c r="AC114" s="8">
        <f t="shared" si="135"/>
        <v>0</v>
      </c>
      <c r="AD114" s="8">
        <f t="shared" si="135"/>
        <v>0</v>
      </c>
      <c r="AE114" s="8">
        <f t="shared" si="135"/>
        <v>0</v>
      </c>
      <c r="AF114" s="8">
        <f t="shared" si="135"/>
        <v>0</v>
      </c>
      <c r="AG114" s="8">
        <f t="shared" si="135"/>
        <v>0</v>
      </c>
      <c r="AH114" s="8">
        <f t="shared" si="135"/>
        <v>0</v>
      </c>
      <c r="AI114" s="8">
        <f t="shared" si="135"/>
        <v>0</v>
      </c>
      <c r="AJ114" s="8">
        <f t="shared" si="135"/>
        <v>0</v>
      </c>
      <c r="AK114" s="8">
        <f t="shared" si="135"/>
        <v>0</v>
      </c>
      <c r="AL114" s="8">
        <f t="shared" si="135"/>
        <v>0</v>
      </c>
      <c r="AM114" s="8">
        <f t="shared" si="135"/>
        <v>0</v>
      </c>
      <c r="AN114" s="8">
        <f t="shared" si="135"/>
        <v>0</v>
      </c>
      <c r="AO114" s="8">
        <f t="shared" si="135"/>
        <v>0</v>
      </c>
      <c r="AP114" s="8">
        <f t="shared" si="135"/>
        <v>0</v>
      </c>
      <c r="AQ114" s="8">
        <f t="shared" si="135"/>
        <v>0</v>
      </c>
      <c r="AR114" s="8">
        <f t="shared" si="135"/>
        <v>0</v>
      </c>
      <c r="AS114" s="8">
        <f t="shared" si="135"/>
        <v>0</v>
      </c>
      <c r="AT114" s="8">
        <f t="shared" si="135"/>
        <v>0</v>
      </c>
      <c r="AU114" s="54">
        <f t="shared" si="135"/>
        <v>0</v>
      </c>
      <c r="AV114" s="8">
        <f t="shared" si="135"/>
        <v>0</v>
      </c>
      <c r="AW114" s="8">
        <f t="shared" si="135"/>
        <v>0</v>
      </c>
      <c r="AX114" s="8">
        <f t="shared" si="135"/>
        <v>0</v>
      </c>
      <c r="AY114" s="8">
        <f t="shared" si="135"/>
        <v>0</v>
      </c>
      <c r="AZ114" s="8">
        <f t="shared" si="135"/>
        <v>0</v>
      </c>
      <c r="BA114" s="8">
        <f t="shared" si="135"/>
        <v>0</v>
      </c>
      <c r="BB114" s="8">
        <f t="shared" si="135"/>
        <v>0</v>
      </c>
      <c r="BC114" s="8">
        <f t="shared" si="135"/>
        <v>0</v>
      </c>
      <c r="BD114" s="8">
        <f t="shared" si="135"/>
        <v>0</v>
      </c>
      <c r="BE114" s="8">
        <f t="shared" si="135"/>
        <v>0</v>
      </c>
      <c r="BF114" s="8">
        <f t="shared" si="135"/>
        <v>0</v>
      </c>
      <c r="BG114" s="8">
        <f t="shared" si="135"/>
        <v>0</v>
      </c>
      <c r="BH114" s="8">
        <f t="shared" si="135"/>
        <v>0</v>
      </c>
      <c r="BI114" s="8">
        <f t="shared" si="135"/>
        <v>0</v>
      </c>
      <c r="BJ114" s="8">
        <f t="shared" si="135"/>
        <v>0</v>
      </c>
      <c r="BK114" s="8" t="e">
        <f t="shared" si="135"/>
        <v>#DIV/0!</v>
      </c>
      <c r="BL114" s="8"/>
      <c r="BM114" s="8">
        <f t="shared" si="134"/>
        <v>0</v>
      </c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spans="1:78" s="5" customFormat="1">
      <c r="A115" s="4" t="s">
        <v>115</v>
      </c>
      <c r="B115" s="54">
        <f t="shared" ref="B115:BM115" si="136">B113-B114</f>
        <v>97.848106507419757</v>
      </c>
      <c r="C115" s="8">
        <f t="shared" si="136"/>
        <v>98.706991953392489</v>
      </c>
      <c r="D115" s="8">
        <f t="shared" si="136"/>
        <v>99.626775457299729</v>
      </c>
      <c r="E115" s="8">
        <f t="shared" si="136"/>
        <v>97.90189905276948</v>
      </c>
      <c r="F115" s="8">
        <f t="shared" si="136"/>
        <v>99.014775559256734</v>
      </c>
      <c r="G115" s="8">
        <f t="shared" si="136"/>
        <v>99.175655950281637</v>
      </c>
      <c r="H115" s="8">
        <f t="shared" si="136"/>
        <v>98.785495975320714</v>
      </c>
      <c r="I115" s="8">
        <f t="shared" si="136"/>
        <v>99.623064670486201</v>
      </c>
      <c r="J115" s="8">
        <f t="shared" si="136"/>
        <v>99.083615575924085</v>
      </c>
      <c r="K115" s="54">
        <f t="shared" si="136"/>
        <v>94.662990054741059</v>
      </c>
      <c r="L115" s="8">
        <f t="shared" si="136"/>
        <v>99.620592918343704</v>
      </c>
      <c r="M115" s="8">
        <f t="shared" si="136"/>
        <v>98.801913829009905</v>
      </c>
      <c r="N115" s="8">
        <f t="shared" si="136"/>
        <v>99.013200271505667</v>
      </c>
      <c r="O115" s="8">
        <f t="shared" si="136"/>
        <v>99.583618000360161</v>
      </c>
      <c r="P115" s="8">
        <f t="shared" si="136"/>
        <v>98.208011709738187</v>
      </c>
      <c r="Q115" s="54">
        <f t="shared" si="136"/>
        <v>98.628550805050395</v>
      </c>
      <c r="R115" s="8">
        <f t="shared" si="136"/>
        <v>99.068790348376481</v>
      </c>
      <c r="S115" s="8">
        <f t="shared" si="136"/>
        <v>99.098592204093904</v>
      </c>
      <c r="T115" s="8">
        <f t="shared" si="136"/>
        <v>99.163816326067362</v>
      </c>
      <c r="U115" s="8">
        <f t="shared" ref="U115:BK115" si="137">U113-U114</f>
        <v>98.511320949545294</v>
      </c>
      <c r="V115" s="8">
        <f t="shared" si="137"/>
        <v>98.934684919614256</v>
      </c>
      <c r="W115" s="8">
        <f t="shared" si="137"/>
        <v>97.970800798700878</v>
      </c>
      <c r="X115" s="8">
        <f t="shared" si="137"/>
        <v>98.461727159199356</v>
      </c>
      <c r="Y115" s="54">
        <f t="shared" si="137"/>
        <v>98.822574271903562</v>
      </c>
      <c r="Z115" s="8">
        <f t="shared" si="137"/>
        <v>98.906578750297868</v>
      </c>
      <c r="AA115" s="54">
        <f t="shared" si="137"/>
        <v>98.78803751244098</v>
      </c>
      <c r="AB115" s="8">
        <f t="shared" si="137"/>
        <v>100.11109217980761</v>
      </c>
      <c r="AC115" s="8">
        <f t="shared" si="137"/>
        <v>99.765811774146968</v>
      </c>
      <c r="AD115" s="8">
        <f t="shared" si="137"/>
        <v>99.574019480031893</v>
      </c>
      <c r="AE115" s="8">
        <f t="shared" si="137"/>
        <v>99.677003217000035</v>
      </c>
      <c r="AF115" s="8">
        <f t="shared" si="137"/>
        <v>99.580845531385989</v>
      </c>
      <c r="AG115" s="8">
        <f t="shared" si="137"/>
        <v>99.807240576125551</v>
      </c>
      <c r="AH115" s="8">
        <f t="shared" si="137"/>
        <v>100.61696101391438</v>
      </c>
      <c r="AI115" s="8">
        <f t="shared" si="137"/>
        <v>98.954111808629605</v>
      </c>
      <c r="AJ115" s="8">
        <f t="shared" si="137"/>
        <v>99.427757995620581</v>
      </c>
      <c r="AK115" s="8">
        <f t="shared" si="137"/>
        <v>99.283002396583868</v>
      </c>
      <c r="AL115" s="8">
        <f t="shared" si="137"/>
        <v>98.853112691844018</v>
      </c>
      <c r="AM115" s="8">
        <f t="shared" si="137"/>
        <v>99.611199107239941</v>
      </c>
      <c r="AN115" s="8">
        <f t="shared" si="137"/>
        <v>98.936962068016697</v>
      </c>
      <c r="AO115" s="8">
        <f t="shared" si="137"/>
        <v>99.054046465213744</v>
      </c>
      <c r="AP115" s="8">
        <f t="shared" si="137"/>
        <v>99.417531004818301</v>
      </c>
      <c r="AQ115" s="8">
        <f t="shared" si="137"/>
        <v>99.363194092156434</v>
      </c>
      <c r="AR115" s="8">
        <f t="shared" si="137"/>
        <v>99.351350857801066</v>
      </c>
      <c r="AS115" s="8">
        <f t="shared" si="137"/>
        <v>99.705145177005747</v>
      </c>
      <c r="AT115" s="8">
        <f t="shared" si="137"/>
        <v>98.72524208087215</v>
      </c>
      <c r="AU115" s="54">
        <f t="shared" si="137"/>
        <v>98.96443113206881</v>
      </c>
      <c r="AV115" s="8">
        <f t="shared" si="137"/>
        <v>99.362106858763298</v>
      </c>
      <c r="AW115" s="8">
        <f t="shared" si="137"/>
        <v>98.506914191193346</v>
      </c>
      <c r="AX115" s="8">
        <f t="shared" si="137"/>
        <v>97.508615855262619</v>
      </c>
      <c r="AY115" s="8">
        <f t="shared" si="137"/>
        <v>98.888505873352159</v>
      </c>
      <c r="AZ115" s="8">
        <f t="shared" si="137"/>
        <v>99.476012655960815</v>
      </c>
      <c r="BA115" s="8">
        <f t="shared" si="137"/>
        <v>99.005865076691165</v>
      </c>
      <c r="BB115" s="8">
        <f t="shared" si="137"/>
        <v>98.895306304819712</v>
      </c>
      <c r="BC115" s="8">
        <f t="shared" si="137"/>
        <v>97.573964971438855</v>
      </c>
      <c r="BD115" s="8">
        <f t="shared" si="137"/>
        <v>98.772924689271079</v>
      </c>
      <c r="BE115" s="8">
        <f t="shared" si="137"/>
        <v>99.427082272597829</v>
      </c>
      <c r="BF115" s="8">
        <f t="shared" si="137"/>
        <v>98.836032746098809</v>
      </c>
      <c r="BG115" s="8">
        <f t="shared" si="137"/>
        <v>98.602842278261576</v>
      </c>
      <c r="BH115" s="8">
        <f t="shared" si="137"/>
        <v>98.947131271190884</v>
      </c>
      <c r="BI115" s="8">
        <f t="shared" si="137"/>
        <v>98.350045413531035</v>
      </c>
      <c r="BJ115" s="8">
        <f t="shared" si="137"/>
        <v>98.487923053804124</v>
      </c>
      <c r="BK115" s="8" t="e">
        <f t="shared" si="137"/>
        <v>#DIV/0!</v>
      </c>
      <c r="BL115" s="8"/>
      <c r="BM115" s="8">
        <f t="shared" si="136"/>
        <v>98.835345640778314</v>
      </c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 spans="1:78" s="5" customFormat="1">
      <c r="A116" s="4"/>
      <c r="B116" s="54"/>
      <c r="C116" s="8"/>
      <c r="D116" s="8"/>
      <c r="E116" s="8"/>
      <c r="F116" s="8"/>
      <c r="G116" s="8"/>
      <c r="H116" s="8"/>
      <c r="I116" s="8"/>
      <c r="J116" s="8"/>
      <c r="K116" s="54"/>
      <c r="L116" s="8"/>
      <c r="M116" s="8"/>
      <c r="N116" s="8"/>
      <c r="O116" s="8"/>
      <c r="P116" s="8"/>
      <c r="Q116" s="54"/>
      <c r="R116" s="8"/>
      <c r="S116" s="8"/>
      <c r="T116" s="8"/>
      <c r="U116" s="8"/>
      <c r="V116" s="8"/>
      <c r="W116" s="8"/>
      <c r="X116" s="8"/>
      <c r="Y116" s="54"/>
      <c r="Z116" s="8"/>
      <c r="AA116" s="54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54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spans="1:78" s="5" customFormat="1">
      <c r="A117" s="4"/>
      <c r="B117" s="54"/>
      <c r="C117" s="8"/>
      <c r="D117" s="8"/>
      <c r="E117" s="8"/>
      <c r="F117" s="8"/>
      <c r="G117" s="8"/>
      <c r="H117" s="8"/>
      <c r="I117" s="8"/>
      <c r="J117" s="8"/>
      <c r="K117" s="54"/>
      <c r="L117" s="8"/>
      <c r="M117" s="8"/>
      <c r="N117" s="8"/>
      <c r="O117" s="8"/>
      <c r="P117" s="8"/>
      <c r="Q117" s="54"/>
      <c r="R117" s="8"/>
      <c r="S117" s="8"/>
      <c r="T117" s="8"/>
      <c r="U117" s="8"/>
      <c r="V117" s="8"/>
      <c r="W117" s="8"/>
      <c r="X117" s="8"/>
      <c r="Y117" s="54"/>
      <c r="Z117" s="8"/>
      <c r="AA117" s="54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54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 spans="1:78" s="5" customFormat="1">
      <c r="A118" s="4" t="s">
        <v>73</v>
      </c>
      <c r="B118" s="54"/>
      <c r="C118" s="8"/>
      <c r="D118" s="8"/>
      <c r="E118" s="8"/>
      <c r="F118" s="8"/>
      <c r="G118" s="8"/>
      <c r="H118" s="8"/>
      <c r="I118" s="8"/>
      <c r="J118" s="8"/>
      <c r="K118" s="54"/>
      <c r="L118" s="8"/>
      <c r="M118" s="8"/>
      <c r="N118" s="8"/>
      <c r="O118" s="8"/>
      <c r="P118" s="8"/>
      <c r="Q118" s="54"/>
      <c r="R118" s="8"/>
      <c r="S118" s="8"/>
      <c r="T118" s="8"/>
      <c r="U118" s="8"/>
      <c r="V118" s="8"/>
      <c r="W118" s="8"/>
      <c r="X118" s="8"/>
      <c r="Y118" s="54"/>
      <c r="Z118" s="8"/>
      <c r="AA118" s="54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54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 spans="1:78" s="5" customFormat="1">
      <c r="A119" s="4" t="s">
        <v>74</v>
      </c>
      <c r="B119" s="54">
        <f>IF(8-B79&lt;0, 0, IF((8-B79)&gt;B82, B82, (8-B79)))</f>
        <v>1.111118610325315</v>
      </c>
      <c r="C119" s="8">
        <f t="shared" ref="C119:BM119" si="138">IF(8-C79&lt;0, 0, IF((8-C79)&gt;C82, C82, (8-C79)))</f>
        <v>1.3462482081586522</v>
      </c>
      <c r="D119" s="8">
        <f t="shared" si="138"/>
        <v>1.4016113807670072</v>
      </c>
      <c r="E119" s="8">
        <f t="shared" si="138"/>
        <v>1.4208371228925767</v>
      </c>
      <c r="F119" s="8">
        <f t="shared" si="138"/>
        <v>1.3780016577162932</v>
      </c>
      <c r="G119" s="8">
        <f t="shared" si="138"/>
        <v>1.4654134333840396</v>
      </c>
      <c r="H119" s="8">
        <f t="shared" si="138"/>
        <v>1.3767496515692201</v>
      </c>
      <c r="I119" s="8">
        <f t="shared" si="138"/>
        <v>1.3663939689999767</v>
      </c>
      <c r="J119" s="8">
        <f t="shared" si="138"/>
        <v>1.2672851428236829</v>
      </c>
      <c r="K119" s="54">
        <f t="shared" si="138"/>
        <v>1.1636949419151188</v>
      </c>
      <c r="L119" s="8">
        <f t="shared" si="138"/>
        <v>1.3426621746781624</v>
      </c>
      <c r="M119" s="8">
        <f t="shared" si="138"/>
        <v>1.4018565713485875</v>
      </c>
      <c r="N119" s="8">
        <f t="shared" si="138"/>
        <v>1.2930596738238567</v>
      </c>
      <c r="O119" s="8">
        <f t="shared" si="138"/>
        <v>1.4933892487458307</v>
      </c>
      <c r="P119" s="8">
        <f t="shared" si="138"/>
        <v>1.3286178177322396</v>
      </c>
      <c r="Q119" s="54">
        <f t="shared" si="138"/>
        <v>0.61660569864427384</v>
      </c>
      <c r="R119" s="8">
        <f t="shared" si="138"/>
        <v>1.5981555362275515</v>
      </c>
      <c r="S119" s="8">
        <f t="shared" si="138"/>
        <v>1.6047579449673171</v>
      </c>
      <c r="T119" s="8">
        <f t="shared" si="138"/>
        <v>1.634159914744659</v>
      </c>
      <c r="U119" s="8">
        <f t="shared" ref="U119:BK119" si="139">IF(8-U79&lt;0, 0, IF((8-U79)&gt;U82, U82, (8-U79)))</f>
        <v>1.6683957850062479</v>
      </c>
      <c r="V119" s="8">
        <f t="shared" si="139"/>
        <v>1.6726687873749295</v>
      </c>
      <c r="W119" s="8">
        <f t="shared" si="139"/>
        <v>1.1703320368498629</v>
      </c>
      <c r="X119" s="8">
        <f t="shared" si="139"/>
        <v>1.3925203867848266</v>
      </c>
      <c r="Y119" s="54">
        <f t="shared" si="139"/>
        <v>1.8323365101875799</v>
      </c>
      <c r="Z119" s="8">
        <f t="shared" si="139"/>
        <v>1.4065068727579328</v>
      </c>
      <c r="AA119" s="54">
        <f t="shared" si="139"/>
        <v>1.1292561896540203</v>
      </c>
      <c r="AB119" s="8">
        <f t="shared" si="139"/>
        <v>1.5427003130460619</v>
      </c>
      <c r="AC119" s="8">
        <f t="shared" si="139"/>
        <v>1.6467109918330607</v>
      </c>
      <c r="AD119" s="8">
        <f t="shared" si="139"/>
        <v>1.7082210591856164</v>
      </c>
      <c r="AE119" s="8">
        <f t="shared" si="139"/>
        <v>1.7437754272078649</v>
      </c>
      <c r="AF119" s="8">
        <f t="shared" si="139"/>
        <v>1.6671060272088907</v>
      </c>
      <c r="AG119" s="8">
        <f t="shared" si="139"/>
        <v>1.7745206310593522</v>
      </c>
      <c r="AH119" s="8">
        <f t="shared" si="139"/>
        <v>1.7027663890100717</v>
      </c>
      <c r="AI119" s="8">
        <f t="shared" si="139"/>
        <v>1.7422834652894004</v>
      </c>
      <c r="AJ119" s="8">
        <f t="shared" si="139"/>
        <v>1.6480966353400355</v>
      </c>
      <c r="AK119" s="8">
        <f t="shared" si="139"/>
        <v>1.5297637238163526</v>
      </c>
      <c r="AL119" s="8">
        <f t="shared" si="139"/>
        <v>1.5673498956925735</v>
      </c>
      <c r="AM119" s="8">
        <f t="shared" si="139"/>
        <v>1.5156591809527811</v>
      </c>
      <c r="AN119" s="8">
        <f t="shared" si="139"/>
        <v>1.4856140289886612</v>
      </c>
      <c r="AO119" s="8">
        <f t="shared" si="139"/>
        <v>1.4858660611359147</v>
      </c>
      <c r="AP119" s="8">
        <f t="shared" si="139"/>
        <v>1.3664087220767396</v>
      </c>
      <c r="AQ119" s="8">
        <f t="shared" si="139"/>
        <v>1.3477947694647359</v>
      </c>
      <c r="AR119" s="8">
        <f t="shared" si="139"/>
        <v>1.3845253366834287</v>
      </c>
      <c r="AS119" s="8">
        <f t="shared" si="139"/>
        <v>1.414357915881971</v>
      </c>
      <c r="AT119" s="8">
        <f t="shared" si="139"/>
        <v>1.3767784221165487</v>
      </c>
      <c r="AU119" s="54">
        <f t="shared" si="139"/>
        <v>1.1577538650688455</v>
      </c>
      <c r="AV119" s="8">
        <f t="shared" si="139"/>
        <v>1.4045456074211549</v>
      </c>
      <c r="AW119" s="8">
        <f t="shared" si="139"/>
        <v>1.4922872996536825</v>
      </c>
      <c r="AX119" s="8">
        <f t="shared" si="139"/>
        <v>1.425202196585321</v>
      </c>
      <c r="AY119" s="8">
        <f t="shared" si="139"/>
        <v>1.3975276378264772</v>
      </c>
      <c r="AZ119" s="8">
        <f t="shared" si="139"/>
        <v>1.3738322970551238</v>
      </c>
      <c r="BA119" s="8">
        <f t="shared" si="139"/>
        <v>1.5679529025049845</v>
      </c>
      <c r="BB119" s="8">
        <f t="shared" si="139"/>
        <v>1.5789911293882595</v>
      </c>
      <c r="BC119" s="8">
        <f t="shared" si="139"/>
        <v>1.5979863004151573</v>
      </c>
      <c r="BD119" s="8">
        <f t="shared" si="139"/>
        <v>1.6045583474845486</v>
      </c>
      <c r="BE119" s="8">
        <f t="shared" si="139"/>
        <v>1.6412409200905405</v>
      </c>
      <c r="BF119" s="8">
        <f t="shared" si="139"/>
        <v>1.7017090551145237</v>
      </c>
      <c r="BG119" s="8">
        <f t="shared" si="139"/>
        <v>1.7452795955609615</v>
      </c>
      <c r="BH119" s="8">
        <f t="shared" si="139"/>
        <v>1.5990857205432221</v>
      </c>
      <c r="BI119" s="8">
        <f t="shared" si="139"/>
        <v>1.706371581759484</v>
      </c>
      <c r="BJ119" s="8">
        <f t="shared" si="139"/>
        <v>1.6767269915406606</v>
      </c>
      <c r="BK119" s="8" t="e">
        <f t="shared" si="139"/>
        <v>#DIV/0!</v>
      </c>
      <c r="BL119" s="8"/>
      <c r="BM119" s="8">
        <f t="shared" si="138"/>
        <v>1.35838903424363</v>
      </c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 spans="1:78" s="5" customFormat="1">
      <c r="A120" s="4" t="s">
        <v>75</v>
      </c>
      <c r="B120" s="54">
        <f t="shared" ref="B120:BM120" si="140">B82-B119</f>
        <v>0.56047106065382346</v>
      </c>
      <c r="C120" s="8">
        <f t="shared" si="140"/>
        <v>0.59802343058549812</v>
      </c>
      <c r="D120" s="8">
        <f t="shared" si="140"/>
        <v>0.63533229324163765</v>
      </c>
      <c r="E120" s="8">
        <f t="shared" si="140"/>
        <v>0.64518636812351549</v>
      </c>
      <c r="F120" s="8">
        <f t="shared" si="140"/>
        <v>0.61549976570059628</v>
      </c>
      <c r="G120" s="8">
        <f t="shared" si="140"/>
        <v>0.60867957801416051</v>
      </c>
      <c r="H120" s="8">
        <f t="shared" si="140"/>
        <v>0.62710384939776054</v>
      </c>
      <c r="I120" s="8">
        <f t="shared" si="140"/>
        <v>0.60696126114041227</v>
      </c>
      <c r="J120" s="8">
        <f t="shared" si="140"/>
        <v>0.61008341688518763</v>
      </c>
      <c r="K120" s="54">
        <f t="shared" si="140"/>
        <v>0.526716630110724</v>
      </c>
      <c r="L120" s="8">
        <f t="shared" si="140"/>
        <v>0.61269402201825218</v>
      </c>
      <c r="M120" s="8">
        <f t="shared" si="140"/>
        <v>0.63944063418103703</v>
      </c>
      <c r="N120" s="8">
        <f t="shared" si="140"/>
        <v>0.71275821488380942</v>
      </c>
      <c r="O120" s="8">
        <f t="shared" si="140"/>
        <v>0.62348384971781234</v>
      </c>
      <c r="P120" s="8">
        <f t="shared" si="140"/>
        <v>0.3408951641709812</v>
      </c>
      <c r="Q120" s="54">
        <f t="shared" si="140"/>
        <v>0.20276518290215906</v>
      </c>
      <c r="R120" s="8">
        <f t="shared" si="140"/>
        <v>0.39079736613444482</v>
      </c>
      <c r="S120" s="8">
        <f t="shared" si="140"/>
        <v>0.40767638671767825</v>
      </c>
      <c r="T120" s="8">
        <f t="shared" si="140"/>
        <v>0.35400965682802288</v>
      </c>
      <c r="U120" s="8">
        <f t="shared" ref="U120:BK120" si="141">U82-U119</f>
        <v>0.42671231323230252</v>
      </c>
      <c r="V120" s="8">
        <f t="shared" si="141"/>
        <v>0.43958431869875447</v>
      </c>
      <c r="W120" s="8">
        <f t="shared" si="141"/>
        <v>0.30541858451502302</v>
      </c>
      <c r="X120" s="8">
        <f t="shared" si="141"/>
        <v>0.39669470685317521</v>
      </c>
      <c r="Y120" s="54">
        <f t="shared" si="141"/>
        <v>0.84143125791458528</v>
      </c>
      <c r="Z120" s="8">
        <f t="shared" si="141"/>
        <v>0.55660545792787564</v>
      </c>
      <c r="AA120" s="54">
        <f t="shared" si="141"/>
        <v>0.49773647522887976</v>
      </c>
      <c r="AB120" s="8">
        <f t="shared" si="141"/>
        <v>0.36746418943249037</v>
      </c>
      <c r="AC120" s="8">
        <f t="shared" si="141"/>
        <v>0.47919447185800124</v>
      </c>
      <c r="AD120" s="8">
        <f t="shared" si="141"/>
        <v>0.42607285420598995</v>
      </c>
      <c r="AE120" s="8">
        <f t="shared" si="141"/>
        <v>0.43037586055628418</v>
      </c>
      <c r="AF120" s="8">
        <f t="shared" si="141"/>
        <v>0.39758582240593521</v>
      </c>
      <c r="AG120" s="8">
        <f t="shared" si="141"/>
        <v>0.4735208317825137</v>
      </c>
      <c r="AH120" s="8">
        <f t="shared" si="141"/>
        <v>0.51482000873881084</v>
      </c>
      <c r="AI120" s="8">
        <f t="shared" si="141"/>
        <v>0.45869995266459984</v>
      </c>
      <c r="AJ120" s="8">
        <f t="shared" si="141"/>
        <v>0.47330425934555453</v>
      </c>
      <c r="AK120" s="8">
        <f t="shared" si="141"/>
        <v>0.71552204710364498</v>
      </c>
      <c r="AL120" s="8">
        <f t="shared" si="141"/>
        <v>0.74343574597452378</v>
      </c>
      <c r="AM120" s="8">
        <f t="shared" si="141"/>
        <v>0.71845763877306146</v>
      </c>
      <c r="AN120" s="8">
        <f t="shared" si="141"/>
        <v>0.72990232487740991</v>
      </c>
      <c r="AO120" s="8">
        <f t="shared" si="141"/>
        <v>0.71515437277193339</v>
      </c>
      <c r="AP120" s="8">
        <f t="shared" si="141"/>
        <v>0.40964582628471069</v>
      </c>
      <c r="AQ120" s="8">
        <f t="shared" si="141"/>
        <v>0.47172293764162743</v>
      </c>
      <c r="AR120" s="8">
        <f t="shared" si="141"/>
        <v>0.44403941883788134</v>
      </c>
      <c r="AS120" s="8">
        <f t="shared" si="141"/>
        <v>0.41652005541727366</v>
      </c>
      <c r="AT120" s="8">
        <f t="shared" si="141"/>
        <v>0.4331813223677794</v>
      </c>
      <c r="AU120" s="54">
        <f t="shared" si="141"/>
        <v>0.35446710236296619</v>
      </c>
      <c r="AV120" s="8">
        <f t="shared" si="141"/>
        <v>0.42625683164481853</v>
      </c>
      <c r="AW120" s="8">
        <f t="shared" si="141"/>
        <v>0.46653257988522112</v>
      </c>
      <c r="AX120" s="8">
        <f t="shared" si="141"/>
        <v>0.71690882748561879</v>
      </c>
      <c r="AY120" s="8">
        <f t="shared" si="141"/>
        <v>0.43397392863191864</v>
      </c>
      <c r="AZ120" s="8">
        <f t="shared" si="141"/>
        <v>0.43251738678041329</v>
      </c>
      <c r="BA120" s="8">
        <f t="shared" si="141"/>
        <v>0.45020036104497274</v>
      </c>
      <c r="BB120" s="8">
        <f t="shared" si="141"/>
        <v>0.48119851130871494</v>
      </c>
      <c r="BC120" s="8">
        <f t="shared" si="141"/>
        <v>0.39115845735608556</v>
      </c>
      <c r="BD120" s="8">
        <f t="shared" si="141"/>
        <v>0.5008086708401418</v>
      </c>
      <c r="BE120" s="8">
        <f t="shared" si="141"/>
        <v>0.42249823149074484</v>
      </c>
      <c r="BF120" s="8">
        <f t="shared" si="141"/>
        <v>0.45525213079878979</v>
      </c>
      <c r="BG120" s="8">
        <f t="shared" si="141"/>
        <v>0.43828062325274519</v>
      </c>
      <c r="BH120" s="8">
        <f t="shared" si="141"/>
        <v>0.46506975830915342</v>
      </c>
      <c r="BI120" s="8">
        <f t="shared" si="141"/>
        <v>0.45303900469184866</v>
      </c>
      <c r="BJ120" s="8">
        <f t="shared" si="141"/>
        <v>0.41387426458069543</v>
      </c>
      <c r="BK120" s="8" t="e">
        <f t="shared" si="141"/>
        <v>#DIV/0!</v>
      </c>
      <c r="BL120" s="8"/>
      <c r="BM120" s="8">
        <f t="shared" si="140"/>
        <v>0.61215058758397722</v>
      </c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 spans="1:78" s="5" customFormat="1">
      <c r="A121" s="4" t="s">
        <v>76</v>
      </c>
      <c r="B121" s="54">
        <f>B87/(B87+B84)</f>
        <v>0.66828306511617508</v>
      </c>
      <c r="C121" s="8">
        <f t="shared" ref="C121:BM121" si="142">C87/(C87+C84)</f>
        <v>0.68305315612460538</v>
      </c>
      <c r="D121" s="8">
        <f t="shared" si="142"/>
        <v>0.64950637392652899</v>
      </c>
      <c r="E121" s="8">
        <f t="shared" si="142"/>
        <v>0.6462639398321629</v>
      </c>
      <c r="F121" s="8">
        <f t="shared" si="142"/>
        <v>0.66238595239615949</v>
      </c>
      <c r="G121" s="8">
        <f t="shared" si="142"/>
        <v>0.64448908001985417</v>
      </c>
      <c r="H121" s="8">
        <f t="shared" si="142"/>
        <v>0.6719035485598297</v>
      </c>
      <c r="I121" s="8">
        <f t="shared" si="142"/>
        <v>0.66229736065472888</v>
      </c>
      <c r="J121" s="8">
        <f t="shared" si="142"/>
        <v>0.67459046529320044</v>
      </c>
      <c r="K121" s="54">
        <f t="shared" si="142"/>
        <v>0.62895429277836323</v>
      </c>
      <c r="L121" s="8">
        <f t="shared" si="142"/>
        <v>0.67586543954367173</v>
      </c>
      <c r="M121" s="8">
        <f t="shared" si="142"/>
        <v>0.66144733277396239</v>
      </c>
      <c r="N121" s="8">
        <f t="shared" si="142"/>
        <v>0.65431364973148609</v>
      </c>
      <c r="O121" s="8">
        <f t="shared" si="142"/>
        <v>0.65085710479473224</v>
      </c>
      <c r="P121" s="8">
        <f t="shared" si="142"/>
        <v>0.67218827284552718</v>
      </c>
      <c r="Q121" s="54">
        <f t="shared" si="142"/>
        <v>0.78439130761921505</v>
      </c>
      <c r="R121" s="8">
        <f t="shared" si="142"/>
        <v>0.64449632322814066</v>
      </c>
      <c r="S121" s="8">
        <f t="shared" si="142"/>
        <v>0.64506412647043654</v>
      </c>
      <c r="T121" s="8">
        <f t="shared" si="142"/>
        <v>0.64052427678882518</v>
      </c>
      <c r="U121" s="8">
        <f t="shared" ref="U121:BK121" si="143">U87/(U87+U84)</f>
        <v>0.6271911713569448</v>
      </c>
      <c r="V121" s="8">
        <f t="shared" si="143"/>
        <v>0.63200382155288215</v>
      </c>
      <c r="W121" s="8">
        <f t="shared" si="143"/>
        <v>0.65282550721961219</v>
      </c>
      <c r="X121" s="8">
        <f t="shared" si="143"/>
        <v>0.66252893480156294</v>
      </c>
      <c r="Y121" s="54">
        <f t="shared" si="143"/>
        <v>0.53178509403680707</v>
      </c>
      <c r="Z121" s="8">
        <f t="shared" si="143"/>
        <v>0.64420282717017463</v>
      </c>
      <c r="AA121" s="54">
        <f t="shared" si="143"/>
        <v>0.70684336748859355</v>
      </c>
      <c r="AB121" s="8">
        <f t="shared" si="143"/>
        <v>0.68547068482814766</v>
      </c>
      <c r="AC121" s="8">
        <f t="shared" si="143"/>
        <v>0.6974224101797305</v>
      </c>
      <c r="AD121" s="8">
        <f t="shared" si="143"/>
        <v>0.68212728453474347</v>
      </c>
      <c r="AE121" s="8">
        <f t="shared" si="143"/>
        <v>0.66684483356436874</v>
      </c>
      <c r="AF121" s="8">
        <f t="shared" si="143"/>
        <v>0.67695929785934228</v>
      </c>
      <c r="AG121" s="8">
        <f t="shared" si="143"/>
        <v>0.66523559392698439</v>
      </c>
      <c r="AH121" s="8">
        <f t="shared" si="143"/>
        <v>0.67816645025898015</v>
      </c>
      <c r="AI121" s="8">
        <f t="shared" si="143"/>
        <v>0.67079900822293781</v>
      </c>
      <c r="AJ121" s="8">
        <f t="shared" si="143"/>
        <v>0.68373963412648286</v>
      </c>
      <c r="AK121" s="8">
        <f t="shared" si="143"/>
        <v>0.64541035820982395</v>
      </c>
      <c r="AL121" s="8">
        <f t="shared" si="143"/>
        <v>0.64351974603104933</v>
      </c>
      <c r="AM121" s="8">
        <f t="shared" si="143"/>
        <v>0.65519614113207558</v>
      </c>
      <c r="AN121" s="8">
        <f t="shared" si="143"/>
        <v>0.65269943670392216</v>
      </c>
      <c r="AO121" s="8">
        <f t="shared" si="143"/>
        <v>0.65968446958886329</v>
      </c>
      <c r="AP121" s="8">
        <f t="shared" si="143"/>
        <v>0.54713889055199738</v>
      </c>
      <c r="AQ121" s="8">
        <f t="shared" si="143"/>
        <v>0.55413462655548174</v>
      </c>
      <c r="AR121" s="8">
        <f t="shared" si="143"/>
        <v>0.54923730327596376</v>
      </c>
      <c r="AS121" s="8">
        <f t="shared" si="143"/>
        <v>0.53777623398898899</v>
      </c>
      <c r="AT121" s="8">
        <f t="shared" si="143"/>
        <v>0.53943487396040102</v>
      </c>
      <c r="AU121" s="54">
        <f t="shared" si="143"/>
        <v>0.57900422966678211</v>
      </c>
      <c r="AV121" s="8">
        <f t="shared" si="143"/>
        <v>0.53435592737970627</v>
      </c>
      <c r="AW121" s="8">
        <f t="shared" si="143"/>
        <v>0.5329901605814501</v>
      </c>
      <c r="AX121" s="8">
        <f t="shared" si="143"/>
        <v>0.51248091589821121</v>
      </c>
      <c r="AY121" s="8">
        <f t="shared" si="143"/>
        <v>0.53431548713322718</v>
      </c>
      <c r="AZ121" s="8">
        <f t="shared" si="143"/>
        <v>0.55128437800508123</v>
      </c>
      <c r="BA121" s="8">
        <f t="shared" si="143"/>
        <v>0.63013796479247708</v>
      </c>
      <c r="BB121" s="8">
        <f t="shared" si="143"/>
        <v>0.62624170295551407</v>
      </c>
      <c r="BC121" s="8">
        <f t="shared" si="143"/>
        <v>0.6282577058009543</v>
      </c>
      <c r="BD121" s="8">
        <f t="shared" si="143"/>
        <v>0.62171620602799227</v>
      </c>
      <c r="BE121" s="8">
        <f t="shared" si="143"/>
        <v>0.62755739922735476</v>
      </c>
      <c r="BF121" s="8">
        <f t="shared" si="143"/>
        <v>0.55510181557309202</v>
      </c>
      <c r="BG121" s="8">
        <f t="shared" si="143"/>
        <v>0.54909406767254987</v>
      </c>
      <c r="BH121" s="8">
        <f t="shared" si="143"/>
        <v>0.5681122496379748</v>
      </c>
      <c r="BI121" s="8">
        <f t="shared" si="143"/>
        <v>0.54722140205829095</v>
      </c>
      <c r="BJ121" s="8">
        <f t="shared" si="143"/>
        <v>0.56946460476586214</v>
      </c>
      <c r="BK121" s="8" t="e">
        <f t="shared" si="143"/>
        <v>#DIV/0!</v>
      </c>
      <c r="BL121" s="8"/>
      <c r="BM121" s="8">
        <f t="shared" si="142"/>
        <v>0.66109775164816209</v>
      </c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 spans="1:78" s="5" customFormat="1">
      <c r="A122" s="4" t="s">
        <v>77</v>
      </c>
      <c r="B122" s="54">
        <f>B87/(B87+B84+B83)</f>
        <v>0.61710686562587969</v>
      </c>
      <c r="C122" s="8">
        <f t="shared" ref="C122:BM122" si="144">C87/(C87+C84+C83)</f>
        <v>0.63290393032629255</v>
      </c>
      <c r="D122" s="8">
        <f t="shared" si="144"/>
        <v>0.59717947410279482</v>
      </c>
      <c r="E122" s="8">
        <f t="shared" si="144"/>
        <v>0.59375573613183097</v>
      </c>
      <c r="F122" s="8">
        <f t="shared" si="144"/>
        <v>0.6108297742737816</v>
      </c>
      <c r="G122" s="8">
        <f t="shared" si="144"/>
        <v>0.5918837921524871</v>
      </c>
      <c r="H122" s="8">
        <f t="shared" si="144"/>
        <v>0.62096910833514751</v>
      </c>
      <c r="I122" s="8">
        <f t="shared" si="144"/>
        <v>0.61073560427802442</v>
      </c>
      <c r="J122" s="8">
        <f t="shared" si="144"/>
        <v>0.62383962478496546</v>
      </c>
      <c r="K122" s="54">
        <f t="shared" si="144"/>
        <v>0.57556414176976867</v>
      </c>
      <c r="L122" s="8">
        <f t="shared" si="144"/>
        <v>0.62520296729373503</v>
      </c>
      <c r="M122" s="8">
        <f t="shared" si="144"/>
        <v>0.60983224914669554</v>
      </c>
      <c r="N122" s="8">
        <f t="shared" si="144"/>
        <v>0.60226495609013009</v>
      </c>
      <c r="O122" s="8">
        <f t="shared" si="144"/>
        <v>0.59860723869272969</v>
      </c>
      <c r="P122" s="8">
        <f t="shared" si="144"/>
        <v>0.62127311927914164</v>
      </c>
      <c r="Q122" s="54">
        <f t="shared" si="144"/>
        <v>0.74427335633585701</v>
      </c>
      <c r="R122" s="8">
        <f t="shared" si="144"/>
        <v>0.59189142846121334</v>
      </c>
      <c r="S122" s="8">
        <f t="shared" si="144"/>
        <v>0.59249012633348253</v>
      </c>
      <c r="T122" s="8">
        <f t="shared" si="144"/>
        <v>0.5877076212430582</v>
      </c>
      <c r="U122" s="8">
        <f t="shared" ref="U122:BK122" si="145">U87/(U87+U84+U83)</f>
        <v>0.57371926917881855</v>
      </c>
      <c r="V122" s="8">
        <f t="shared" si="145"/>
        <v>0.5787585846996488</v>
      </c>
      <c r="W122" s="8">
        <f t="shared" si="145"/>
        <v>0.6006894899699089</v>
      </c>
      <c r="X122" s="8">
        <f t="shared" si="145"/>
        <v>0.61098176780229663</v>
      </c>
      <c r="Y122" s="54">
        <f t="shared" si="145"/>
        <v>0.47606044492362892</v>
      </c>
      <c r="Z122" s="8">
        <f t="shared" si="145"/>
        <v>0.59158202423980744</v>
      </c>
      <c r="AA122" s="54">
        <f t="shared" si="145"/>
        <v>0.6585768263247409</v>
      </c>
      <c r="AB122" s="8">
        <f t="shared" si="145"/>
        <v>0.63549985155295641</v>
      </c>
      <c r="AC122" s="8">
        <f t="shared" si="145"/>
        <v>0.64837637032257556</v>
      </c>
      <c r="AD122" s="8">
        <f t="shared" si="145"/>
        <v>0.63191050731215759</v>
      </c>
      <c r="AE122" s="8">
        <f t="shared" si="145"/>
        <v>0.61557438674683074</v>
      </c>
      <c r="AF122" s="8">
        <f t="shared" si="145"/>
        <v>0.62637328168030393</v>
      </c>
      <c r="AG122" s="8">
        <f t="shared" si="145"/>
        <v>0.61386089910214059</v>
      </c>
      <c r="AH122" s="8">
        <f t="shared" si="145"/>
        <v>0.62766549655723625</v>
      </c>
      <c r="AI122" s="8">
        <f t="shared" si="145"/>
        <v>0.61979012709002124</v>
      </c>
      <c r="AJ122" s="8">
        <f t="shared" si="145"/>
        <v>0.63364076878444653</v>
      </c>
      <c r="AK122" s="8">
        <f t="shared" si="145"/>
        <v>0.59285527344844835</v>
      </c>
      <c r="AL122" s="8">
        <f t="shared" si="145"/>
        <v>0.5908620799506884</v>
      </c>
      <c r="AM122" s="8">
        <f t="shared" si="145"/>
        <v>0.6031997414979211</v>
      </c>
      <c r="AN122" s="8">
        <f t="shared" si="145"/>
        <v>0.60055607124532684</v>
      </c>
      <c r="AO122" s="8">
        <f t="shared" si="145"/>
        <v>0.60795991901203972</v>
      </c>
      <c r="AP122" s="8">
        <f t="shared" si="145"/>
        <v>0.491494234474179</v>
      </c>
      <c r="AQ122" s="8">
        <f t="shared" si="145"/>
        <v>0.49856176920279116</v>
      </c>
      <c r="AR122" s="8">
        <f t="shared" si="145"/>
        <v>0.49361185100273031</v>
      </c>
      <c r="AS122" s="8">
        <f t="shared" si="145"/>
        <v>0.48207016249185741</v>
      </c>
      <c r="AT122" s="8">
        <f t="shared" si="145"/>
        <v>0.48373679900900707</v>
      </c>
      <c r="AU122" s="54">
        <f t="shared" si="145"/>
        <v>0.52386770740849775</v>
      </c>
      <c r="AV122" s="8">
        <f t="shared" si="145"/>
        <v>0.47863727488354324</v>
      </c>
      <c r="AW122" s="8">
        <f t="shared" si="145"/>
        <v>0.47726795305275355</v>
      </c>
      <c r="AX122" s="8">
        <f t="shared" si="145"/>
        <v>0.4568055589680356</v>
      </c>
      <c r="AY122" s="8">
        <f t="shared" si="145"/>
        <v>0.47859671733972997</v>
      </c>
      <c r="AZ122" s="8">
        <f t="shared" si="145"/>
        <v>0.49567958471382001</v>
      </c>
      <c r="BA122" s="8">
        <f t="shared" si="145"/>
        <v>0.57680353266581064</v>
      </c>
      <c r="BB122" s="8">
        <f t="shared" si="145"/>
        <v>0.57272639265749026</v>
      </c>
      <c r="BC122" s="8">
        <f t="shared" si="145"/>
        <v>0.57483507811940548</v>
      </c>
      <c r="BD122" s="8">
        <f t="shared" si="145"/>
        <v>0.56799991529463401</v>
      </c>
      <c r="BE122" s="8">
        <f t="shared" si="145"/>
        <v>0.57410235561830847</v>
      </c>
      <c r="BF122" s="8">
        <f t="shared" si="145"/>
        <v>0.49954063516499891</v>
      </c>
      <c r="BG122" s="8">
        <f t="shared" si="145"/>
        <v>0.49346724107055639</v>
      </c>
      <c r="BH122" s="8">
        <f t="shared" si="145"/>
        <v>0.51274967385314996</v>
      </c>
      <c r="BI122" s="8">
        <f t="shared" si="145"/>
        <v>0.4915774633944236</v>
      </c>
      <c r="BJ122" s="8">
        <f t="shared" si="145"/>
        <v>0.51412712366855429</v>
      </c>
      <c r="BK122" s="8" t="e">
        <f t="shared" si="145"/>
        <v>#DIV/0!</v>
      </c>
      <c r="BL122" s="8"/>
      <c r="BM122" s="8">
        <f t="shared" si="144"/>
        <v>0.60946083945475815</v>
      </c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 spans="1:78" s="5" customFormat="1">
      <c r="A123" s="4" t="s">
        <v>91</v>
      </c>
      <c r="B123" s="54">
        <f>B83/(B83+B84)</f>
        <v>0.2</v>
      </c>
      <c r="C123" s="8">
        <f>C83/(C83+C84)</f>
        <v>0.2</v>
      </c>
      <c r="D123" s="8">
        <f t="shared" ref="D123:BM123" si="146">D83/(D83+D84)</f>
        <v>0.19999999999999998</v>
      </c>
      <c r="E123" s="8">
        <f t="shared" si="146"/>
        <v>0.2</v>
      </c>
      <c r="F123" s="8">
        <f t="shared" si="146"/>
        <v>0.19999999999999998</v>
      </c>
      <c r="G123" s="8">
        <f t="shared" si="146"/>
        <v>0.2</v>
      </c>
      <c r="H123" s="8">
        <f t="shared" si="146"/>
        <v>0.2</v>
      </c>
      <c r="I123" s="8">
        <f t="shared" si="146"/>
        <v>0.19999999999999998</v>
      </c>
      <c r="J123" s="8">
        <f t="shared" si="146"/>
        <v>0.19999999999999998</v>
      </c>
      <c r="K123" s="54">
        <f t="shared" si="146"/>
        <v>0.19999999999999998</v>
      </c>
      <c r="L123" s="8">
        <f t="shared" si="146"/>
        <v>0.19999999999999998</v>
      </c>
      <c r="M123" s="8">
        <f t="shared" si="146"/>
        <v>0.2</v>
      </c>
      <c r="N123" s="8">
        <f t="shared" si="146"/>
        <v>0.19999999999999998</v>
      </c>
      <c r="O123" s="8">
        <f t="shared" si="146"/>
        <v>0.19999999999999998</v>
      </c>
      <c r="P123" s="8">
        <f t="shared" si="146"/>
        <v>0.2</v>
      </c>
      <c r="Q123" s="54">
        <f t="shared" si="146"/>
        <v>0.19999999999999998</v>
      </c>
      <c r="R123" s="8">
        <f t="shared" si="146"/>
        <v>0.2</v>
      </c>
      <c r="S123" s="8">
        <f t="shared" si="146"/>
        <v>0.2</v>
      </c>
      <c r="T123" s="8">
        <f t="shared" si="146"/>
        <v>0.2</v>
      </c>
      <c r="U123" s="8">
        <f t="shared" ref="U123:BK123" si="147">U83/(U83+U84)</f>
        <v>0.2</v>
      </c>
      <c r="V123" s="8">
        <f t="shared" si="147"/>
        <v>0.2</v>
      </c>
      <c r="W123" s="8">
        <f t="shared" si="147"/>
        <v>0.2</v>
      </c>
      <c r="X123" s="8">
        <f t="shared" si="147"/>
        <v>0.19999999999999998</v>
      </c>
      <c r="Y123" s="54">
        <f t="shared" si="147"/>
        <v>0.19999999999999998</v>
      </c>
      <c r="Z123" s="8">
        <f t="shared" si="147"/>
        <v>0.19999999999999998</v>
      </c>
      <c r="AA123" s="54">
        <f t="shared" si="147"/>
        <v>0.19999999999999998</v>
      </c>
      <c r="AB123" s="8">
        <f t="shared" si="147"/>
        <v>0.2</v>
      </c>
      <c r="AC123" s="8">
        <f t="shared" si="147"/>
        <v>0.19999999999999998</v>
      </c>
      <c r="AD123" s="8">
        <f t="shared" si="147"/>
        <v>0.2</v>
      </c>
      <c r="AE123" s="8">
        <f t="shared" si="147"/>
        <v>0.2</v>
      </c>
      <c r="AF123" s="8">
        <f t="shared" si="147"/>
        <v>0.2</v>
      </c>
      <c r="AG123" s="8">
        <f t="shared" si="147"/>
        <v>0.2</v>
      </c>
      <c r="AH123" s="8">
        <f t="shared" si="147"/>
        <v>0.2</v>
      </c>
      <c r="AI123" s="8">
        <f t="shared" si="147"/>
        <v>0.2</v>
      </c>
      <c r="AJ123" s="8">
        <f t="shared" si="147"/>
        <v>0.19999999999999998</v>
      </c>
      <c r="AK123" s="8">
        <f t="shared" si="147"/>
        <v>0.19999999999999998</v>
      </c>
      <c r="AL123" s="8">
        <f t="shared" si="147"/>
        <v>0.19999999999999998</v>
      </c>
      <c r="AM123" s="8">
        <f t="shared" si="147"/>
        <v>0.2</v>
      </c>
      <c r="AN123" s="8">
        <f t="shared" si="147"/>
        <v>0.19999999999999998</v>
      </c>
      <c r="AO123" s="8">
        <f t="shared" si="147"/>
        <v>0.19999999999999998</v>
      </c>
      <c r="AP123" s="8">
        <f t="shared" si="147"/>
        <v>0.2</v>
      </c>
      <c r="AQ123" s="8">
        <f t="shared" si="147"/>
        <v>0.2</v>
      </c>
      <c r="AR123" s="8">
        <f t="shared" si="147"/>
        <v>0.2</v>
      </c>
      <c r="AS123" s="8">
        <f t="shared" si="147"/>
        <v>0.2</v>
      </c>
      <c r="AT123" s="8">
        <f t="shared" si="147"/>
        <v>0.2</v>
      </c>
      <c r="AU123" s="54">
        <f t="shared" si="147"/>
        <v>0.2</v>
      </c>
      <c r="AV123" s="8">
        <f t="shared" si="147"/>
        <v>0.19999999999999998</v>
      </c>
      <c r="AW123" s="8">
        <f t="shared" si="147"/>
        <v>0.19999999999999998</v>
      </c>
      <c r="AX123" s="8">
        <f t="shared" si="147"/>
        <v>0.19999999999999998</v>
      </c>
      <c r="AY123" s="8">
        <f t="shared" si="147"/>
        <v>0.2</v>
      </c>
      <c r="AZ123" s="8">
        <f t="shared" si="147"/>
        <v>0.2</v>
      </c>
      <c r="BA123" s="8">
        <f t="shared" si="147"/>
        <v>0.19999999999999998</v>
      </c>
      <c r="BB123" s="8">
        <f t="shared" si="147"/>
        <v>0.2</v>
      </c>
      <c r="BC123" s="8">
        <f t="shared" si="147"/>
        <v>0.19999999999999998</v>
      </c>
      <c r="BD123" s="8">
        <f t="shared" si="147"/>
        <v>0.19999999999999998</v>
      </c>
      <c r="BE123" s="8">
        <f t="shared" si="147"/>
        <v>0.2</v>
      </c>
      <c r="BF123" s="8">
        <f t="shared" si="147"/>
        <v>0.19999999999999998</v>
      </c>
      <c r="BG123" s="8">
        <f t="shared" si="147"/>
        <v>0.19999999999999998</v>
      </c>
      <c r="BH123" s="8">
        <f t="shared" si="147"/>
        <v>0.19999999999999998</v>
      </c>
      <c r="BI123" s="8">
        <f t="shared" si="147"/>
        <v>0.19999999999999998</v>
      </c>
      <c r="BJ123" s="8">
        <f t="shared" si="147"/>
        <v>0.19999999999999998</v>
      </c>
      <c r="BK123" s="8" t="e">
        <f t="shared" si="147"/>
        <v>#DIV/0!</v>
      </c>
      <c r="BL123" s="8"/>
      <c r="BM123" s="8">
        <f t="shared" si="146"/>
        <v>0.2</v>
      </c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 spans="1:78" s="5" customFormat="1">
      <c r="A124" s="4" t="s">
        <v>93</v>
      </c>
      <c r="B124" s="54">
        <f>IF(B94-15-B90&gt;B89, B89, B94-15-B90)</f>
        <v>0.22379370718648167</v>
      </c>
      <c r="C124" s="8">
        <f>IF(C94-15-C90&gt;C89, C89, C94-15-C90)</f>
        <v>0.33210858276082794</v>
      </c>
      <c r="D124" s="8">
        <f t="shared" ref="D124:BM124" si="148">IF(D94-15-D90&gt;D89, D89, D94-15-D90)</f>
        <v>0.33011259092867695</v>
      </c>
      <c r="E124" s="8">
        <f t="shared" si="148"/>
        <v>0.3360062319221031</v>
      </c>
      <c r="F124" s="8">
        <f t="shared" si="148"/>
        <v>0.30613820754677873</v>
      </c>
      <c r="G124" s="8">
        <f t="shared" si="148"/>
        <v>0.36779621151885405</v>
      </c>
      <c r="H124" s="8">
        <f t="shared" si="148"/>
        <v>0.31413088384655136</v>
      </c>
      <c r="I124" s="8">
        <f t="shared" si="148"/>
        <v>0.3155802674329819</v>
      </c>
      <c r="J124" s="8">
        <f t="shared" si="148"/>
        <v>0.28736652449526734</v>
      </c>
      <c r="K124" s="54">
        <f t="shared" si="148"/>
        <v>0.24475920734763992</v>
      </c>
      <c r="L124" s="8">
        <f t="shared" si="148"/>
        <v>0.33224200508858054</v>
      </c>
      <c r="M124" s="8">
        <f t="shared" si="148"/>
        <v>0.32429753073050804</v>
      </c>
      <c r="N124" s="8">
        <f t="shared" si="148"/>
        <v>0.25518293662039265</v>
      </c>
      <c r="O124" s="8">
        <f t="shared" si="148"/>
        <v>0.35948748988068763</v>
      </c>
      <c r="P124" s="8">
        <f t="shared" si="148"/>
        <v>0.29735147415977925</v>
      </c>
      <c r="Q124" s="54">
        <f t="shared" si="148"/>
        <v>0.15533301326710633</v>
      </c>
      <c r="R124" s="8">
        <f t="shared" si="148"/>
        <v>0.38286556599658494</v>
      </c>
      <c r="S124" s="8">
        <f t="shared" si="148"/>
        <v>0.36577879467416097</v>
      </c>
      <c r="T124" s="8">
        <f t="shared" si="148"/>
        <v>0.41429658758801191</v>
      </c>
      <c r="U124" s="8">
        <f t="shared" ref="U124:BK124" si="149">IF(U94-15-U90&gt;U89, U89, U94-15-U90)</f>
        <v>0.39518445445519779</v>
      </c>
      <c r="V124" s="8">
        <f t="shared" si="149"/>
        <v>0.40245150957246961</v>
      </c>
      <c r="W124" s="8">
        <f t="shared" si="149"/>
        <v>0.26496037674828771</v>
      </c>
      <c r="X124" s="8">
        <f t="shared" si="149"/>
        <v>0.36947287651563265</v>
      </c>
      <c r="Y124" s="54">
        <f t="shared" si="149"/>
        <v>0.26011162183794945</v>
      </c>
      <c r="Z124" s="8">
        <f t="shared" si="149"/>
        <v>0.2944066673535537</v>
      </c>
      <c r="AA124" s="54">
        <f t="shared" si="149"/>
        <v>0.23016333783260756</v>
      </c>
      <c r="AB124" s="8">
        <f t="shared" si="149"/>
        <v>0.45852264533455656</v>
      </c>
      <c r="AC124" s="8">
        <f t="shared" si="149"/>
        <v>0.48413451867362972</v>
      </c>
      <c r="AD124" s="8">
        <f t="shared" si="149"/>
        <v>0.53698183272251643</v>
      </c>
      <c r="AE124" s="8">
        <f t="shared" si="149"/>
        <v>0.55931898517677359</v>
      </c>
      <c r="AF124" s="8">
        <f t="shared" si="149"/>
        <v>0.55189131135577685</v>
      </c>
      <c r="AG124" s="8">
        <f t="shared" si="149"/>
        <v>0.55566714123243999</v>
      </c>
      <c r="AH124" s="8">
        <f t="shared" si="149"/>
        <v>0.53183904570820684</v>
      </c>
      <c r="AI124" s="8">
        <f t="shared" si="149"/>
        <v>0.53419556172557692</v>
      </c>
      <c r="AJ124" s="8">
        <f t="shared" si="149"/>
        <v>0.52036332832179422</v>
      </c>
      <c r="AK124" s="8">
        <f t="shared" si="149"/>
        <v>0.45656242452261209</v>
      </c>
      <c r="AL124" s="8">
        <f t="shared" si="149"/>
        <v>0.48236019233165528</v>
      </c>
      <c r="AM124" s="8">
        <f t="shared" si="149"/>
        <v>0.45709938434694242</v>
      </c>
      <c r="AN124" s="8">
        <f t="shared" si="149"/>
        <v>0.44721458286652938</v>
      </c>
      <c r="AO124" s="8">
        <f t="shared" si="149"/>
        <v>0.47292217628753652</v>
      </c>
      <c r="AP124" s="8">
        <f t="shared" si="149"/>
        <v>0.34153617151366367</v>
      </c>
      <c r="AQ124" s="8">
        <f t="shared" si="149"/>
        <v>0.27809625267818922</v>
      </c>
      <c r="AR124" s="8">
        <f t="shared" si="149"/>
        <v>0.33969004692854216</v>
      </c>
      <c r="AS124" s="8">
        <f t="shared" si="149"/>
        <v>0.35761682964006175</v>
      </c>
      <c r="AT124" s="8">
        <f t="shared" si="149"/>
        <v>0.36147277686187607</v>
      </c>
      <c r="AU124" s="54">
        <f t="shared" si="149"/>
        <v>0.26672442253330214</v>
      </c>
      <c r="AV124" s="8">
        <f t="shared" si="149"/>
        <v>0.34668596929669904</v>
      </c>
      <c r="AW124" s="8">
        <f t="shared" si="149"/>
        <v>0.39693429717729034</v>
      </c>
      <c r="AX124" s="8">
        <f t="shared" si="149"/>
        <v>0.20322895926269463</v>
      </c>
      <c r="AY124" s="8">
        <f t="shared" si="149"/>
        <v>0.35402691256995428</v>
      </c>
      <c r="AZ124" s="8">
        <f t="shared" si="149"/>
        <v>0.33361854022518667</v>
      </c>
      <c r="BA124" s="8">
        <f t="shared" si="149"/>
        <v>0.48683190593160952</v>
      </c>
      <c r="BB124" s="8">
        <f t="shared" si="149"/>
        <v>0.47776646432426906</v>
      </c>
      <c r="BC124" s="8">
        <f t="shared" si="149"/>
        <v>0.52488353941354737</v>
      </c>
      <c r="BD124" s="8">
        <f t="shared" si="149"/>
        <v>0.48432817266320216</v>
      </c>
      <c r="BE124" s="8">
        <f t="shared" si="149"/>
        <v>0.51969877278028487</v>
      </c>
      <c r="BF124" s="8">
        <f t="shared" si="149"/>
        <v>0.53990379869697669</v>
      </c>
      <c r="BG124" s="8">
        <f t="shared" si="149"/>
        <v>0.56323415325038795</v>
      </c>
      <c r="BH124" s="8">
        <f t="shared" si="149"/>
        <v>0.49871518042138763</v>
      </c>
      <c r="BI124" s="8">
        <f t="shared" si="149"/>
        <v>0.50306840160153521</v>
      </c>
      <c r="BJ124" s="8">
        <f t="shared" si="149"/>
        <v>0.51097009538801852</v>
      </c>
      <c r="BK124" s="8" t="e">
        <f t="shared" si="149"/>
        <v>#DIV/0!</v>
      </c>
      <c r="BL124" s="8"/>
      <c r="BM124" s="8">
        <f t="shared" si="148"/>
        <v>0.31574306953676096</v>
      </c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 spans="1:78" s="5" customFormat="1">
      <c r="A125" s="4" t="s">
        <v>92</v>
      </c>
      <c r="B125" s="54">
        <f>B89-B124</f>
        <v>0.16443227617445577</v>
      </c>
      <c r="C125" s="8">
        <f>C89-C124</f>
        <v>6.7245756558325376E-2</v>
      </c>
      <c r="D125" s="8">
        <f t="shared" ref="D125:BM125" si="150">D89-D124</f>
        <v>9.9314778249956881E-2</v>
      </c>
      <c r="E125" s="8">
        <f t="shared" si="150"/>
        <v>6.664690503090831E-2</v>
      </c>
      <c r="F125" s="8">
        <f t="shared" si="150"/>
        <v>9.0841681344946301E-2</v>
      </c>
      <c r="G125" s="8">
        <f t="shared" si="150"/>
        <v>5.3233597391894649E-2</v>
      </c>
      <c r="H125" s="8">
        <f t="shared" si="150"/>
        <v>7.7123998094835222E-2</v>
      </c>
      <c r="I125" s="8">
        <f t="shared" si="150"/>
        <v>8.4435769461669308E-2</v>
      </c>
      <c r="J125" s="8">
        <f t="shared" si="150"/>
        <v>0.11314789151775384</v>
      </c>
      <c r="K125" s="54">
        <f t="shared" si="150"/>
        <v>0.14212542285189492</v>
      </c>
      <c r="L125" s="8">
        <f t="shared" si="150"/>
        <v>0.10050681428747876</v>
      </c>
      <c r="M125" s="8">
        <f t="shared" si="150"/>
        <v>9.0355830248214197E-2</v>
      </c>
      <c r="N125" s="8">
        <f t="shared" si="150"/>
        <v>0.2083708776502422</v>
      </c>
      <c r="O125" s="8">
        <f t="shared" si="150"/>
        <v>7.0369860790356842E-2</v>
      </c>
      <c r="P125" s="8">
        <f t="shared" si="150"/>
        <v>0.10193235146462837</v>
      </c>
      <c r="Q125" s="54">
        <f t="shared" si="150"/>
        <v>5.1989379747350406E-2</v>
      </c>
      <c r="R125" s="8">
        <f t="shared" si="150"/>
        <v>0.10014586518718926</v>
      </c>
      <c r="S125" s="8">
        <f t="shared" si="150"/>
        <v>8.8053008814625466E-2</v>
      </c>
      <c r="T125" s="8">
        <f t="shared" si="150"/>
        <v>4.9106056040418899E-2</v>
      </c>
      <c r="U125" s="8">
        <f t="shared" ref="U125:BK125" si="151">U89-U124</f>
        <v>8.3312777221057566E-2</v>
      </c>
      <c r="V125" s="8">
        <f t="shared" si="151"/>
        <v>8.5529704338719648E-2</v>
      </c>
      <c r="W125" s="8">
        <f t="shared" si="151"/>
        <v>9.547484859142602E-2</v>
      </c>
      <c r="X125" s="8">
        <f t="shared" si="151"/>
        <v>7.0336244489834499E-2</v>
      </c>
      <c r="Y125" s="54">
        <f t="shared" si="151"/>
        <v>4.5875244861941999E-2</v>
      </c>
      <c r="Z125" s="8">
        <f t="shared" si="151"/>
        <v>6.8171694692244433E-2</v>
      </c>
      <c r="AA125" s="54">
        <f t="shared" si="151"/>
        <v>0.10148552000633188</v>
      </c>
      <c r="AB125" s="8">
        <f t="shared" si="151"/>
        <v>0.12964223595358892</v>
      </c>
      <c r="AC125" s="8">
        <f t="shared" si="151"/>
        <v>0.21458274558876761</v>
      </c>
      <c r="AD125" s="8">
        <f t="shared" si="151"/>
        <v>0.17816675126516068</v>
      </c>
      <c r="AE125" s="8">
        <f t="shared" si="151"/>
        <v>0.17695158189112037</v>
      </c>
      <c r="AF125" s="8">
        <f t="shared" si="151"/>
        <v>0.19796538467398772</v>
      </c>
      <c r="AG125" s="8">
        <f t="shared" si="151"/>
        <v>0.19632377594066974</v>
      </c>
      <c r="AH125" s="8">
        <f t="shared" si="151"/>
        <v>0.1970381373119352</v>
      </c>
      <c r="AI125" s="8">
        <f t="shared" si="151"/>
        <v>0.19782100176278239</v>
      </c>
      <c r="AJ125" s="8">
        <f t="shared" si="151"/>
        <v>0.20817312364249696</v>
      </c>
      <c r="AK125" s="8">
        <f t="shared" si="151"/>
        <v>0.24029185122252084</v>
      </c>
      <c r="AL125" s="8">
        <f t="shared" si="151"/>
        <v>0.25996627242714798</v>
      </c>
      <c r="AM125" s="8">
        <f t="shared" si="151"/>
        <v>0.24427128263316245</v>
      </c>
      <c r="AN125" s="8">
        <f t="shared" si="151"/>
        <v>0.26439725815706605</v>
      </c>
      <c r="AO125" s="8">
        <f t="shared" si="151"/>
        <v>0.2630496711328455</v>
      </c>
      <c r="AP125" s="8">
        <f t="shared" si="151"/>
        <v>6.7871970853058794E-2</v>
      </c>
      <c r="AQ125" s="8">
        <f t="shared" si="151"/>
        <v>9.8137837092100777E-2</v>
      </c>
      <c r="AR125" s="8">
        <f t="shared" si="151"/>
        <v>7.8325202136937166E-2</v>
      </c>
      <c r="AS125" s="8">
        <f t="shared" si="151"/>
        <v>7.4625562298428538E-2</v>
      </c>
      <c r="AT125" s="8">
        <f t="shared" si="151"/>
        <v>0.10054349175206978</v>
      </c>
      <c r="AU125" s="54">
        <f t="shared" si="151"/>
        <v>6.952767360348644E-2</v>
      </c>
      <c r="AV125" s="8">
        <f t="shared" si="151"/>
        <v>0.10133763640823512</v>
      </c>
      <c r="AW125" s="8">
        <f t="shared" si="151"/>
        <v>5.279835821792378E-2</v>
      </c>
      <c r="AX125" s="8">
        <f t="shared" si="151"/>
        <v>9.1341939724420396E-2</v>
      </c>
      <c r="AY125" s="8">
        <f t="shared" si="151"/>
        <v>0.11051488597476655</v>
      </c>
      <c r="AZ125" s="8">
        <f t="shared" si="151"/>
        <v>8.3749795584470543E-2</v>
      </c>
      <c r="BA125" s="8">
        <f t="shared" si="151"/>
        <v>8.1267180179538268E-2</v>
      </c>
      <c r="BB125" s="8">
        <f t="shared" si="151"/>
        <v>9.6576389934035167E-2</v>
      </c>
      <c r="BC125" s="8">
        <f t="shared" si="151"/>
        <v>3.5523952997098762E-2</v>
      </c>
      <c r="BD125" s="8">
        <f t="shared" si="151"/>
        <v>7.9760423198092401E-2</v>
      </c>
      <c r="BE125" s="8">
        <f t="shared" si="151"/>
        <v>4.4557132782361508E-2</v>
      </c>
      <c r="BF125" s="8">
        <f t="shared" si="151"/>
        <v>0.15614154073655184</v>
      </c>
      <c r="BG125" s="8">
        <f t="shared" si="151"/>
        <v>0.14796032672165438</v>
      </c>
      <c r="BH125" s="8">
        <f t="shared" si="151"/>
        <v>0.1563815289023659</v>
      </c>
      <c r="BI125" s="8">
        <f t="shared" si="151"/>
        <v>0.1496116059379381</v>
      </c>
      <c r="BJ125" s="8">
        <f t="shared" si="151"/>
        <v>0.12804148997757037</v>
      </c>
      <c r="BK125" s="8" t="e">
        <f t="shared" si="151"/>
        <v>#DIV/0!</v>
      </c>
      <c r="BL125" s="8"/>
      <c r="BM125" s="8">
        <f t="shared" si="150"/>
        <v>8.7893353379396855E-2</v>
      </c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 spans="1:78" s="5" customFormat="1">
      <c r="A126" s="4" t="s">
        <v>159</v>
      </c>
      <c r="B126" s="54">
        <f>B124+B90</f>
        <v>0.26920634771618701</v>
      </c>
      <c r="C126" s="8">
        <f>C124+C90</f>
        <v>0.35838541997917162</v>
      </c>
      <c r="D126" s="8">
        <f t="shared" ref="D126:BM126" si="152">D124+D90</f>
        <v>0.38063583401465806</v>
      </c>
      <c r="E126" s="8">
        <f t="shared" si="152"/>
        <v>0.38365711771274746</v>
      </c>
      <c r="F126" s="8">
        <f t="shared" si="152"/>
        <v>0.37003032855762008</v>
      </c>
      <c r="G126" s="8">
        <f t="shared" si="152"/>
        <v>0.41679479681382325</v>
      </c>
      <c r="H126" s="8">
        <f t="shared" si="152"/>
        <v>0.35359234664059969</v>
      </c>
      <c r="I126" s="8">
        <f t="shared" si="152"/>
        <v>0.35851421376510295</v>
      </c>
      <c r="J126" s="8">
        <f t="shared" si="152"/>
        <v>0.31727082894280656</v>
      </c>
      <c r="K126" s="54">
        <f t="shared" si="152"/>
        <v>0.29803994312536375</v>
      </c>
      <c r="L126" s="8">
        <f t="shared" si="152"/>
        <v>0.35829677123181192</v>
      </c>
      <c r="M126" s="8">
        <f t="shared" si="152"/>
        <v>0.36569316596325052</v>
      </c>
      <c r="N126" s="8">
        <f t="shared" si="152"/>
        <v>0.30196369371618559</v>
      </c>
      <c r="O126" s="8">
        <f t="shared" si="152"/>
        <v>0.40631511166133727</v>
      </c>
      <c r="P126" s="8">
        <f t="shared" si="152"/>
        <v>0.43632759156563772</v>
      </c>
      <c r="Q126" s="54">
        <f t="shared" si="152"/>
        <v>0.20326247196042324</v>
      </c>
      <c r="R126" s="8">
        <f t="shared" si="152"/>
        <v>0.57126986810800773</v>
      </c>
      <c r="S126" s="8">
        <f t="shared" si="152"/>
        <v>0.55978254669059702</v>
      </c>
      <c r="T126" s="8">
        <f t="shared" si="152"/>
        <v>0.59343184036093355</v>
      </c>
      <c r="U126" s="8">
        <f t="shared" ref="U126:BK126" si="153">U124+U90</f>
        <v>0.58908169934085386</v>
      </c>
      <c r="V126" s="8">
        <f t="shared" si="153"/>
        <v>0.60695102436298853</v>
      </c>
      <c r="W126" s="8">
        <f t="shared" si="153"/>
        <v>0.39884116655638557</v>
      </c>
      <c r="X126" s="8">
        <f t="shared" si="153"/>
        <v>0.51416634221712343</v>
      </c>
      <c r="Y126" s="54">
        <f t="shared" si="153"/>
        <v>0.38858199127583326</v>
      </c>
      <c r="Z126" s="8">
        <f t="shared" si="153"/>
        <v>0.42505236466308283</v>
      </c>
      <c r="AA126" s="54">
        <f t="shared" si="153"/>
        <v>0.23762382724650166</v>
      </c>
      <c r="AB126" s="8">
        <f t="shared" si="153"/>
        <v>0.47712853484541817</v>
      </c>
      <c r="AC126" s="8">
        <f t="shared" si="153"/>
        <v>0.51205420037861948</v>
      </c>
      <c r="AD126" s="8">
        <f t="shared" si="153"/>
        <v>0.56322796299793865</v>
      </c>
      <c r="AE126" s="8">
        <f t="shared" si="153"/>
        <v>0.58560716108618749</v>
      </c>
      <c r="AF126" s="8">
        <f t="shared" si="153"/>
        <v>0.57440353810413214</v>
      </c>
      <c r="AG126" s="8">
        <f t="shared" si="153"/>
        <v>0.58190638938253691</v>
      </c>
      <c r="AH126" s="8">
        <f t="shared" si="153"/>
        <v>0.55405937650423986</v>
      </c>
      <c r="AI126" s="8">
        <f t="shared" si="153"/>
        <v>0.56819470045778786</v>
      </c>
      <c r="AJ126" s="8">
        <f t="shared" si="153"/>
        <v>0.54283354446712195</v>
      </c>
      <c r="AK126" s="8">
        <f t="shared" si="153"/>
        <v>0.54112522156089682</v>
      </c>
      <c r="AL126" s="8">
        <f t="shared" si="153"/>
        <v>0.54270776981969782</v>
      </c>
      <c r="AM126" s="8">
        <f t="shared" si="153"/>
        <v>0.52809784373084057</v>
      </c>
      <c r="AN126" s="8">
        <f t="shared" si="153"/>
        <v>0.51679070603529809</v>
      </c>
      <c r="AO126" s="8">
        <f t="shared" si="153"/>
        <v>0.52547719683225758</v>
      </c>
      <c r="AP126" s="8">
        <f t="shared" si="153"/>
        <v>0.36637295768178824</v>
      </c>
      <c r="AQ126" s="8">
        <f t="shared" si="153"/>
        <v>0.3123731875417004</v>
      </c>
      <c r="AR126" s="8">
        <f t="shared" si="153"/>
        <v>0.36834076920337466</v>
      </c>
      <c r="AS126" s="8">
        <f t="shared" si="153"/>
        <v>0.38815730235940116</v>
      </c>
      <c r="AT126" s="8">
        <f t="shared" si="153"/>
        <v>0.36916895046536702</v>
      </c>
      <c r="AU126" s="54">
        <f t="shared" si="153"/>
        <v>0.29724141121878489</v>
      </c>
      <c r="AV126" s="8">
        <f t="shared" si="153"/>
        <v>0.37348523500679676</v>
      </c>
      <c r="AW126" s="8">
        <f t="shared" si="153"/>
        <v>0.42981390256382745</v>
      </c>
      <c r="AX126" s="8">
        <f t="shared" si="153"/>
        <v>0.21679654463712517</v>
      </c>
      <c r="AY126" s="8">
        <f t="shared" si="153"/>
        <v>0.36940606291641309</v>
      </c>
      <c r="AZ126" s="8">
        <f t="shared" si="153"/>
        <v>0.3660391075194056</v>
      </c>
      <c r="BA126" s="8">
        <f t="shared" si="153"/>
        <v>0.49442174449850818</v>
      </c>
      <c r="BB126" s="8">
        <f t="shared" si="153"/>
        <v>0.48346356748219854</v>
      </c>
      <c r="BC126" s="8">
        <f t="shared" si="153"/>
        <v>0.53260581399799989</v>
      </c>
      <c r="BD126" s="8">
        <f t="shared" si="153"/>
        <v>0.49765189063591286</v>
      </c>
      <c r="BE126" s="8">
        <f t="shared" si="153"/>
        <v>0.53674692184692852</v>
      </c>
      <c r="BF126" s="8">
        <f t="shared" si="153"/>
        <v>0.5572225974292877</v>
      </c>
      <c r="BG126" s="8">
        <f t="shared" si="153"/>
        <v>0.59030586578424327</v>
      </c>
      <c r="BH126" s="8">
        <f t="shared" si="153"/>
        <v>0.51404113625523706</v>
      </c>
      <c r="BI126" s="8">
        <f t="shared" si="153"/>
        <v>0.5127407520317373</v>
      </c>
      <c r="BJ126" s="8">
        <f t="shared" si="153"/>
        <v>0.53411461480841815</v>
      </c>
      <c r="BK126" s="8" t="e">
        <f t="shared" si="153"/>
        <v>#DIV/0!</v>
      </c>
      <c r="BL126" s="8"/>
      <c r="BM126" s="8">
        <f t="shared" si="152"/>
        <v>0.36137962102387</v>
      </c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 spans="1:78" s="5" customFormat="1">
      <c r="A127" s="4"/>
      <c r="B127" s="54"/>
      <c r="C127" s="8"/>
      <c r="D127" s="8"/>
      <c r="E127" s="8"/>
      <c r="F127" s="8"/>
      <c r="G127" s="8"/>
      <c r="H127" s="8"/>
      <c r="I127" s="8"/>
      <c r="J127" s="8"/>
      <c r="K127" s="54"/>
      <c r="L127" s="8"/>
      <c r="M127" s="8"/>
      <c r="N127" s="8"/>
      <c r="O127" s="8"/>
      <c r="P127" s="8"/>
      <c r="Q127" s="54"/>
      <c r="R127" s="8"/>
      <c r="S127" s="8"/>
      <c r="T127" s="8"/>
      <c r="U127" s="8"/>
      <c r="V127" s="8"/>
      <c r="W127" s="8"/>
      <c r="X127" s="8"/>
      <c r="Y127" s="54"/>
      <c r="Z127" s="8"/>
      <c r="AA127" s="54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54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 spans="1:78" s="5" customFormat="1">
      <c r="A128" s="4" t="s">
        <v>237</v>
      </c>
      <c r="B128" s="54">
        <f>B94</f>
        <v>15.269206347716187</v>
      </c>
      <c r="C128" s="8">
        <f t="shared" ref="C128:BM128" si="154">C94</f>
        <v>15.358385419979172</v>
      </c>
      <c r="D128" s="8">
        <f t="shared" si="154"/>
        <v>15.380635834014658</v>
      </c>
      <c r="E128" s="8">
        <f t="shared" si="154"/>
        <v>15.383657117712747</v>
      </c>
      <c r="F128" s="8">
        <f t="shared" si="154"/>
        <v>15.37003032855762</v>
      </c>
      <c r="G128" s="8">
        <f t="shared" si="154"/>
        <v>15.416794796813823</v>
      </c>
      <c r="H128" s="8">
        <f t="shared" si="154"/>
        <v>15.3535923466406</v>
      </c>
      <c r="I128" s="8">
        <f t="shared" si="154"/>
        <v>15.358514213765103</v>
      </c>
      <c r="J128" s="8">
        <f t="shared" si="154"/>
        <v>15.317270828942807</v>
      </c>
      <c r="K128" s="54">
        <f t="shared" si="154"/>
        <v>15.298039943125364</v>
      </c>
      <c r="L128" s="8">
        <f t="shared" si="154"/>
        <v>15.358296771231812</v>
      </c>
      <c r="M128" s="8">
        <f t="shared" si="154"/>
        <v>15.365693165963251</v>
      </c>
      <c r="N128" s="8">
        <f t="shared" si="154"/>
        <v>15.301963693716186</v>
      </c>
      <c r="O128" s="8">
        <f t="shared" si="154"/>
        <v>15.406315111661337</v>
      </c>
      <c r="P128" s="8">
        <f t="shared" si="154"/>
        <v>15.436327591565638</v>
      </c>
      <c r="Q128" s="54">
        <f t="shared" si="154"/>
        <v>15.203262471960423</v>
      </c>
      <c r="R128" s="8">
        <f t="shared" si="154"/>
        <v>15.571269868108008</v>
      </c>
      <c r="S128" s="8">
        <f t="shared" si="154"/>
        <v>15.559782546690597</v>
      </c>
      <c r="T128" s="8">
        <f t="shared" si="154"/>
        <v>15.593431840360934</v>
      </c>
      <c r="U128" s="8">
        <f t="shared" ref="U128:BK128" si="155">U94</f>
        <v>15.589081699340854</v>
      </c>
      <c r="V128" s="8">
        <f t="shared" si="155"/>
        <v>15.606951024362989</v>
      </c>
      <c r="W128" s="8">
        <f t="shared" si="155"/>
        <v>15.398841166556386</v>
      </c>
      <c r="X128" s="8">
        <f t="shared" si="155"/>
        <v>15.514166342217123</v>
      </c>
      <c r="Y128" s="54">
        <f t="shared" si="155"/>
        <v>15.388581991275833</v>
      </c>
      <c r="Z128" s="8">
        <f t="shared" si="155"/>
        <v>15.425052364663083</v>
      </c>
      <c r="AA128" s="54">
        <f t="shared" si="155"/>
        <v>15.237623827246502</v>
      </c>
      <c r="AB128" s="8">
        <f t="shared" si="155"/>
        <v>15.477128534845418</v>
      </c>
      <c r="AC128" s="8">
        <f t="shared" si="155"/>
        <v>15.512054200378619</v>
      </c>
      <c r="AD128" s="8">
        <f t="shared" si="155"/>
        <v>15.563227962997939</v>
      </c>
      <c r="AE128" s="8">
        <f t="shared" si="155"/>
        <v>15.585607161086187</v>
      </c>
      <c r="AF128" s="8">
        <f t="shared" si="155"/>
        <v>15.574403538104132</v>
      </c>
      <c r="AG128" s="8">
        <f t="shared" si="155"/>
        <v>15.581906389382537</v>
      </c>
      <c r="AH128" s="8">
        <f t="shared" si="155"/>
        <v>15.55405937650424</v>
      </c>
      <c r="AI128" s="8">
        <f t="shared" si="155"/>
        <v>15.568194700457788</v>
      </c>
      <c r="AJ128" s="8">
        <f t="shared" si="155"/>
        <v>15.542833544467122</v>
      </c>
      <c r="AK128" s="8">
        <f t="shared" si="155"/>
        <v>15.541125221560897</v>
      </c>
      <c r="AL128" s="8">
        <f t="shared" si="155"/>
        <v>15.542707769819698</v>
      </c>
      <c r="AM128" s="8">
        <f t="shared" si="155"/>
        <v>15.528097843730841</v>
      </c>
      <c r="AN128" s="8">
        <f t="shared" si="155"/>
        <v>15.516790706035298</v>
      </c>
      <c r="AO128" s="8">
        <f t="shared" si="155"/>
        <v>15.525477196832258</v>
      </c>
      <c r="AP128" s="8">
        <f t="shared" si="155"/>
        <v>15.366372957681788</v>
      </c>
      <c r="AQ128" s="8">
        <f t="shared" si="155"/>
        <v>15.3123731875417</v>
      </c>
      <c r="AR128" s="8">
        <f t="shared" si="155"/>
        <v>15.368340769203375</v>
      </c>
      <c r="AS128" s="8">
        <f t="shared" si="155"/>
        <v>15.388157302359401</v>
      </c>
      <c r="AT128" s="8">
        <f t="shared" si="155"/>
        <v>15.369168950465367</v>
      </c>
      <c r="AU128" s="54">
        <f t="shared" si="155"/>
        <v>15.297241411218785</v>
      </c>
      <c r="AV128" s="8">
        <f t="shared" si="155"/>
        <v>15.373485235006797</v>
      </c>
      <c r="AW128" s="8">
        <f t="shared" si="155"/>
        <v>15.429813902563827</v>
      </c>
      <c r="AX128" s="8">
        <f t="shared" si="155"/>
        <v>15.216796544637125</v>
      </c>
      <c r="AY128" s="8">
        <f t="shared" si="155"/>
        <v>15.369406062916413</v>
      </c>
      <c r="AZ128" s="8">
        <f t="shared" si="155"/>
        <v>15.366039107519406</v>
      </c>
      <c r="BA128" s="8">
        <f t="shared" si="155"/>
        <v>15.494421744498508</v>
      </c>
      <c r="BB128" s="8">
        <f t="shared" si="155"/>
        <v>15.483463567482199</v>
      </c>
      <c r="BC128" s="8">
        <f t="shared" si="155"/>
        <v>15.532605813998</v>
      </c>
      <c r="BD128" s="8">
        <f t="shared" si="155"/>
        <v>15.497651890635913</v>
      </c>
      <c r="BE128" s="8">
        <f t="shared" si="155"/>
        <v>15.536746921846929</v>
      </c>
      <c r="BF128" s="8">
        <f t="shared" si="155"/>
        <v>15.557222597429288</v>
      </c>
      <c r="BG128" s="8">
        <f t="shared" si="155"/>
        <v>15.590305865784243</v>
      </c>
      <c r="BH128" s="8">
        <f t="shared" si="155"/>
        <v>15.514041136255237</v>
      </c>
      <c r="BI128" s="8">
        <f t="shared" si="155"/>
        <v>15.512740752031737</v>
      </c>
      <c r="BJ128" s="8">
        <f t="shared" si="155"/>
        <v>15.534114614808418</v>
      </c>
      <c r="BK128" s="8" t="e">
        <f t="shared" si="155"/>
        <v>#DIV/0!</v>
      </c>
      <c r="BL128" s="8"/>
      <c r="BM128" s="8">
        <f t="shared" si="154"/>
        <v>15.36137962102387</v>
      </c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 spans="1:78" s="5" customFormat="1">
      <c r="A129" s="4" t="s">
        <v>128</v>
      </c>
      <c r="B129" s="54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54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54">
        <v>0</v>
      </c>
      <c r="R129" s="8">
        <v>0</v>
      </c>
      <c r="S129" s="8">
        <v>0</v>
      </c>
      <c r="T129" s="8">
        <v>0</v>
      </c>
      <c r="U129" s="8">
        <v>1</v>
      </c>
      <c r="V129" s="8">
        <v>2</v>
      </c>
      <c r="W129" s="8">
        <v>3</v>
      </c>
      <c r="X129" s="8">
        <v>4</v>
      </c>
      <c r="Y129" s="54">
        <v>5</v>
      </c>
      <c r="Z129" s="8">
        <v>6</v>
      </c>
      <c r="AA129" s="54">
        <v>7</v>
      </c>
      <c r="AB129" s="8">
        <v>8</v>
      </c>
      <c r="AC129" s="8">
        <v>9</v>
      </c>
      <c r="AD129" s="8">
        <v>10</v>
      </c>
      <c r="AE129" s="8">
        <v>11</v>
      </c>
      <c r="AF129" s="8">
        <v>12</v>
      </c>
      <c r="AG129" s="8">
        <v>13</v>
      </c>
      <c r="AH129" s="8">
        <v>14</v>
      </c>
      <c r="AI129" s="8">
        <v>15</v>
      </c>
      <c r="AJ129" s="8">
        <v>16</v>
      </c>
      <c r="AK129" s="8">
        <v>17</v>
      </c>
      <c r="AL129" s="8">
        <v>18</v>
      </c>
      <c r="AM129" s="8">
        <v>19</v>
      </c>
      <c r="AN129" s="8">
        <v>20</v>
      </c>
      <c r="AO129" s="8">
        <v>21</v>
      </c>
      <c r="AP129" s="8">
        <v>22</v>
      </c>
      <c r="AQ129" s="8">
        <v>23</v>
      </c>
      <c r="AR129" s="8">
        <v>24</v>
      </c>
      <c r="AS129" s="8">
        <v>25</v>
      </c>
      <c r="AT129" s="8">
        <v>26</v>
      </c>
      <c r="AU129" s="54">
        <v>27</v>
      </c>
      <c r="AV129" s="8">
        <v>28</v>
      </c>
      <c r="AW129" s="8">
        <v>29</v>
      </c>
      <c r="AX129" s="8">
        <v>30</v>
      </c>
      <c r="AY129" s="8">
        <v>31</v>
      </c>
      <c r="AZ129" s="8">
        <v>32</v>
      </c>
      <c r="BA129" s="8">
        <v>33</v>
      </c>
      <c r="BB129" s="8">
        <v>34</v>
      </c>
      <c r="BC129" s="8">
        <v>35</v>
      </c>
      <c r="BD129" s="8">
        <v>36</v>
      </c>
      <c r="BE129" s="8">
        <v>37</v>
      </c>
      <c r="BF129" s="8">
        <v>38</v>
      </c>
      <c r="BG129" s="8">
        <v>39</v>
      </c>
      <c r="BH129" s="8">
        <v>40</v>
      </c>
      <c r="BI129" s="8">
        <v>41</v>
      </c>
      <c r="BJ129" s="8">
        <v>42</v>
      </c>
      <c r="BK129" s="8">
        <v>43</v>
      </c>
      <c r="BL129" s="8"/>
      <c r="BM129" s="8">
        <v>0</v>
      </c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 spans="1:78" s="5" customFormat="1">
      <c r="A130" s="4"/>
      <c r="B130" s="54"/>
      <c r="C130" s="8"/>
      <c r="D130" s="8"/>
      <c r="E130" s="8"/>
      <c r="F130" s="8"/>
      <c r="G130" s="8"/>
      <c r="H130" s="8"/>
      <c r="I130" s="8"/>
      <c r="J130" s="8"/>
      <c r="K130" s="54"/>
      <c r="L130" s="8"/>
      <c r="M130" s="8"/>
      <c r="N130" s="8"/>
      <c r="O130" s="8"/>
      <c r="P130" s="8"/>
      <c r="Q130" s="54"/>
      <c r="R130" s="8"/>
      <c r="S130" s="8"/>
      <c r="T130" s="8"/>
      <c r="U130" s="8"/>
      <c r="V130" s="8"/>
      <c r="W130" s="8"/>
      <c r="X130" s="8"/>
      <c r="Y130" s="54"/>
      <c r="Z130" s="8"/>
      <c r="AA130" s="54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54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 spans="1:78" s="5" customFormat="1">
      <c r="A131" s="4" t="s">
        <v>94</v>
      </c>
      <c r="B131" s="54"/>
      <c r="C131" s="8"/>
      <c r="D131" s="8"/>
      <c r="E131" s="8"/>
      <c r="F131" s="8"/>
      <c r="G131" s="8"/>
      <c r="H131" s="8"/>
      <c r="I131" s="8"/>
      <c r="J131" s="8"/>
      <c r="K131" s="54"/>
      <c r="L131" s="8"/>
      <c r="M131" s="8"/>
      <c r="N131" s="8"/>
      <c r="O131" s="8"/>
      <c r="P131" s="8"/>
      <c r="Q131" s="54"/>
      <c r="R131" s="8"/>
      <c r="S131" s="8"/>
      <c r="T131" s="8"/>
      <c r="U131" s="8"/>
      <c r="V131" s="8"/>
      <c r="W131" s="8"/>
      <c r="X131" s="8"/>
      <c r="Y131" s="54"/>
      <c r="Z131" s="8"/>
      <c r="AA131" s="54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54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 spans="1:78" s="5" customFormat="1">
      <c r="A132" s="4" t="s">
        <v>21</v>
      </c>
      <c r="B132" s="54">
        <f t="shared" ref="B132:BM132" si="156">IF(B94-15&lt;0, 0, IF(B94-15&gt;B89+B90, B89+B90,  B94-15))</f>
        <v>0.26920634771618701</v>
      </c>
      <c r="C132" s="8">
        <f>IF(C94-15&lt;0, 0, IF(C94-15&gt;C89+C90, C89+C90,  C94-15))</f>
        <v>0.35838541997917162</v>
      </c>
      <c r="D132" s="8">
        <f t="shared" si="156"/>
        <v>0.38063583401465806</v>
      </c>
      <c r="E132" s="8">
        <f t="shared" si="156"/>
        <v>0.38365711771274746</v>
      </c>
      <c r="F132" s="8">
        <f t="shared" si="156"/>
        <v>0.37003032855762008</v>
      </c>
      <c r="G132" s="8">
        <f t="shared" si="156"/>
        <v>0.41679479681382325</v>
      </c>
      <c r="H132" s="8">
        <f t="shared" si="156"/>
        <v>0.35359234664059969</v>
      </c>
      <c r="I132" s="8">
        <f t="shared" si="156"/>
        <v>0.35851421376510295</v>
      </c>
      <c r="J132" s="8">
        <f t="shared" si="156"/>
        <v>0.31727082894280656</v>
      </c>
      <c r="K132" s="54">
        <f t="shared" si="156"/>
        <v>0.29803994312536375</v>
      </c>
      <c r="L132" s="8">
        <f t="shared" si="156"/>
        <v>0.35829677123181192</v>
      </c>
      <c r="M132" s="8">
        <f t="shared" si="156"/>
        <v>0.36569316596325052</v>
      </c>
      <c r="N132" s="8">
        <f t="shared" si="156"/>
        <v>0.30196369371618559</v>
      </c>
      <c r="O132" s="8">
        <f t="shared" si="156"/>
        <v>0.40631511166133727</v>
      </c>
      <c r="P132" s="8">
        <f t="shared" si="156"/>
        <v>0.43632759156563772</v>
      </c>
      <c r="Q132" s="54">
        <f t="shared" si="156"/>
        <v>0.20326247196042324</v>
      </c>
      <c r="R132" s="8">
        <f t="shared" si="156"/>
        <v>0.57126986810800773</v>
      </c>
      <c r="S132" s="8">
        <f t="shared" si="156"/>
        <v>0.55978254669059702</v>
      </c>
      <c r="T132" s="8">
        <f t="shared" si="156"/>
        <v>0.59343184036093355</v>
      </c>
      <c r="U132" s="8">
        <f t="shared" ref="U132:BK132" si="157">IF(U94-15&lt;0, 0, IF(U94-15&gt;U89+U90, U89+U90,  U94-15))</f>
        <v>0.58908169934085386</v>
      </c>
      <c r="V132" s="8">
        <f t="shared" si="157"/>
        <v>0.60695102436298853</v>
      </c>
      <c r="W132" s="8">
        <f t="shared" si="157"/>
        <v>0.39884116655638557</v>
      </c>
      <c r="X132" s="8">
        <f t="shared" si="157"/>
        <v>0.51416634221712343</v>
      </c>
      <c r="Y132" s="54">
        <f t="shared" si="157"/>
        <v>0.38858199127583326</v>
      </c>
      <c r="Z132" s="8">
        <f t="shared" si="157"/>
        <v>0.42505236466308283</v>
      </c>
      <c r="AA132" s="54">
        <f t="shared" si="157"/>
        <v>0.23762382724650166</v>
      </c>
      <c r="AB132" s="8">
        <f t="shared" si="157"/>
        <v>0.47712853484541817</v>
      </c>
      <c r="AC132" s="8">
        <f t="shared" si="157"/>
        <v>0.51205420037861948</v>
      </c>
      <c r="AD132" s="8">
        <f t="shared" si="157"/>
        <v>0.56322796299793865</v>
      </c>
      <c r="AE132" s="8">
        <f t="shared" si="157"/>
        <v>0.58560716108618749</v>
      </c>
      <c r="AF132" s="8">
        <f t="shared" si="157"/>
        <v>0.57440353810413214</v>
      </c>
      <c r="AG132" s="8">
        <f t="shared" si="157"/>
        <v>0.58190638938253691</v>
      </c>
      <c r="AH132" s="8">
        <f t="shared" si="157"/>
        <v>0.55405937650423986</v>
      </c>
      <c r="AI132" s="8">
        <f t="shared" si="157"/>
        <v>0.56819470045778786</v>
      </c>
      <c r="AJ132" s="8">
        <f t="shared" si="157"/>
        <v>0.54283354446712195</v>
      </c>
      <c r="AK132" s="8">
        <f t="shared" si="157"/>
        <v>0.54112522156089682</v>
      </c>
      <c r="AL132" s="8">
        <f t="shared" si="157"/>
        <v>0.54270776981969782</v>
      </c>
      <c r="AM132" s="8">
        <f t="shared" si="157"/>
        <v>0.52809784373084057</v>
      </c>
      <c r="AN132" s="8">
        <f t="shared" si="157"/>
        <v>0.51679070603529809</v>
      </c>
      <c r="AO132" s="8">
        <f t="shared" si="157"/>
        <v>0.52547719683225758</v>
      </c>
      <c r="AP132" s="8">
        <f t="shared" si="157"/>
        <v>0.36637295768178824</v>
      </c>
      <c r="AQ132" s="8">
        <f t="shared" si="157"/>
        <v>0.3123731875417004</v>
      </c>
      <c r="AR132" s="8">
        <f t="shared" si="157"/>
        <v>0.36834076920337466</v>
      </c>
      <c r="AS132" s="8">
        <f t="shared" si="157"/>
        <v>0.38815730235940116</v>
      </c>
      <c r="AT132" s="8">
        <f t="shared" si="157"/>
        <v>0.36916895046536702</v>
      </c>
      <c r="AU132" s="54">
        <f t="shared" si="157"/>
        <v>0.29724141121878489</v>
      </c>
      <c r="AV132" s="8">
        <f t="shared" si="157"/>
        <v>0.37348523500679676</v>
      </c>
      <c r="AW132" s="8">
        <f t="shared" si="157"/>
        <v>0.42981390256382745</v>
      </c>
      <c r="AX132" s="8">
        <f t="shared" si="157"/>
        <v>0.21679654463712517</v>
      </c>
      <c r="AY132" s="8">
        <f t="shared" si="157"/>
        <v>0.36940606291641309</v>
      </c>
      <c r="AZ132" s="8">
        <f t="shared" si="157"/>
        <v>0.3660391075194056</v>
      </c>
      <c r="BA132" s="8">
        <f t="shared" si="157"/>
        <v>0.49442174449850818</v>
      </c>
      <c r="BB132" s="8">
        <f t="shared" si="157"/>
        <v>0.48346356748219854</v>
      </c>
      <c r="BC132" s="8">
        <f t="shared" si="157"/>
        <v>0.53260581399799989</v>
      </c>
      <c r="BD132" s="8">
        <f t="shared" si="157"/>
        <v>0.49765189063591286</v>
      </c>
      <c r="BE132" s="8">
        <f t="shared" si="157"/>
        <v>0.53674692184692852</v>
      </c>
      <c r="BF132" s="8">
        <f t="shared" si="157"/>
        <v>0.5572225974292877</v>
      </c>
      <c r="BG132" s="8">
        <f t="shared" si="157"/>
        <v>0.59030586578424327</v>
      </c>
      <c r="BH132" s="8">
        <f t="shared" si="157"/>
        <v>0.51404113625523706</v>
      </c>
      <c r="BI132" s="8">
        <f t="shared" si="157"/>
        <v>0.5127407520317373</v>
      </c>
      <c r="BJ132" s="8">
        <f t="shared" si="157"/>
        <v>0.53411461480841815</v>
      </c>
      <c r="BK132" s="8" t="e">
        <f t="shared" si="157"/>
        <v>#DIV/0!</v>
      </c>
      <c r="BL132" s="8"/>
      <c r="BM132" s="8">
        <f t="shared" si="156"/>
        <v>0.36137962102387</v>
      </c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 spans="1:78" s="5" customFormat="1">
      <c r="A133" s="4" t="s">
        <v>211</v>
      </c>
      <c r="B133" s="54">
        <f t="shared" ref="B133:BM133" si="158">IF(B165&gt;2, IF(B88&gt;2, 0, 2-B88), B164)</f>
        <v>0.16443227617445577</v>
      </c>
      <c r="C133" s="8">
        <f t="shared" si="158"/>
        <v>6.7245756558325376E-2</v>
      </c>
      <c r="D133" s="8">
        <f t="shared" si="158"/>
        <v>9.9314778249956881E-2</v>
      </c>
      <c r="E133" s="8">
        <f t="shared" si="158"/>
        <v>6.664690503090831E-2</v>
      </c>
      <c r="F133" s="8">
        <f t="shared" si="158"/>
        <v>9.0841681344946301E-2</v>
      </c>
      <c r="G133" s="8">
        <f t="shared" si="158"/>
        <v>5.3233597391894649E-2</v>
      </c>
      <c r="H133" s="8">
        <f t="shared" si="158"/>
        <v>7.7123998094835222E-2</v>
      </c>
      <c r="I133" s="8">
        <f t="shared" si="158"/>
        <v>8.4435769461669308E-2</v>
      </c>
      <c r="J133" s="8">
        <f t="shared" si="158"/>
        <v>0.11314789151775384</v>
      </c>
      <c r="K133" s="54">
        <f t="shared" si="158"/>
        <v>0.14212542285189489</v>
      </c>
      <c r="L133" s="8">
        <f t="shared" si="158"/>
        <v>0.10050681428747876</v>
      </c>
      <c r="M133" s="8">
        <f t="shared" si="158"/>
        <v>9.0355830248214197E-2</v>
      </c>
      <c r="N133" s="8">
        <f t="shared" si="158"/>
        <v>0.2083708776502422</v>
      </c>
      <c r="O133" s="8">
        <f t="shared" si="158"/>
        <v>7.0369860790356842E-2</v>
      </c>
      <c r="P133" s="8">
        <f t="shared" si="158"/>
        <v>6.0494491121604321E-2</v>
      </c>
      <c r="Q133" s="54">
        <f t="shared" si="158"/>
        <v>4.3007540305466163E-2</v>
      </c>
      <c r="R133" s="8">
        <f t="shared" si="158"/>
        <v>8.9986537595935223E-2</v>
      </c>
      <c r="S133" s="8">
        <f t="shared" si="158"/>
        <v>7.8287181804549411E-2</v>
      </c>
      <c r="T133" s="8">
        <f t="shared" si="158"/>
        <v>4.9106056040418844E-2</v>
      </c>
      <c r="U133" s="8">
        <f t="shared" ref="U133:BK133" si="159">IF(U165&gt;2, IF(U88&gt;2, 0, 2-U88), U164)</f>
        <v>8.3312777221057566E-2</v>
      </c>
      <c r="V133" s="8">
        <f t="shared" si="159"/>
        <v>5.9347807491328952E-2</v>
      </c>
      <c r="W133" s="8">
        <f t="shared" si="159"/>
        <v>6.4379670380706244E-2</v>
      </c>
      <c r="X133" s="8">
        <f t="shared" si="159"/>
        <v>7.0336244489834554E-2</v>
      </c>
      <c r="Y133" s="54">
        <f t="shared" si="159"/>
        <v>0</v>
      </c>
      <c r="Z133" s="8">
        <f t="shared" si="159"/>
        <v>0</v>
      </c>
      <c r="AA133" s="54">
        <f t="shared" si="159"/>
        <v>0</v>
      </c>
      <c r="AB133" s="8">
        <f t="shared" si="159"/>
        <v>0.12964223595358892</v>
      </c>
      <c r="AC133" s="8">
        <f t="shared" si="159"/>
        <v>0.21458274558876755</v>
      </c>
      <c r="AD133" s="8">
        <f t="shared" si="159"/>
        <v>0.17816675126516068</v>
      </c>
      <c r="AE133" s="8">
        <f t="shared" si="159"/>
        <v>0.17695158189112037</v>
      </c>
      <c r="AF133" s="8">
        <f t="shared" si="159"/>
        <v>0.19796538467398772</v>
      </c>
      <c r="AG133" s="8">
        <f t="shared" si="159"/>
        <v>0.19632377594066974</v>
      </c>
      <c r="AH133" s="8">
        <f t="shared" si="159"/>
        <v>0.1970381373119352</v>
      </c>
      <c r="AI133" s="8">
        <f t="shared" si="159"/>
        <v>0.19782100176278239</v>
      </c>
      <c r="AJ133" s="8">
        <f t="shared" si="159"/>
        <v>0.20817312364249696</v>
      </c>
      <c r="AK133" s="8">
        <f t="shared" si="159"/>
        <v>0.24029185122252084</v>
      </c>
      <c r="AL133" s="8">
        <f t="shared" si="159"/>
        <v>0.25996627242714798</v>
      </c>
      <c r="AM133" s="8">
        <f t="shared" si="159"/>
        <v>0.24427128263316245</v>
      </c>
      <c r="AN133" s="8">
        <f t="shared" si="159"/>
        <v>0.26439725815706605</v>
      </c>
      <c r="AO133" s="8">
        <f t="shared" si="159"/>
        <v>0.2630496711328455</v>
      </c>
      <c r="AP133" s="8">
        <f t="shared" si="159"/>
        <v>6.7871970853058849E-2</v>
      </c>
      <c r="AQ133" s="8">
        <f t="shared" si="159"/>
        <v>9.8137837092100777E-2</v>
      </c>
      <c r="AR133" s="8">
        <f t="shared" si="159"/>
        <v>7.8325202136937166E-2</v>
      </c>
      <c r="AS133" s="8">
        <f t="shared" si="159"/>
        <v>7.4625562298428538E-2</v>
      </c>
      <c r="AT133" s="8">
        <f t="shared" si="159"/>
        <v>0.10054349175206978</v>
      </c>
      <c r="AU133" s="54">
        <f t="shared" si="159"/>
        <v>6.952767360348644E-2</v>
      </c>
      <c r="AV133" s="8">
        <f t="shared" si="159"/>
        <v>0.10133763640823512</v>
      </c>
      <c r="AW133" s="8">
        <f t="shared" si="159"/>
        <v>5.279835821792378E-2</v>
      </c>
      <c r="AX133" s="8">
        <f t="shared" si="159"/>
        <v>0</v>
      </c>
      <c r="AY133" s="8">
        <f t="shared" si="159"/>
        <v>0.11051488597476655</v>
      </c>
      <c r="AZ133" s="8">
        <f t="shared" si="159"/>
        <v>8.3749795584470543E-2</v>
      </c>
      <c r="BA133" s="8">
        <f t="shared" si="159"/>
        <v>8.1267180179538268E-2</v>
      </c>
      <c r="BB133" s="8">
        <f t="shared" si="159"/>
        <v>9.6576389934035167E-2</v>
      </c>
      <c r="BC133" s="8">
        <f t="shared" si="159"/>
        <v>3.5523952997098762E-2</v>
      </c>
      <c r="BD133" s="8">
        <f t="shared" si="159"/>
        <v>7.9760423198092401E-2</v>
      </c>
      <c r="BE133" s="8">
        <f t="shared" si="159"/>
        <v>4.4557132782361508E-2</v>
      </c>
      <c r="BF133" s="8">
        <f t="shared" si="159"/>
        <v>0.12685415256329402</v>
      </c>
      <c r="BG133" s="8">
        <f t="shared" si="159"/>
        <v>0.14796032672165438</v>
      </c>
      <c r="BH133" s="8">
        <f t="shared" si="159"/>
        <v>0.11910307681845711</v>
      </c>
      <c r="BI133" s="8">
        <f t="shared" si="159"/>
        <v>0.1478345791752107</v>
      </c>
      <c r="BJ133" s="8">
        <f t="shared" si="159"/>
        <v>5.9397254054346371E-2</v>
      </c>
      <c r="BK133" s="8" t="e">
        <f t="shared" si="159"/>
        <v>#DIV/0!</v>
      </c>
      <c r="BL133" s="8"/>
      <c r="BM133" s="8">
        <f t="shared" si="158"/>
        <v>8.7893353379396855E-2</v>
      </c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 spans="1:78" s="5" customFormat="1">
      <c r="A134" s="4" t="s">
        <v>12</v>
      </c>
      <c r="B134" s="54">
        <f t="shared" ref="B134:BM134" si="160">IF(B120+B81+2*B80+B168&gt;B167, B167, B120+B81+2*B80+B168)</f>
        <v>0.84191226260912799</v>
      </c>
      <c r="C134" s="8">
        <f t="shared" si="160"/>
        <v>0.98786278817948059</v>
      </c>
      <c r="D134" s="8">
        <f t="shared" si="160"/>
        <v>1.0209755467523491</v>
      </c>
      <c r="E134" s="8">
        <f t="shared" si="160"/>
        <v>1.0371800051798292</v>
      </c>
      <c r="F134" s="8">
        <f t="shared" si="160"/>
        <v>1.0079713291586732</v>
      </c>
      <c r="G134" s="8">
        <f t="shared" si="160"/>
        <v>1.0486186365702164</v>
      </c>
      <c r="H134" s="8">
        <f t="shared" si="160"/>
        <v>1.0231573049286204</v>
      </c>
      <c r="I134" s="8">
        <f t="shared" si="160"/>
        <v>1.0078797552348737</v>
      </c>
      <c r="J134" s="8">
        <f t="shared" si="160"/>
        <v>0.95001431388087632</v>
      </c>
      <c r="K134" s="54">
        <f t="shared" si="160"/>
        <v>0.86565499878975505</v>
      </c>
      <c r="L134" s="8">
        <f t="shared" si="160"/>
        <v>0.98436540344635048</v>
      </c>
      <c r="M134" s="8">
        <f t="shared" si="160"/>
        <v>1.036163405385337</v>
      </c>
      <c r="N134" s="8">
        <f t="shared" si="160"/>
        <v>0.99109598010767108</v>
      </c>
      <c r="O134" s="8">
        <f t="shared" si="160"/>
        <v>1.0870741370844934</v>
      </c>
      <c r="P134" s="8">
        <f t="shared" si="160"/>
        <v>0.89229022616660192</v>
      </c>
      <c r="Q134" s="54">
        <f t="shared" si="160"/>
        <v>0.4133432266838506</v>
      </c>
      <c r="R134" s="8">
        <f t="shared" si="160"/>
        <v>1.0268856681195437</v>
      </c>
      <c r="S134" s="8">
        <f t="shared" si="160"/>
        <v>1.04497539827672</v>
      </c>
      <c r="T134" s="8">
        <f t="shared" si="160"/>
        <v>1.0407280743837255</v>
      </c>
      <c r="U134" s="8">
        <f t="shared" ref="U134:BK134" si="161">IF(U120+U81+2*U80+U168&gt;U167, U167, U120+U81+2*U80+U168)</f>
        <v>1.079314085665394</v>
      </c>
      <c r="V134" s="8">
        <f t="shared" si="161"/>
        <v>1.065717763011941</v>
      </c>
      <c r="W134" s="8">
        <f t="shared" si="161"/>
        <v>0.77149087029347729</v>
      </c>
      <c r="X134" s="8">
        <f t="shared" si="161"/>
        <v>0.87835404456770316</v>
      </c>
      <c r="Y134" s="54">
        <f t="shared" si="161"/>
        <v>1.4437545189117467</v>
      </c>
      <c r="Z134" s="8">
        <f t="shared" si="161"/>
        <v>0.98145450809485002</v>
      </c>
      <c r="AA134" s="54">
        <f t="shared" si="161"/>
        <v>0.89163236240751864</v>
      </c>
      <c r="AB134" s="8">
        <f t="shared" si="161"/>
        <v>1.0655717782006437</v>
      </c>
      <c r="AC134" s="8">
        <f t="shared" si="161"/>
        <v>1.1346567914544412</v>
      </c>
      <c r="AD134" s="8">
        <f t="shared" si="161"/>
        <v>1.1449930961876778</v>
      </c>
      <c r="AE134" s="8">
        <f t="shared" si="161"/>
        <v>1.1581682661216774</v>
      </c>
      <c r="AF134" s="8">
        <f t="shared" si="161"/>
        <v>1.0927024891047585</v>
      </c>
      <c r="AG134" s="8">
        <f t="shared" si="161"/>
        <v>1.1926142416768153</v>
      </c>
      <c r="AH134" s="8">
        <f t="shared" si="161"/>
        <v>1.1487070125058318</v>
      </c>
      <c r="AI134" s="8">
        <f t="shared" si="161"/>
        <v>1.1740887648316125</v>
      </c>
      <c r="AJ134" s="8">
        <f t="shared" si="161"/>
        <v>1.1052630908729135</v>
      </c>
      <c r="AK134" s="8">
        <f t="shared" si="161"/>
        <v>0.9886385022554558</v>
      </c>
      <c r="AL134" s="8">
        <f t="shared" si="161"/>
        <v>1.0246421258728757</v>
      </c>
      <c r="AM134" s="8">
        <f t="shared" si="161"/>
        <v>0.98756133722194051</v>
      </c>
      <c r="AN134" s="8">
        <f t="shared" si="161"/>
        <v>0.96882332295336315</v>
      </c>
      <c r="AO134" s="8">
        <f t="shared" si="161"/>
        <v>0.96038886430365711</v>
      </c>
      <c r="AP134" s="8">
        <f t="shared" si="161"/>
        <v>1.0000357643949513</v>
      </c>
      <c r="AQ134" s="8">
        <f t="shared" si="161"/>
        <v>1.0354215819230355</v>
      </c>
      <c r="AR134" s="8">
        <f t="shared" si="161"/>
        <v>1.016184567480054</v>
      </c>
      <c r="AS134" s="8">
        <f t="shared" si="161"/>
        <v>1.0262006135225699</v>
      </c>
      <c r="AT134" s="8">
        <f t="shared" si="161"/>
        <v>1.0076094716511816</v>
      </c>
      <c r="AU134" s="54">
        <f t="shared" si="161"/>
        <v>0.86051245385006059</v>
      </c>
      <c r="AV134" s="8">
        <f t="shared" si="161"/>
        <v>1.0310603724143581</v>
      </c>
      <c r="AW134" s="8">
        <f t="shared" si="161"/>
        <v>1.062473397089855</v>
      </c>
      <c r="AX134" s="8">
        <f t="shared" si="161"/>
        <v>1.2084056519481958</v>
      </c>
      <c r="AY134" s="8">
        <f t="shared" si="161"/>
        <v>1.0281215749100641</v>
      </c>
      <c r="AZ134" s="8">
        <f t="shared" si="161"/>
        <v>1.0077931895357182</v>
      </c>
      <c r="BA134" s="8">
        <f t="shared" si="161"/>
        <v>1.0735311580064764</v>
      </c>
      <c r="BB134" s="8">
        <f t="shared" si="161"/>
        <v>1.0955275619060609</v>
      </c>
      <c r="BC134" s="8">
        <f t="shared" si="161"/>
        <v>1.0653804864171574</v>
      </c>
      <c r="BD134" s="8">
        <f t="shared" si="161"/>
        <v>1.1069064568486358</v>
      </c>
      <c r="BE134" s="8">
        <f t="shared" si="161"/>
        <v>1.1044939982436119</v>
      </c>
      <c r="BF134" s="8">
        <f t="shared" si="161"/>
        <v>1.144486457685236</v>
      </c>
      <c r="BG134" s="8">
        <f t="shared" si="161"/>
        <v>1.1549737297767182</v>
      </c>
      <c r="BH134" s="8">
        <f t="shared" si="161"/>
        <v>1.085044584287985</v>
      </c>
      <c r="BI134" s="8">
        <f t="shared" si="161"/>
        <v>1.1936308297277467</v>
      </c>
      <c r="BJ134" s="8">
        <f t="shared" si="161"/>
        <v>1.1426123767322425</v>
      </c>
      <c r="BK134" s="8" t="e">
        <f t="shared" si="161"/>
        <v>#DIV/0!</v>
      </c>
      <c r="BL134" s="8"/>
      <c r="BM134" s="8">
        <f t="shared" si="160"/>
        <v>0.99700941321976</v>
      </c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 spans="1:78" s="5" customFormat="1">
      <c r="A135" s="4" t="s">
        <v>251</v>
      </c>
      <c r="B135" s="54">
        <f t="shared" ref="B135:BM135" si="162">B81/2</f>
        <v>2.9318322898342119E-3</v>
      </c>
      <c r="C135" s="8">
        <f t="shared" si="162"/>
        <v>2.3265299760323616E-3</v>
      </c>
      <c r="D135" s="8">
        <f t="shared" si="162"/>
        <v>1.739611688009851E-3</v>
      </c>
      <c r="E135" s="8">
        <f t="shared" si="162"/>
        <v>2.9532796994809528E-3</v>
      </c>
      <c r="F135" s="8">
        <f t="shared" si="162"/>
        <v>1.7470013856163513E-3</v>
      </c>
      <c r="G135" s="8">
        <f t="shared" si="162"/>
        <v>1.168002560981449E-3</v>
      </c>
      <c r="H135" s="8">
        <f t="shared" si="162"/>
        <v>4.0762004402013739E-3</v>
      </c>
      <c r="I135" s="8">
        <f t="shared" si="162"/>
        <v>2.8923216179830872E-3</v>
      </c>
      <c r="J135" s="8">
        <f t="shared" si="162"/>
        <v>3.4751101863051007E-3</v>
      </c>
      <c r="K135" s="54">
        <f t="shared" si="162"/>
        <v>6.1151914144384181E-4</v>
      </c>
      <c r="L135" s="8">
        <f t="shared" si="162"/>
        <v>2.8835849776673475E-3</v>
      </c>
      <c r="M135" s="8">
        <f t="shared" si="162"/>
        <v>2.3323593742183091E-3</v>
      </c>
      <c r="N135" s="8">
        <f t="shared" si="162"/>
        <v>3.4792216253276081E-3</v>
      </c>
      <c r="O135" s="8">
        <f t="shared" si="162"/>
        <v>2.3218047259372003E-3</v>
      </c>
      <c r="P135" s="8">
        <f t="shared" si="162"/>
        <v>5.3096198728415662E-3</v>
      </c>
      <c r="Q135" s="54">
        <f t="shared" si="162"/>
        <v>1.1425172821468476E-3</v>
      </c>
      <c r="R135" s="8">
        <f t="shared" si="162"/>
        <v>6.4871197097660684E-3</v>
      </c>
      <c r="S135" s="8">
        <f t="shared" si="162"/>
        <v>6.4834512377681276E-3</v>
      </c>
      <c r="T135" s="8">
        <f t="shared" si="162"/>
        <v>5.905501899082336E-3</v>
      </c>
      <c r="U135" s="8">
        <f t="shared" ref="U135:BK135" si="163">U81/2</f>
        <v>6.5440491991775856E-3</v>
      </c>
      <c r="V135" s="8">
        <f t="shared" si="163"/>
        <v>5.9225960200354486E-3</v>
      </c>
      <c r="W135" s="8">
        <f t="shared" si="163"/>
        <v>4.1487940059276021E-3</v>
      </c>
      <c r="X135" s="8">
        <f t="shared" si="163"/>
        <v>4.1298756276679695E-3</v>
      </c>
      <c r="Y135" s="54">
        <f t="shared" si="163"/>
        <v>1.0101379742673505E-2</v>
      </c>
      <c r="Z135" s="8">
        <f t="shared" si="163"/>
        <v>5.2807077882163767E-3</v>
      </c>
      <c r="AA135" s="54">
        <f t="shared" si="163"/>
        <v>5.2017975143063182E-3</v>
      </c>
      <c r="AB135" s="8">
        <f t="shared" si="163"/>
        <v>6.3422992415181761E-3</v>
      </c>
      <c r="AC135" s="8">
        <f t="shared" si="163"/>
        <v>1.4419918928262077E-2</v>
      </c>
      <c r="AD135" s="8">
        <f t="shared" si="163"/>
        <v>1.3361914446403021E-2</v>
      </c>
      <c r="AE135" s="8">
        <f t="shared" si="163"/>
        <v>6.4007182101375893E-3</v>
      </c>
      <c r="AF135" s="8">
        <f t="shared" si="163"/>
        <v>8.7203130045332769E-3</v>
      </c>
      <c r="AG135" s="8">
        <f t="shared" si="163"/>
        <v>3.4848028053659471E-3</v>
      </c>
      <c r="AH135" s="8">
        <f t="shared" si="163"/>
        <v>1.1476325984787162E-3</v>
      </c>
      <c r="AI135" s="8">
        <f t="shared" si="163"/>
        <v>2.9266380930935273E-3</v>
      </c>
      <c r="AJ135" s="8">
        <f t="shared" si="163"/>
        <v>2.3210772854781085E-3</v>
      </c>
      <c r="AK135" s="8">
        <f t="shared" si="163"/>
        <v>1.1646633993645848E-3</v>
      </c>
      <c r="AL135" s="8">
        <f t="shared" si="163"/>
        <v>1.1688087780998935E-3</v>
      </c>
      <c r="AM135" s="8">
        <f t="shared" si="163"/>
        <v>3.473922975305019E-3</v>
      </c>
      <c r="AN135" s="8">
        <f t="shared" si="163"/>
        <v>4.0790605122584334E-3</v>
      </c>
      <c r="AO135" s="8">
        <f t="shared" si="163"/>
        <v>4.0715317434613851E-3</v>
      </c>
      <c r="AP135" s="8">
        <f t="shared" si="163"/>
        <v>2.96023136956738E-3</v>
      </c>
      <c r="AQ135" s="8">
        <f t="shared" si="163"/>
        <v>2.9505507205980323E-3</v>
      </c>
      <c r="AR135" s="8">
        <f t="shared" si="163"/>
        <v>1.7756982911394789E-3</v>
      </c>
      <c r="AS135" s="8">
        <f t="shared" si="163"/>
        <v>1.7745189162940529E-3</v>
      </c>
      <c r="AT135" s="8">
        <f t="shared" si="163"/>
        <v>1.1924727573130254E-3</v>
      </c>
      <c r="AU135" s="54">
        <f t="shared" si="163"/>
        <v>1.7731544036130435E-3</v>
      </c>
      <c r="AV135" s="8">
        <f t="shared" si="163"/>
        <v>1.1863926866866766E-3</v>
      </c>
      <c r="AW135" s="8">
        <f t="shared" si="163"/>
        <v>0</v>
      </c>
      <c r="AX135" s="8">
        <f t="shared" si="163"/>
        <v>1.8018946009580213E-3</v>
      </c>
      <c r="AY135" s="8">
        <f t="shared" si="163"/>
        <v>2.9786259321214295E-3</v>
      </c>
      <c r="AZ135" s="8">
        <f t="shared" si="163"/>
        <v>1.1819668338731585E-3</v>
      </c>
      <c r="BA135" s="8">
        <f t="shared" si="163"/>
        <v>1.1759968251398292E-3</v>
      </c>
      <c r="BB135" s="8">
        <f t="shared" si="163"/>
        <v>1.1769728112424305E-3</v>
      </c>
      <c r="BC135" s="8">
        <f t="shared" si="163"/>
        <v>1.7947754054573393E-3</v>
      </c>
      <c r="BD135" s="8">
        <f t="shared" si="163"/>
        <v>1.1796712442269537E-3</v>
      </c>
      <c r="BE135" s="8">
        <f t="shared" si="163"/>
        <v>5.8700031042735413E-4</v>
      </c>
      <c r="BF135" s="8">
        <f t="shared" si="163"/>
        <v>1.7889578849330575E-3</v>
      </c>
      <c r="BG135" s="8">
        <f t="shared" si="163"/>
        <v>0</v>
      </c>
      <c r="BH135" s="8">
        <f t="shared" si="163"/>
        <v>1.7809939477610877E-3</v>
      </c>
      <c r="BI135" s="8">
        <f t="shared" si="163"/>
        <v>1.1989349493851426E-3</v>
      </c>
      <c r="BJ135" s="8">
        <f t="shared" si="163"/>
        <v>5.9768248292047042E-4</v>
      </c>
      <c r="BK135" s="8" t="e">
        <f t="shared" si="163"/>
        <v>#DIV/0!</v>
      </c>
      <c r="BL135" s="8"/>
      <c r="BM135" s="8">
        <f t="shared" si="162"/>
        <v>2.4785267643117658E-3</v>
      </c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</row>
    <row r="136" spans="1:78" s="5" customFormat="1">
      <c r="A136" s="4" t="s">
        <v>252</v>
      </c>
      <c r="B136" s="54">
        <f t="shared" ref="B136:BM136" si="164">B168/2</f>
        <v>0.17092628963186562</v>
      </c>
      <c r="C136" s="8">
        <f t="shared" si="164"/>
        <v>0.16536304407301722</v>
      </c>
      <c r="D136" s="8">
        <f t="shared" si="164"/>
        <v>0.17786462983876281</v>
      </c>
      <c r="E136" s="8">
        <f t="shared" si="164"/>
        <v>0.18254726062631527</v>
      </c>
      <c r="F136" s="8">
        <f t="shared" si="164"/>
        <v>0.17122900120589354</v>
      </c>
      <c r="G136" s="8">
        <f t="shared" si="164"/>
        <v>0.180984737606703</v>
      </c>
      <c r="H136" s="8">
        <f t="shared" si="164"/>
        <v>0.16604962998073797</v>
      </c>
      <c r="I136" s="8">
        <f t="shared" si="164"/>
        <v>0.17266094815495656</v>
      </c>
      <c r="J136" s="8">
        <f t="shared" si="164"/>
        <v>0.16907793845521521</v>
      </c>
      <c r="K136" s="54">
        <f t="shared" si="164"/>
        <v>0.1887364908289299</v>
      </c>
      <c r="L136" s="8">
        <f t="shared" si="164"/>
        <v>0.16738147468883433</v>
      </c>
      <c r="M136" s="8">
        <f t="shared" si="164"/>
        <v>0.17132796284133339</v>
      </c>
      <c r="N136" s="8">
        <f t="shared" si="164"/>
        <v>0.17038196312569284</v>
      </c>
      <c r="O136" s="8">
        <f t="shared" si="164"/>
        <v>0.17742878355352129</v>
      </c>
      <c r="P136" s="8">
        <f t="shared" si="164"/>
        <v>0.1676051896424782</v>
      </c>
      <c r="Q136" s="54">
        <f t="shared" si="164"/>
        <v>0.12144772185522738</v>
      </c>
      <c r="R136" s="8">
        <f t="shared" si="164"/>
        <v>0.1787705374974379</v>
      </c>
      <c r="S136" s="8">
        <f t="shared" si="164"/>
        <v>0.17792135002665002</v>
      </c>
      <c r="T136" s="8">
        <f t="shared" si="164"/>
        <v>0.18338904863008879</v>
      </c>
      <c r="U136" s="8">
        <f t="shared" ref="U136:BK136" si="165">U168/2</f>
        <v>0.18600252211387983</v>
      </c>
      <c r="V136" s="8">
        <f t="shared" si="165"/>
        <v>0.18204059787145327</v>
      </c>
      <c r="W136" s="8">
        <f t="shared" si="165"/>
        <v>0.18079217135588735</v>
      </c>
      <c r="X136" s="8">
        <f t="shared" si="165"/>
        <v>0.1753500062177967</v>
      </c>
      <c r="Y136" s="54">
        <f t="shared" si="165"/>
        <v>0.17383790724717016</v>
      </c>
      <c r="Z136" s="8">
        <f t="shared" si="165"/>
        <v>0.17091260570421349</v>
      </c>
      <c r="AA136" s="54">
        <f t="shared" si="165"/>
        <v>0.14133811531382787</v>
      </c>
      <c r="AB136" s="8">
        <f t="shared" si="165"/>
        <v>0.16185104028406683</v>
      </c>
      <c r="AC136" s="8">
        <f t="shared" si="165"/>
        <v>0.14849229404845338</v>
      </c>
      <c r="AD136" s="8">
        <f t="shared" si="165"/>
        <v>0.15669010223330304</v>
      </c>
      <c r="AE136" s="8">
        <f t="shared" si="165"/>
        <v>0.16592676399536876</v>
      </c>
      <c r="AF136" s="8">
        <f t="shared" si="165"/>
        <v>0.16134859131987517</v>
      </c>
      <c r="AG136" s="8">
        <f t="shared" si="165"/>
        <v>0.16365214822967133</v>
      </c>
      <c r="AH136" s="8">
        <f t="shared" si="165"/>
        <v>0.15889237449147967</v>
      </c>
      <c r="AI136" s="8">
        <f t="shared" si="165"/>
        <v>0.16084171539000916</v>
      </c>
      <c r="AJ136" s="8">
        <f t="shared" si="165"/>
        <v>0.15724225680236209</v>
      </c>
      <c r="AK136" s="8">
        <f t="shared" si="165"/>
        <v>0.17024289793166134</v>
      </c>
      <c r="AL136" s="8">
        <f t="shared" si="165"/>
        <v>0.16936535023359964</v>
      </c>
      <c r="AM136" s="8">
        <f t="shared" si="165"/>
        <v>0.16730547847917343</v>
      </c>
      <c r="AN136" s="8">
        <f t="shared" si="165"/>
        <v>0.16776863138670656</v>
      </c>
      <c r="AO136" s="8">
        <f t="shared" si="165"/>
        <v>0.1637677449771657</v>
      </c>
      <c r="AP136" s="8">
        <f t="shared" si="165"/>
        <v>0.2281889202035238</v>
      </c>
      <c r="AQ136" s="8">
        <f t="shared" si="165"/>
        <v>0.22132595373560285</v>
      </c>
      <c r="AR136" s="8">
        <f t="shared" si="165"/>
        <v>0.22437602804983944</v>
      </c>
      <c r="AS136" s="8">
        <f t="shared" si="165"/>
        <v>0.23123409689191698</v>
      </c>
      <c r="AT136" s="8">
        <f t="shared" si="165"/>
        <v>0.23081290584749414</v>
      </c>
      <c r="AU136" s="54">
        <f t="shared" si="165"/>
        <v>0.21855324391673125</v>
      </c>
      <c r="AV136" s="8">
        <f t="shared" si="165"/>
        <v>0.23340058373584047</v>
      </c>
      <c r="AW136" s="8">
        <f t="shared" si="165"/>
        <v>0.23315972752099121</v>
      </c>
      <c r="AX136" s="8">
        <f t="shared" si="165"/>
        <v>0.20278300044388939</v>
      </c>
      <c r="AY136" s="8">
        <f t="shared" si="165"/>
        <v>0.2314971488659627</v>
      </c>
      <c r="AZ136" s="8">
        <f t="shared" si="165"/>
        <v>0.2249038999946231</v>
      </c>
      <c r="BA136" s="8">
        <f t="shared" si="165"/>
        <v>0.18446239074838994</v>
      </c>
      <c r="BB136" s="8">
        <f t="shared" si="165"/>
        <v>0.18523791946316717</v>
      </c>
      <c r="BC136" s="8">
        <f t="shared" si="165"/>
        <v>0.18919975773379691</v>
      </c>
      <c r="BD136" s="8">
        <f t="shared" si="165"/>
        <v>0.18691034507187271</v>
      </c>
      <c r="BE136" s="8">
        <f t="shared" si="165"/>
        <v>0.18849534560226958</v>
      </c>
      <c r="BF136" s="8">
        <f t="shared" si="165"/>
        <v>0.21444617868957633</v>
      </c>
      <c r="BG136" s="8">
        <f t="shared" si="165"/>
        <v>0.21916783723389902</v>
      </c>
      <c r="BH136" s="8">
        <f t="shared" si="165"/>
        <v>0.20909611089495911</v>
      </c>
      <c r="BI136" s="8">
        <f t="shared" si="165"/>
        <v>0.218114531120816</v>
      </c>
      <c r="BJ136" s="8">
        <f t="shared" si="165"/>
        <v>0.20722397949949556</v>
      </c>
      <c r="BK136" s="8" t="e">
        <f t="shared" si="165"/>
        <v>#DIV/0!</v>
      </c>
      <c r="BL136" s="8"/>
      <c r="BM136" s="8">
        <f t="shared" si="164"/>
        <v>0.17343706658708205</v>
      </c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 spans="1:78" s="5" customFormat="1">
      <c r="A137" s="4" t="s">
        <v>253</v>
      </c>
      <c r="B137" s="54">
        <f t="shared" ref="B137:BM137" si="166">B80</f>
        <v>4.9078617143179674E-2</v>
      </c>
      <c r="C137" s="8">
        <f t="shared" si="166"/>
        <v>6.0852983027104735E-2</v>
      </c>
      <c r="D137" s="8">
        <f t="shared" si="166"/>
        <v>6.287477435355926E-2</v>
      </c>
      <c r="E137" s="8">
        <f t="shared" si="166"/>
        <v>4.3819730717814552E-2</v>
      </c>
      <c r="F137" s="8">
        <f t="shared" si="166"/>
        <v>6.8680619810004756E-2</v>
      </c>
      <c r="G137" s="8">
        <f t="shared" si="166"/>
        <v>6.4433587806294823E-2</v>
      </c>
      <c r="H137" s="8">
        <f t="shared" si="166"/>
        <v>6.6462896391906903E-2</v>
      </c>
      <c r="I137" s="8">
        <f t="shared" si="166"/>
        <v>6.7123862005124338E-2</v>
      </c>
      <c r="J137" s="8">
        <f t="shared" si="166"/>
        <v>5.3986345615203171E-2</v>
      </c>
      <c r="K137" s="54">
        <f t="shared" si="166"/>
        <v>5.118388579509333E-2</v>
      </c>
      <c r="L137" s="8">
        <f t="shared" si="166"/>
        <v>6.5824038191285447E-2</v>
      </c>
      <c r="M137" s="8">
        <f t="shared" si="166"/>
        <v>6.9878978510704723E-2</v>
      </c>
      <c r="N137" s="8">
        <f t="shared" si="166"/>
        <v>6.9493136686030729E-2</v>
      </c>
      <c r="O137" s="8">
        <f t="shared" si="166"/>
        <v>8.7229485799058482E-2</v>
      </c>
      <c r="P137" s="8">
        <f t="shared" si="166"/>
        <v>0.15374889721480331</v>
      </c>
      <c r="Q137" s="54">
        <f t="shared" si="166"/>
        <v>8.6934726271501919E-3</v>
      </c>
      <c r="R137" s="8">
        <f t="shared" si="166"/>
        <v>0.18285942637893657</v>
      </c>
      <c r="S137" s="8">
        <f t="shared" si="166"/>
        <v>0.17827120892241383</v>
      </c>
      <c r="T137" s="8">
        <f t="shared" si="166"/>
        <v>0.17861768626889102</v>
      </c>
      <c r="U137" s="8">
        <f t="shared" ref="U137:BK137" si="167">U80</f>
        <v>0.17541070351401283</v>
      </c>
      <c r="V137" s="8">
        <f t="shared" si="167"/>
        <v>0.16786838043446628</v>
      </c>
      <c r="W137" s="8">
        <f t="shared" si="167"/>
        <v>9.5832601823121727E-2</v>
      </c>
      <c r="X137" s="8">
        <f t="shared" si="167"/>
        <v>9.6517909256712095E-2</v>
      </c>
      <c r="Y137" s="54">
        <f t="shared" si="167"/>
        <v>0.14015996593970387</v>
      </c>
      <c r="Z137" s="8">
        <f t="shared" si="167"/>
        <v>7.031705893717978E-2</v>
      </c>
      <c r="AA137" s="54">
        <f t="shared" si="167"/>
        <v>0.10115079076434912</v>
      </c>
      <c r="AB137" s="8">
        <f t="shared" si="167"/>
        <v>0.24568157283528724</v>
      </c>
      <c r="AC137" s="8">
        <f t="shared" si="167"/>
        <v>0.27211031961589011</v>
      </c>
      <c r="AD137" s="8">
        <f t="shared" si="167"/>
        <v>0.27849147994371698</v>
      </c>
      <c r="AE137" s="8">
        <f t="shared" si="167"/>
        <v>0.28004451152275028</v>
      </c>
      <c r="AF137" s="8">
        <f t="shared" si="167"/>
        <v>0.27647212136199756</v>
      </c>
      <c r="AG137" s="8">
        <f t="shared" si="167"/>
        <v>0.29057164188243895</v>
      </c>
      <c r="AH137" s="8">
        <f t="shared" si="167"/>
        <v>0.25542256344951797</v>
      </c>
      <c r="AI137" s="8">
        <f t="shared" si="167"/>
        <v>0.29283655348179422</v>
      </c>
      <c r="AJ137" s="8">
        <f t="shared" si="167"/>
        <v>0.2605026434970853</v>
      </c>
      <c r="AK137" s="8">
        <f t="shared" si="167"/>
        <v>8.5296591856138873E-2</v>
      </c>
      <c r="AL137" s="8">
        <f t="shared" si="167"/>
        <v>0.10005216715105303</v>
      </c>
      <c r="AM137" s="8">
        <f t="shared" si="167"/>
        <v>8.5908089086544071E-2</v>
      </c>
      <c r="AN137" s="8">
        <f t="shared" si="167"/>
        <v>7.9811436217545093E-2</v>
      </c>
      <c r="AO137" s="8">
        <f t="shared" si="167"/>
        <v>8.6302804611655765E-2</v>
      </c>
      <c r="AP137" s="8">
        <f t="shared" si="167"/>
        <v>9.7981802908562773E-2</v>
      </c>
      <c r="AQ137" s="8">
        <f t="shared" si="167"/>
        <v>0.10664173623055262</v>
      </c>
      <c r="AR137" s="8">
        <f t="shared" si="167"/>
        <v>9.9083449048582239E-2</v>
      </c>
      <c r="AS137" s="8">
        <f t="shared" si="167"/>
        <v>0.10914444439365294</v>
      </c>
      <c r="AT137" s="8">
        <f t="shared" si="167"/>
        <v>0.1054804419129272</v>
      </c>
      <c r="AU137" s="54">
        <f t="shared" si="167"/>
        <v>6.7460114224948534E-2</v>
      </c>
      <c r="AV137" s="8">
        <f t="shared" si="167"/>
        <v>0.11848361216635805</v>
      </c>
      <c r="AW137" s="8">
        <f t="shared" si="167"/>
        <v>9.120986019029069E-2</v>
      </c>
      <c r="AX137" s="8">
        <f t="shared" si="167"/>
        <v>8.6834487048652792E-2</v>
      </c>
      <c r="AY137" s="8">
        <f t="shared" si="167"/>
        <v>0.11785549132836971</v>
      </c>
      <c r="AZ137" s="8">
        <f t="shared" si="167"/>
        <v>0.1034269323413896</v>
      </c>
      <c r="BA137" s="8">
        <f t="shared" si="167"/>
        <v>0.16666060099698968</v>
      </c>
      <c r="BB137" s="8">
        <f t="shared" si="167"/>
        <v>0.16903782799128214</v>
      </c>
      <c r="BC137" s="8">
        <f t="shared" si="167"/>
        <v>0.16387845788983352</v>
      </c>
      <c r="BD137" s="8">
        <f t="shared" si="167"/>
        <v>0.15483908828718967</v>
      </c>
      <c r="BE137" s="8">
        <f t="shared" si="167"/>
        <v>0.17419410385491732</v>
      </c>
      <c r="BF137" s="8">
        <f t="shared" si="167"/>
        <v>0.20645279723698612</v>
      </c>
      <c r="BG137" s="8">
        <f t="shared" si="167"/>
        <v>0.21315887938891262</v>
      </c>
      <c r="BH137" s="8">
        <f t="shared" si="167"/>
        <v>0.17730107259788258</v>
      </c>
      <c r="BI137" s="8">
        <f t="shared" si="167"/>
        <v>0.22578824941671743</v>
      </c>
      <c r="BJ137" s="8">
        <f t="shared" si="167"/>
        <v>0.22056813908214409</v>
      </c>
      <c r="BK137" s="8" t="e">
        <f t="shared" si="167"/>
        <v>#DIV/0!</v>
      </c>
      <c r="BL137" s="8"/>
      <c r="BM137" s="8">
        <f t="shared" si="166"/>
        <v>6.0460496156192436E-2</v>
      </c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</row>
    <row r="138" spans="1:78" s="5" customFormat="1">
      <c r="A138" s="4" t="s">
        <v>57</v>
      </c>
      <c r="B138" s="54">
        <f t="shared" ref="B138:BM138" si="168">B84/B170</f>
        <v>1.6241719924796609</v>
      </c>
      <c r="C138" s="8">
        <f t="shared" si="168"/>
        <v>1.3391579968530849</v>
      </c>
      <c r="D138" s="8">
        <f t="shared" si="168"/>
        <v>1.393683759847439</v>
      </c>
      <c r="E138" s="8">
        <f t="shared" si="168"/>
        <v>1.4080276111351744</v>
      </c>
      <c r="F138" s="8">
        <f t="shared" si="168"/>
        <v>1.3589989814397818</v>
      </c>
      <c r="G138" s="8">
        <f t="shared" si="168"/>
        <v>1.3807478241940074</v>
      </c>
      <c r="H138" s="8">
        <f t="shared" si="168"/>
        <v>1.298331188612861</v>
      </c>
      <c r="I138" s="8">
        <f t="shared" si="168"/>
        <v>1.3704884715317696</v>
      </c>
      <c r="J138" s="8">
        <f t="shared" si="168"/>
        <v>1.4237927659386012</v>
      </c>
      <c r="K138" s="54">
        <f t="shared" si="168"/>
        <v>1.7442190349993441</v>
      </c>
      <c r="L138" s="8">
        <f t="shared" si="168"/>
        <v>1.3603198495421918</v>
      </c>
      <c r="M138" s="8">
        <f t="shared" si="168"/>
        <v>1.3227872125255669</v>
      </c>
      <c r="N138" s="8">
        <f t="shared" si="168"/>
        <v>1.3753014161730979</v>
      </c>
      <c r="O138" s="8">
        <f t="shared" si="168"/>
        <v>1.3057345584865567</v>
      </c>
      <c r="P138" s="8">
        <f t="shared" si="168"/>
        <v>1.4360085516459475</v>
      </c>
      <c r="Q138" s="54">
        <f t="shared" si="168"/>
        <v>2.3005543662249575</v>
      </c>
      <c r="R138" s="8">
        <f t="shared" si="168"/>
        <v>1.3790764199187604</v>
      </c>
      <c r="S138" s="8">
        <f t="shared" si="168"/>
        <v>1.3494976455728978</v>
      </c>
      <c r="T138" s="8">
        <f t="shared" si="168"/>
        <v>1.4096980999666675</v>
      </c>
      <c r="U138" s="8">
        <f t="shared" ref="U138:BK138" si="169">U84/U170</f>
        <v>1.3786720628163491</v>
      </c>
      <c r="V138" s="8">
        <f t="shared" si="169"/>
        <v>1.33375330766129</v>
      </c>
      <c r="W138" s="8">
        <f t="shared" si="169"/>
        <v>1.8020963279173523</v>
      </c>
      <c r="X138" s="8">
        <f t="shared" si="169"/>
        <v>1.5970781468112891</v>
      </c>
      <c r="Y138" s="54">
        <f t="shared" si="169"/>
        <v>0.93358987031401097</v>
      </c>
      <c r="Z138" s="8">
        <f t="shared" si="169"/>
        <v>1.3026550232864658</v>
      </c>
      <c r="AA138" s="54">
        <f t="shared" si="169"/>
        <v>1.1385404920535325</v>
      </c>
      <c r="AB138" s="8">
        <f t="shared" si="169"/>
        <v>1.2151300820475781</v>
      </c>
      <c r="AC138" s="8">
        <f t="shared" si="169"/>
        <v>1.0469583061014283</v>
      </c>
      <c r="AD138" s="8">
        <f t="shared" si="169"/>
        <v>1.0947846079073305</v>
      </c>
      <c r="AE138" s="8">
        <f t="shared" si="169"/>
        <v>1.1461323460433099</v>
      </c>
      <c r="AF138" s="8">
        <f t="shared" si="169"/>
        <v>1.1812810380037955</v>
      </c>
      <c r="AG138" s="8">
        <f t="shared" si="169"/>
        <v>1.0977708802107147</v>
      </c>
      <c r="AH138" s="8">
        <f t="shared" si="169"/>
        <v>1.106582428846614</v>
      </c>
      <c r="AI138" s="8">
        <f t="shared" si="169"/>
        <v>1.0959424548318693</v>
      </c>
      <c r="AJ138" s="8">
        <f t="shared" si="169"/>
        <v>1.1381344992036324</v>
      </c>
      <c r="AK138" s="8">
        <f t="shared" si="169"/>
        <v>1.3775947227891585</v>
      </c>
      <c r="AL138" s="8">
        <f t="shared" si="169"/>
        <v>1.3223375924687399</v>
      </c>
      <c r="AM138" s="8">
        <f t="shared" si="169"/>
        <v>1.3553019720258512</v>
      </c>
      <c r="AN138" s="8">
        <f t="shared" si="169"/>
        <v>1.3853393279202246</v>
      </c>
      <c r="AO138" s="8">
        <f t="shared" si="169"/>
        <v>1.3641786244234164</v>
      </c>
      <c r="AP138" s="8">
        <f t="shared" si="169"/>
        <v>1.8254460756537634</v>
      </c>
      <c r="AQ138" s="8">
        <f t="shared" si="169"/>
        <v>1.7100354684479022</v>
      </c>
      <c r="AR138" s="8">
        <f t="shared" si="169"/>
        <v>1.7664194889811948</v>
      </c>
      <c r="AS138" s="8">
        <f t="shared" si="169"/>
        <v>1.8026424373158347</v>
      </c>
      <c r="AT138" s="8">
        <f t="shared" si="169"/>
        <v>1.8325584452417585</v>
      </c>
      <c r="AU138" s="54">
        <f t="shared" si="169"/>
        <v>2.0318427043224334</v>
      </c>
      <c r="AV138" s="8">
        <f t="shared" si="169"/>
        <v>1.8109557110748382</v>
      </c>
      <c r="AW138" s="8">
        <f t="shared" si="169"/>
        <v>1.7555995522118182</v>
      </c>
      <c r="AX138" s="8">
        <f t="shared" si="169"/>
        <v>1.2481377260822279</v>
      </c>
      <c r="AY138" s="8">
        <f t="shared" si="169"/>
        <v>1.8013212018138154</v>
      </c>
      <c r="AZ138" s="8">
        <f t="shared" si="169"/>
        <v>1.7853178793417745</v>
      </c>
      <c r="BA138" s="8">
        <f t="shared" si="169"/>
        <v>1.3746216073760398</v>
      </c>
      <c r="BB138" s="8">
        <f t="shared" si="169"/>
        <v>1.3526846856568675</v>
      </c>
      <c r="BC138" s="8">
        <f t="shared" si="169"/>
        <v>1.4207112681034295</v>
      </c>
      <c r="BD138" s="8">
        <f t="shared" si="169"/>
        <v>1.3508664181362389</v>
      </c>
      <c r="BE138" s="8">
        <f t="shared" si="169"/>
        <v>1.3652973825264318</v>
      </c>
      <c r="BF138" s="8">
        <f t="shared" si="169"/>
        <v>1.4615843039694412</v>
      </c>
      <c r="BG138" s="8">
        <f t="shared" si="169"/>
        <v>1.5180801542647713</v>
      </c>
      <c r="BH138" s="8">
        <f t="shared" si="169"/>
        <v>1.4904522432036857</v>
      </c>
      <c r="BI138" s="8">
        <f t="shared" si="169"/>
        <v>1.4596827680966735</v>
      </c>
      <c r="BJ138" s="8">
        <f t="shared" si="169"/>
        <v>1.368654518518206</v>
      </c>
      <c r="BK138" s="8" t="e">
        <f t="shared" si="169"/>
        <v>#DIV/0!</v>
      </c>
      <c r="BL138" s="8"/>
      <c r="BM138" s="8">
        <f t="shared" si="168"/>
        <v>1.3916584079340439</v>
      </c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 spans="1:78" s="5" customFormat="1">
      <c r="A139" s="4" t="s">
        <v>58</v>
      </c>
      <c r="B139" s="54">
        <f t="shared" ref="B139:BM139" si="170">B85/B170</f>
        <v>0.10147421025737127</v>
      </c>
      <c r="C139" s="8">
        <f t="shared" si="170"/>
        <v>0.10596826021008754</v>
      </c>
      <c r="D139" s="8">
        <f t="shared" si="170"/>
        <v>0.12290840382224644</v>
      </c>
      <c r="E139" s="8">
        <f t="shared" si="170"/>
        <v>0.13544029838686666</v>
      </c>
      <c r="F139" s="8">
        <f t="shared" si="170"/>
        <v>0.1052173172785664</v>
      </c>
      <c r="G139" s="8">
        <f t="shared" si="170"/>
        <v>0.10023513892056254</v>
      </c>
      <c r="H139" s="8">
        <f t="shared" si="170"/>
        <v>9.8774441851888314E-2</v>
      </c>
      <c r="I139" s="8">
        <f t="shared" si="170"/>
        <v>0.10452766917178594</v>
      </c>
      <c r="J139" s="8">
        <f t="shared" si="170"/>
        <v>0.11625768479794779</v>
      </c>
      <c r="K139" s="54">
        <f t="shared" si="170"/>
        <v>0.13470995907390157</v>
      </c>
      <c r="L139" s="8">
        <f t="shared" si="170"/>
        <v>0.11297787479382834</v>
      </c>
      <c r="M139" s="8">
        <f t="shared" si="170"/>
        <v>9.2841561250080099E-2</v>
      </c>
      <c r="N139" s="8">
        <f t="shared" si="170"/>
        <v>8.649852522140504E-2</v>
      </c>
      <c r="O139" s="8">
        <f t="shared" si="170"/>
        <v>8.0084608945470245E-2</v>
      </c>
      <c r="P139" s="8">
        <f t="shared" si="170"/>
        <v>2.9782946549222571E-2</v>
      </c>
      <c r="Q139" s="54">
        <f t="shared" si="170"/>
        <v>6.6658915375352901E-2</v>
      </c>
      <c r="R139" s="8">
        <f t="shared" si="170"/>
        <v>2.1932019088315068E-2</v>
      </c>
      <c r="S139" s="8">
        <f t="shared" si="170"/>
        <v>2.3946504145696379E-2</v>
      </c>
      <c r="T139" s="8">
        <f t="shared" si="170"/>
        <v>2.553191096367528E-2</v>
      </c>
      <c r="U139" s="8">
        <f t="shared" ref="U139:BK139" si="171">U85/U170</f>
        <v>2.2439031582257369E-2</v>
      </c>
      <c r="V139" s="8">
        <f t="shared" si="171"/>
        <v>3.0216712389014931E-2</v>
      </c>
      <c r="W139" s="8">
        <f t="shared" si="171"/>
        <v>3.9556396159895986E-2</v>
      </c>
      <c r="X139" s="8">
        <f t="shared" si="171"/>
        <v>3.3101040579400831E-2</v>
      </c>
      <c r="Y139" s="54">
        <f t="shared" si="171"/>
        <v>1.2820034016248186E-2</v>
      </c>
      <c r="Z139" s="8">
        <f t="shared" si="171"/>
        <v>2.5152360021699263E-2</v>
      </c>
      <c r="AA139" s="54">
        <f t="shared" si="171"/>
        <v>2.2445388124328183E-2</v>
      </c>
      <c r="AB139" s="8">
        <f t="shared" si="171"/>
        <v>3.0143186828315325E-2</v>
      </c>
      <c r="AC139" s="8">
        <f t="shared" si="171"/>
        <v>1.5248629483785281E-2</v>
      </c>
      <c r="AD139" s="8">
        <f t="shared" si="171"/>
        <v>2.282978179258446E-2</v>
      </c>
      <c r="AE139" s="8">
        <f t="shared" si="171"/>
        <v>2.5835691291674762E-2</v>
      </c>
      <c r="AF139" s="8">
        <f t="shared" si="171"/>
        <v>2.5078759241772993E-2</v>
      </c>
      <c r="AG139" s="8">
        <f t="shared" si="171"/>
        <v>2.5042788805985264E-2</v>
      </c>
      <c r="AH139" s="8">
        <f t="shared" si="171"/>
        <v>2.2476432780518703E-2</v>
      </c>
      <c r="AI139" s="8">
        <f t="shared" si="171"/>
        <v>2.6704384736344851E-2</v>
      </c>
      <c r="AJ139" s="8">
        <f t="shared" si="171"/>
        <v>2.6997258664549429E-2</v>
      </c>
      <c r="AK139" s="8">
        <f t="shared" si="171"/>
        <v>3.1551310587025351E-2</v>
      </c>
      <c r="AL139" s="8">
        <f t="shared" si="171"/>
        <v>2.4440818212109198E-2</v>
      </c>
      <c r="AM139" s="8">
        <f t="shared" si="171"/>
        <v>2.2611107966672376E-2</v>
      </c>
      <c r="AN139" s="8">
        <f t="shared" si="171"/>
        <v>2.7063334205693176E-2</v>
      </c>
      <c r="AO139" s="8">
        <f t="shared" si="171"/>
        <v>3.6334164977139018E-2</v>
      </c>
      <c r="AP139" s="8">
        <f t="shared" si="171"/>
        <v>3.9322968661895198E-2</v>
      </c>
      <c r="AQ139" s="8">
        <f t="shared" si="171"/>
        <v>3.2970392297757854E-2</v>
      </c>
      <c r="AR139" s="8">
        <f t="shared" si="171"/>
        <v>4.2432510474902346E-2</v>
      </c>
      <c r="AS139" s="8">
        <f t="shared" si="171"/>
        <v>4.199044805631573E-2</v>
      </c>
      <c r="AT139" s="8">
        <f t="shared" si="171"/>
        <v>4.1839323347778443E-2</v>
      </c>
      <c r="AU139" s="54">
        <f t="shared" si="171"/>
        <v>3.9735290044910776E-2</v>
      </c>
      <c r="AV139" s="8">
        <f t="shared" si="171"/>
        <v>3.4515715780710526E-2</v>
      </c>
      <c r="AW139" s="8">
        <f t="shared" si="171"/>
        <v>3.1425416897457363E-2</v>
      </c>
      <c r="AX139" s="8">
        <f t="shared" si="171"/>
        <v>2.4753328177270377E-2</v>
      </c>
      <c r="AY139" s="8">
        <f t="shared" si="171"/>
        <v>3.7244935533066584E-2</v>
      </c>
      <c r="AZ139" s="8">
        <f t="shared" si="171"/>
        <v>3.7693773225560043E-2</v>
      </c>
      <c r="BA139" s="8">
        <f t="shared" si="171"/>
        <v>2.3471236990588219E-2</v>
      </c>
      <c r="BB139" s="8">
        <f t="shared" si="171"/>
        <v>2.7622873301606878E-2</v>
      </c>
      <c r="BC139" s="8">
        <f t="shared" si="171"/>
        <v>2.1657140058732281E-2</v>
      </c>
      <c r="BD139" s="8">
        <f t="shared" si="171"/>
        <v>2.2834660315254246E-2</v>
      </c>
      <c r="BE139" s="8">
        <f t="shared" si="171"/>
        <v>2.0497078240524477E-2</v>
      </c>
      <c r="BF139" s="8">
        <f t="shared" si="171"/>
        <v>1.741642040952732E-2</v>
      </c>
      <c r="BG139" s="8">
        <f t="shared" si="171"/>
        <v>2.7790968753623316E-2</v>
      </c>
      <c r="BH139" s="8">
        <f t="shared" si="171"/>
        <v>2.266719551095667E-2</v>
      </c>
      <c r="BI139" s="8">
        <f t="shared" si="171"/>
        <v>2.256385481584652E-2</v>
      </c>
      <c r="BJ139" s="8">
        <f t="shared" si="171"/>
        <v>2.5374067533082311E-2</v>
      </c>
      <c r="BK139" s="8" t="e">
        <f t="shared" si="171"/>
        <v>#DIV/0!</v>
      </c>
      <c r="BL139" s="8"/>
      <c r="BM139" s="8">
        <f t="shared" si="170"/>
        <v>0.10950579340408902</v>
      </c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</row>
    <row r="140" spans="1:78" s="5" customFormat="1">
      <c r="A140" s="4" t="s">
        <v>59</v>
      </c>
      <c r="B140" s="54">
        <f t="shared" ref="B140:BM140" si="172">B89/((B90+B133)+B89)</f>
        <v>0.64913036785217271</v>
      </c>
      <c r="C140" s="8">
        <f t="shared" si="172"/>
        <v>0.81025163180341631</v>
      </c>
      <c r="D140" s="8">
        <f t="shared" si="172"/>
        <v>0.74133096195711923</v>
      </c>
      <c r="E140" s="8">
        <f t="shared" si="172"/>
        <v>0.77890011472927168</v>
      </c>
      <c r="F140" s="8">
        <f t="shared" si="172"/>
        <v>0.71953967282213016</v>
      </c>
      <c r="G140" s="8">
        <f t="shared" si="172"/>
        <v>0.80462524638043997</v>
      </c>
      <c r="H140" s="8">
        <f t="shared" si="172"/>
        <v>0.77042891031631056</v>
      </c>
      <c r="I140" s="8">
        <f t="shared" si="172"/>
        <v>0.75848851595914213</v>
      </c>
      <c r="J140" s="8">
        <f t="shared" si="172"/>
        <v>0.73682674245819912</v>
      </c>
      <c r="K140" s="54">
        <f t="shared" si="172"/>
        <v>0.66441825565791035</v>
      </c>
      <c r="L140" s="8">
        <f t="shared" si="172"/>
        <v>0.77371852825473186</v>
      </c>
      <c r="M140" s="8">
        <f t="shared" si="172"/>
        <v>0.7588757289451229</v>
      </c>
      <c r="N140" s="8">
        <f t="shared" si="172"/>
        <v>0.64498441594517952</v>
      </c>
      <c r="O140" s="8">
        <f t="shared" si="172"/>
        <v>0.78576647997706095</v>
      </c>
      <c r="P140" s="8">
        <f t="shared" si="172"/>
        <v>0.66685740071384869</v>
      </c>
      <c r="Q140" s="54">
        <f t="shared" si="172"/>
        <v>0.69510767662683914</v>
      </c>
      <c r="R140" s="8">
        <f t="shared" si="172"/>
        <v>0.63437088336821723</v>
      </c>
      <c r="S140" s="8">
        <f t="shared" si="172"/>
        <v>0.62500701351151444</v>
      </c>
      <c r="T140" s="8">
        <f t="shared" si="172"/>
        <v>0.67000172847957373</v>
      </c>
      <c r="U140" s="8">
        <f t="shared" ref="U140:BK140" si="173">U89/((U90+U133)+U89)</f>
        <v>0.63317803194419864</v>
      </c>
      <c r="V140" s="8">
        <f t="shared" si="173"/>
        <v>0.64905918094321535</v>
      </c>
      <c r="W140" s="8">
        <f t="shared" si="173"/>
        <v>0.64513694069204652</v>
      </c>
      <c r="X140" s="8">
        <f t="shared" si="173"/>
        <v>0.67162956754055936</v>
      </c>
      <c r="Y140" s="54">
        <f t="shared" si="173"/>
        <v>0.70429685881179971</v>
      </c>
      <c r="Z140" s="8">
        <f t="shared" si="173"/>
        <v>0.73511896909430841</v>
      </c>
      <c r="AA140" s="54">
        <f t="shared" si="173"/>
        <v>0.97799975295776287</v>
      </c>
      <c r="AB140" s="8">
        <f t="shared" si="173"/>
        <v>0.79868888231864743</v>
      </c>
      <c r="AC140" s="8">
        <f t="shared" si="173"/>
        <v>0.7423530027375238</v>
      </c>
      <c r="AD140" s="8">
        <f t="shared" si="173"/>
        <v>0.7777061249264573</v>
      </c>
      <c r="AE140" s="8">
        <f t="shared" si="173"/>
        <v>0.78367480120136357</v>
      </c>
      <c r="AF140" s="8">
        <f t="shared" si="173"/>
        <v>0.77278180341652503</v>
      </c>
      <c r="AG140" s="8">
        <f t="shared" si="173"/>
        <v>0.77162575136463984</v>
      </c>
      <c r="AH140" s="8">
        <f t="shared" si="173"/>
        <v>0.7687477864089487</v>
      </c>
      <c r="AI140" s="8">
        <f t="shared" si="173"/>
        <v>0.75948193346764548</v>
      </c>
      <c r="AJ140" s="8">
        <f t="shared" si="173"/>
        <v>0.75954107689600836</v>
      </c>
      <c r="AK140" s="8">
        <f t="shared" si="173"/>
        <v>0.68204775290881436</v>
      </c>
      <c r="AL140" s="8">
        <f t="shared" si="173"/>
        <v>0.69856794863513227</v>
      </c>
      <c r="AM140" s="8">
        <f t="shared" si="173"/>
        <v>0.68989060514715428</v>
      </c>
      <c r="AN140" s="8">
        <f t="shared" si="173"/>
        <v>0.6805871255760515</v>
      </c>
      <c r="AO140" s="8">
        <f t="shared" si="173"/>
        <v>0.69987473099362318</v>
      </c>
      <c r="AP140" s="8">
        <f t="shared" si="173"/>
        <v>0.81536419679521255</v>
      </c>
      <c r="AQ140" s="8">
        <f t="shared" si="173"/>
        <v>0.73967351169072915</v>
      </c>
      <c r="AR140" s="8">
        <f t="shared" si="173"/>
        <v>0.7962329086349762</v>
      </c>
      <c r="AS140" s="8">
        <f t="shared" si="173"/>
        <v>0.80430892084554562</v>
      </c>
      <c r="AT140" s="8">
        <f t="shared" si="173"/>
        <v>0.81019107578221417</v>
      </c>
      <c r="AU140" s="54">
        <f t="shared" si="173"/>
        <v>0.7706958386536048</v>
      </c>
      <c r="AV140" s="8">
        <f t="shared" si="173"/>
        <v>0.77760207376511492</v>
      </c>
      <c r="AW140" s="8">
        <f t="shared" si="173"/>
        <v>0.8399770931616265</v>
      </c>
      <c r="AX140" s="8">
        <f t="shared" si="173"/>
        <v>0.9559691954656615</v>
      </c>
      <c r="AY140" s="8">
        <f t="shared" si="173"/>
        <v>0.78677778534595788</v>
      </c>
      <c r="AZ140" s="8">
        <f t="shared" si="173"/>
        <v>0.78226441087725573</v>
      </c>
      <c r="BA140" s="8">
        <f t="shared" si="173"/>
        <v>0.86474435949461281</v>
      </c>
      <c r="BB140" s="8">
        <f t="shared" si="173"/>
        <v>0.84884566639206549</v>
      </c>
      <c r="BC140" s="8">
        <f t="shared" si="173"/>
        <v>0.92835921299033786</v>
      </c>
      <c r="BD140" s="8">
        <f t="shared" si="173"/>
        <v>0.85835666039466774</v>
      </c>
      <c r="BE140" s="8">
        <f t="shared" si="173"/>
        <v>0.90156717961089172</v>
      </c>
      <c r="BF140" s="8">
        <f t="shared" si="173"/>
        <v>0.82841012521818214</v>
      </c>
      <c r="BG140" s="8">
        <f t="shared" si="173"/>
        <v>0.80249740279937665</v>
      </c>
      <c r="BH140" s="8">
        <f t="shared" si="173"/>
        <v>0.82973445258940948</v>
      </c>
      <c r="BI140" s="8">
        <f t="shared" si="173"/>
        <v>0.80559186727884047</v>
      </c>
      <c r="BJ140" s="8">
        <f t="shared" si="173"/>
        <v>0.88560544765891547</v>
      </c>
      <c r="BK140" s="8" t="e">
        <f t="shared" si="173"/>
        <v>#DIV/0!</v>
      </c>
      <c r="BL140" s="8"/>
      <c r="BM140" s="8">
        <f t="shared" si="172"/>
        <v>0.75141795388088473</v>
      </c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 spans="1:78" s="5" customFormat="1">
      <c r="A141" s="4" t="s">
        <v>60</v>
      </c>
      <c r="B141" s="54">
        <f t="shared" ref="B141:BM141" si="174">IF(2-B133-B88&lt;0, 0, 2-B133-B88)</f>
        <v>0.16849746554300982</v>
      </c>
      <c r="C141" s="8">
        <f t="shared" si="174"/>
        <v>0.27283741323464983</v>
      </c>
      <c r="D141" s="8">
        <f t="shared" si="174"/>
        <v>0.24265356686288242</v>
      </c>
      <c r="E141" s="8">
        <f t="shared" si="174"/>
        <v>0.33252804451306561</v>
      </c>
      <c r="F141" s="8">
        <f t="shared" si="174"/>
        <v>0.19357887129164819</v>
      </c>
      <c r="G141" s="8">
        <f t="shared" si="174"/>
        <v>0.21519494978796039</v>
      </c>
      <c r="H141" s="8">
        <f t="shared" si="174"/>
        <v>0.18368058621088101</v>
      </c>
      <c r="I141" s="8">
        <f t="shared" si="174"/>
        <v>0.22079110294531401</v>
      </c>
      <c r="J141" s="8">
        <f t="shared" si="174"/>
        <v>0.276302948013325</v>
      </c>
      <c r="K141" s="54">
        <f t="shared" si="174"/>
        <v>0.14249710841272045</v>
      </c>
      <c r="L141" s="8">
        <f t="shared" si="174"/>
        <v>0.26141989673400068</v>
      </c>
      <c r="M141" s="8">
        <f t="shared" si="174"/>
        <v>0.20131928692319101</v>
      </c>
      <c r="N141" s="8">
        <f t="shared" si="174"/>
        <v>0.15874379287678342</v>
      </c>
      <c r="O141" s="8">
        <f t="shared" si="174"/>
        <v>0.22274328495327378</v>
      </c>
      <c r="P141" s="8">
        <f t="shared" si="174"/>
        <v>0</v>
      </c>
      <c r="Q141" s="54">
        <f t="shared" si="174"/>
        <v>0</v>
      </c>
      <c r="R141" s="8">
        <f t="shared" si="174"/>
        <v>0</v>
      </c>
      <c r="S141" s="8">
        <f t="shared" si="174"/>
        <v>0</v>
      </c>
      <c r="T141" s="8">
        <f t="shared" si="174"/>
        <v>1.9044044961803896E-2</v>
      </c>
      <c r="U141" s="8">
        <f t="shared" ref="U141:BK141" si="175">IF(2-U133-U88&lt;0, 0, 2-U133-U88)</f>
        <v>2.8108301619960141E-3</v>
      </c>
      <c r="V141" s="8">
        <f t="shared" si="175"/>
        <v>0</v>
      </c>
      <c r="W141" s="8">
        <f t="shared" si="175"/>
        <v>0</v>
      </c>
      <c r="X141" s="8">
        <f t="shared" si="175"/>
        <v>3.804777846114793E-2</v>
      </c>
      <c r="Y141" s="54">
        <f t="shared" si="175"/>
        <v>0</v>
      </c>
      <c r="Z141" s="8">
        <f t="shared" si="175"/>
        <v>0</v>
      </c>
      <c r="AA141" s="54">
        <f t="shared" si="175"/>
        <v>0</v>
      </c>
      <c r="AB141" s="8">
        <f t="shared" si="175"/>
        <v>9.8306039687576119E-2</v>
      </c>
      <c r="AC141" s="8">
        <f t="shared" si="175"/>
        <v>2.0493095618597579E-2</v>
      </c>
      <c r="AD141" s="8">
        <f t="shared" si="175"/>
        <v>1.4276109830847705E-2</v>
      </c>
      <c r="AE141" s="8">
        <f t="shared" si="175"/>
        <v>6.9369399754063643E-2</v>
      </c>
      <c r="AF141" s="8">
        <f t="shared" si="175"/>
        <v>3.7345799602585883E-2</v>
      </c>
      <c r="AG141" s="8">
        <f t="shared" si="175"/>
        <v>3.9094138515992638E-2</v>
      </c>
      <c r="AH141" s="8">
        <f t="shared" si="175"/>
        <v>6.5819748133184586E-2</v>
      </c>
      <c r="AI141" s="8">
        <f t="shared" si="175"/>
        <v>1.9083416391105557E-2</v>
      </c>
      <c r="AJ141" s="8">
        <f t="shared" si="175"/>
        <v>6.0312008208018852E-2</v>
      </c>
      <c r="AK141" s="8">
        <f t="shared" si="175"/>
        <v>1.5726117847042476E-2</v>
      </c>
      <c r="AL141" s="8">
        <f t="shared" si="175"/>
        <v>1.0434816163932492E-2</v>
      </c>
      <c r="AM141" s="8">
        <f t="shared" si="175"/>
        <v>5.0008588228480866E-2</v>
      </c>
      <c r="AN141" s="8">
        <f t="shared" si="175"/>
        <v>4.4146080154184419E-2</v>
      </c>
      <c r="AO141" s="8">
        <f t="shared" si="175"/>
        <v>2.1816644328407131E-2</v>
      </c>
      <c r="AP141" s="8">
        <f t="shared" si="175"/>
        <v>4.0312643127641712E-2</v>
      </c>
      <c r="AQ141" s="8">
        <f t="shared" si="175"/>
        <v>3.2226913768336862E-2</v>
      </c>
      <c r="AR141" s="8">
        <f t="shared" si="175"/>
        <v>2.0703462049505017E-2</v>
      </c>
      <c r="AS141" s="8">
        <f t="shared" si="175"/>
        <v>3.6887588261838467E-2</v>
      </c>
      <c r="AT141" s="8">
        <f t="shared" si="175"/>
        <v>5.4042256200437677E-2</v>
      </c>
      <c r="AU141" s="54">
        <f t="shared" si="175"/>
        <v>4.9845213166259894E-2</v>
      </c>
      <c r="AV141" s="8">
        <f t="shared" si="175"/>
        <v>5.9441919968156176E-2</v>
      </c>
      <c r="AW141" s="8">
        <f t="shared" si="175"/>
        <v>5.1537332607385355E-2</v>
      </c>
      <c r="AX141" s="8">
        <f t="shared" si="175"/>
        <v>0</v>
      </c>
      <c r="AY141" s="8">
        <f t="shared" si="175"/>
        <v>3.5965671814761402E-2</v>
      </c>
      <c r="AZ141" s="8">
        <f t="shared" si="175"/>
        <v>3.5839617899676268E-2</v>
      </c>
      <c r="BA141" s="8">
        <f t="shared" si="175"/>
        <v>3.1985892832266938E-3</v>
      </c>
      <c r="BB141" s="8">
        <f t="shared" si="175"/>
        <v>1.8198536190060288E-2</v>
      </c>
      <c r="BC141" s="8">
        <f t="shared" si="175"/>
        <v>3.1731724384164828E-2</v>
      </c>
      <c r="BD141" s="8">
        <f t="shared" si="175"/>
        <v>9.910444350723191E-3</v>
      </c>
      <c r="BE141" s="8">
        <f t="shared" si="175"/>
        <v>4.6342008827441106E-2</v>
      </c>
      <c r="BF141" s="8">
        <f t="shared" si="175"/>
        <v>0</v>
      </c>
      <c r="BG141" s="8">
        <f t="shared" si="175"/>
        <v>1.0361882837698122E-2</v>
      </c>
      <c r="BH141" s="8">
        <f t="shared" si="175"/>
        <v>0</v>
      </c>
      <c r="BI141" s="8">
        <f t="shared" si="175"/>
        <v>0</v>
      </c>
      <c r="BJ141" s="8">
        <f t="shared" si="175"/>
        <v>0</v>
      </c>
      <c r="BK141" s="8" t="e">
        <f t="shared" si="175"/>
        <v>#DIV/0!</v>
      </c>
      <c r="BL141" s="8"/>
      <c r="BM141" s="8">
        <f t="shared" si="174"/>
        <v>0.22860107827383747</v>
      </c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</row>
    <row r="142" spans="1:78" s="26" customFormat="1">
      <c r="A142" s="24"/>
      <c r="B142" s="56"/>
      <c r="C142" s="25"/>
      <c r="D142" s="25"/>
      <c r="E142" s="25"/>
      <c r="F142" s="25"/>
      <c r="G142" s="25"/>
      <c r="H142" s="25"/>
      <c r="I142" s="25"/>
      <c r="J142" s="25"/>
      <c r="K142" s="56"/>
      <c r="L142" s="25"/>
      <c r="M142" s="25"/>
      <c r="N142" s="25"/>
      <c r="O142" s="25"/>
      <c r="P142" s="25"/>
      <c r="Q142" s="56"/>
      <c r="R142" s="25"/>
      <c r="S142" s="25"/>
      <c r="T142" s="25"/>
      <c r="U142" s="25"/>
      <c r="V142" s="25"/>
      <c r="W142" s="25"/>
      <c r="X142" s="25"/>
      <c r="Y142" s="56"/>
      <c r="Z142" s="25"/>
      <c r="AA142" s="56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56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</row>
    <row r="143" spans="1:78" s="5" customFormat="1">
      <c r="A143" s="4"/>
      <c r="B143" s="54"/>
      <c r="C143" s="8"/>
      <c r="D143" s="8"/>
      <c r="E143" s="8"/>
      <c r="F143" s="8"/>
      <c r="G143" s="8"/>
      <c r="H143" s="8"/>
      <c r="I143" s="8"/>
      <c r="J143" s="8"/>
      <c r="K143" s="54"/>
      <c r="L143" s="8"/>
      <c r="M143" s="8"/>
      <c r="N143" s="8"/>
      <c r="O143" s="8"/>
      <c r="P143" s="8"/>
      <c r="Q143" s="54"/>
      <c r="R143" s="8"/>
      <c r="S143" s="8"/>
      <c r="T143" s="8"/>
      <c r="U143" s="8"/>
      <c r="V143" s="8"/>
      <c r="W143" s="8"/>
      <c r="X143" s="8"/>
      <c r="Y143" s="54"/>
      <c r="Z143" s="8"/>
      <c r="AA143" s="54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54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</row>
    <row r="144" spans="1:78" s="5" customFormat="1">
      <c r="A144" s="4" t="s">
        <v>95</v>
      </c>
      <c r="B144" s="57"/>
      <c r="C144" s="41"/>
      <c r="D144" s="41"/>
      <c r="E144" s="41"/>
      <c r="F144" s="41"/>
      <c r="G144" s="41"/>
      <c r="H144" s="41"/>
      <c r="I144" s="41"/>
      <c r="J144" s="41"/>
      <c r="K144" s="57"/>
      <c r="L144" s="41"/>
      <c r="M144" s="41"/>
      <c r="N144" s="41"/>
      <c r="O144" s="41"/>
      <c r="P144" s="41"/>
      <c r="Q144" s="57"/>
      <c r="R144" s="41"/>
      <c r="S144" s="41"/>
      <c r="T144" s="41"/>
      <c r="U144" s="41"/>
      <c r="V144" s="41"/>
      <c r="W144" s="41"/>
      <c r="X144" s="41"/>
      <c r="Y144" s="57"/>
      <c r="Z144" s="41"/>
      <c r="AA144" s="57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57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 spans="1:78" s="5" customFormat="1">
      <c r="A145" s="4" t="s">
        <v>20</v>
      </c>
      <c r="B145" s="57" t="str">
        <f>IF(8-B79&gt;B82, "X", " ")</f>
        <v xml:space="preserve"> </v>
      </c>
      <c r="C145" s="41" t="str">
        <f t="shared" ref="C145:BM145" si="176">IF(8-C79&gt;C82, "X", " ")</f>
        <v xml:space="preserve"> </v>
      </c>
      <c r="D145" s="41" t="str">
        <f t="shared" si="176"/>
        <v xml:space="preserve"> </v>
      </c>
      <c r="E145" s="41" t="str">
        <f t="shared" si="176"/>
        <v xml:space="preserve"> </v>
      </c>
      <c r="F145" s="41" t="str">
        <f t="shared" si="176"/>
        <v xml:space="preserve"> </v>
      </c>
      <c r="G145" s="41" t="str">
        <f t="shared" si="176"/>
        <v xml:space="preserve"> </v>
      </c>
      <c r="H145" s="41" t="str">
        <f t="shared" si="176"/>
        <v xml:space="preserve"> </v>
      </c>
      <c r="I145" s="41" t="str">
        <f t="shared" si="176"/>
        <v xml:space="preserve"> </v>
      </c>
      <c r="J145" s="41" t="str">
        <f t="shared" si="176"/>
        <v xml:space="preserve"> </v>
      </c>
      <c r="K145" s="57" t="str">
        <f t="shared" si="176"/>
        <v xml:space="preserve"> </v>
      </c>
      <c r="L145" s="41" t="str">
        <f t="shared" si="176"/>
        <v xml:space="preserve"> </v>
      </c>
      <c r="M145" s="41" t="str">
        <f t="shared" si="176"/>
        <v xml:space="preserve"> </v>
      </c>
      <c r="N145" s="41" t="str">
        <f t="shared" si="176"/>
        <v xml:space="preserve"> </v>
      </c>
      <c r="O145" s="41" t="str">
        <f t="shared" si="176"/>
        <v xml:space="preserve"> </v>
      </c>
      <c r="P145" s="41" t="str">
        <f t="shared" si="176"/>
        <v xml:space="preserve"> </v>
      </c>
      <c r="Q145" s="57" t="str">
        <f t="shared" si="176"/>
        <v xml:space="preserve"> </v>
      </c>
      <c r="R145" s="41" t="str">
        <f t="shared" si="176"/>
        <v xml:space="preserve"> </v>
      </c>
      <c r="S145" s="41" t="str">
        <f t="shared" si="176"/>
        <v xml:space="preserve"> </v>
      </c>
      <c r="T145" s="41" t="str">
        <f t="shared" si="176"/>
        <v xml:space="preserve"> </v>
      </c>
      <c r="U145" s="41" t="str">
        <f t="shared" ref="U145:BK145" si="177">IF(8-U79&gt;U82, "X", " ")</f>
        <v xml:space="preserve"> </v>
      </c>
      <c r="V145" s="41" t="str">
        <f t="shared" si="177"/>
        <v xml:space="preserve"> </v>
      </c>
      <c r="W145" s="41" t="str">
        <f t="shared" si="177"/>
        <v xml:space="preserve"> </v>
      </c>
      <c r="X145" s="41" t="str">
        <f t="shared" si="177"/>
        <v xml:space="preserve"> </v>
      </c>
      <c r="Y145" s="57" t="str">
        <f t="shared" si="177"/>
        <v xml:space="preserve"> </v>
      </c>
      <c r="Z145" s="41" t="str">
        <f t="shared" si="177"/>
        <v xml:space="preserve"> </v>
      </c>
      <c r="AA145" s="57" t="str">
        <f t="shared" si="177"/>
        <v xml:space="preserve"> </v>
      </c>
      <c r="AB145" s="41" t="str">
        <f t="shared" si="177"/>
        <v xml:space="preserve"> </v>
      </c>
      <c r="AC145" s="41" t="str">
        <f t="shared" si="177"/>
        <v xml:space="preserve"> </v>
      </c>
      <c r="AD145" s="41" t="str">
        <f t="shared" si="177"/>
        <v xml:space="preserve"> </v>
      </c>
      <c r="AE145" s="41" t="str">
        <f t="shared" si="177"/>
        <v xml:space="preserve"> </v>
      </c>
      <c r="AF145" s="41" t="str">
        <f t="shared" si="177"/>
        <v xml:space="preserve"> </v>
      </c>
      <c r="AG145" s="41" t="str">
        <f t="shared" si="177"/>
        <v xml:space="preserve"> </v>
      </c>
      <c r="AH145" s="41" t="str">
        <f t="shared" si="177"/>
        <v xml:space="preserve"> </v>
      </c>
      <c r="AI145" s="41" t="str">
        <f t="shared" si="177"/>
        <v xml:space="preserve"> </v>
      </c>
      <c r="AJ145" s="41" t="str">
        <f t="shared" si="177"/>
        <v xml:space="preserve"> </v>
      </c>
      <c r="AK145" s="41" t="str">
        <f t="shared" si="177"/>
        <v xml:space="preserve"> </v>
      </c>
      <c r="AL145" s="41" t="str">
        <f t="shared" si="177"/>
        <v xml:space="preserve"> </v>
      </c>
      <c r="AM145" s="41" t="str">
        <f t="shared" si="177"/>
        <v xml:space="preserve"> </v>
      </c>
      <c r="AN145" s="41" t="str">
        <f t="shared" si="177"/>
        <v xml:space="preserve"> </v>
      </c>
      <c r="AO145" s="41" t="str">
        <f t="shared" si="177"/>
        <v xml:space="preserve"> </v>
      </c>
      <c r="AP145" s="41" t="str">
        <f t="shared" si="177"/>
        <v xml:space="preserve"> </v>
      </c>
      <c r="AQ145" s="41" t="str">
        <f t="shared" si="177"/>
        <v xml:space="preserve"> </v>
      </c>
      <c r="AR145" s="41" t="str">
        <f t="shared" si="177"/>
        <v xml:space="preserve"> </v>
      </c>
      <c r="AS145" s="41" t="str">
        <f t="shared" si="177"/>
        <v xml:space="preserve"> </v>
      </c>
      <c r="AT145" s="41" t="str">
        <f t="shared" si="177"/>
        <v xml:space="preserve"> </v>
      </c>
      <c r="AU145" s="57" t="str">
        <f t="shared" si="177"/>
        <v xml:space="preserve"> </v>
      </c>
      <c r="AV145" s="41" t="str">
        <f t="shared" si="177"/>
        <v xml:space="preserve"> </v>
      </c>
      <c r="AW145" s="41" t="str">
        <f t="shared" si="177"/>
        <v xml:space="preserve"> </v>
      </c>
      <c r="AX145" s="41" t="str">
        <f t="shared" si="177"/>
        <v xml:space="preserve"> </v>
      </c>
      <c r="AY145" s="41" t="str">
        <f t="shared" si="177"/>
        <v xml:space="preserve"> </v>
      </c>
      <c r="AZ145" s="41" t="str">
        <f t="shared" si="177"/>
        <v xml:space="preserve"> </v>
      </c>
      <c r="BA145" s="41" t="str">
        <f t="shared" si="177"/>
        <v xml:space="preserve"> </v>
      </c>
      <c r="BB145" s="41" t="str">
        <f t="shared" si="177"/>
        <v xml:space="preserve"> </v>
      </c>
      <c r="BC145" s="41" t="str">
        <f t="shared" si="177"/>
        <v xml:space="preserve"> </v>
      </c>
      <c r="BD145" s="41" t="str">
        <f t="shared" si="177"/>
        <v xml:space="preserve"> </v>
      </c>
      <c r="BE145" s="41" t="str">
        <f t="shared" si="177"/>
        <v xml:space="preserve"> </v>
      </c>
      <c r="BF145" s="41" t="str">
        <f t="shared" si="177"/>
        <v xml:space="preserve"> </v>
      </c>
      <c r="BG145" s="41" t="str">
        <f t="shared" si="177"/>
        <v xml:space="preserve"> </v>
      </c>
      <c r="BH145" s="41" t="str">
        <f t="shared" si="177"/>
        <v xml:space="preserve"> </v>
      </c>
      <c r="BI145" s="41" t="str">
        <f t="shared" si="177"/>
        <v xml:space="preserve"> </v>
      </c>
      <c r="BJ145" s="41" t="str">
        <f t="shared" si="177"/>
        <v xml:space="preserve"> </v>
      </c>
      <c r="BK145" s="41" t="e">
        <f t="shared" si="177"/>
        <v>#DIV/0!</v>
      </c>
      <c r="BL145" s="41"/>
      <c r="BM145" s="41" t="str">
        <f t="shared" si="176"/>
        <v xml:space="preserve"> </v>
      </c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</row>
    <row r="146" spans="1:78" s="5" customFormat="1">
      <c r="A146" s="4" t="s">
        <v>22</v>
      </c>
      <c r="B146" s="57" t="str">
        <f>IF(B94-15&lt;0, "X", " ")</f>
        <v xml:space="preserve"> </v>
      </c>
      <c r="C146" s="41" t="str">
        <f t="shared" ref="C146:BM146" si="178">IF(C94-15&lt;0, "X", " ")</f>
        <v xml:space="preserve"> </v>
      </c>
      <c r="D146" s="41" t="str">
        <f t="shared" si="178"/>
        <v xml:space="preserve"> </v>
      </c>
      <c r="E146" s="41" t="str">
        <f t="shared" si="178"/>
        <v xml:space="preserve"> </v>
      </c>
      <c r="F146" s="41" t="str">
        <f t="shared" si="178"/>
        <v xml:space="preserve"> </v>
      </c>
      <c r="G146" s="41" t="str">
        <f t="shared" si="178"/>
        <v xml:space="preserve"> </v>
      </c>
      <c r="H146" s="41" t="str">
        <f t="shared" si="178"/>
        <v xml:space="preserve"> </v>
      </c>
      <c r="I146" s="41" t="str">
        <f t="shared" si="178"/>
        <v xml:space="preserve"> </v>
      </c>
      <c r="J146" s="41" t="str">
        <f t="shared" si="178"/>
        <v xml:space="preserve"> </v>
      </c>
      <c r="K146" s="57" t="str">
        <f t="shared" si="178"/>
        <v xml:space="preserve"> </v>
      </c>
      <c r="L146" s="41" t="str">
        <f t="shared" si="178"/>
        <v xml:space="preserve"> </v>
      </c>
      <c r="M146" s="41" t="str">
        <f t="shared" si="178"/>
        <v xml:space="preserve"> </v>
      </c>
      <c r="N146" s="41" t="str">
        <f t="shared" si="178"/>
        <v xml:space="preserve"> </v>
      </c>
      <c r="O146" s="41" t="str">
        <f t="shared" si="178"/>
        <v xml:space="preserve"> </v>
      </c>
      <c r="P146" s="41" t="str">
        <f t="shared" si="178"/>
        <v xml:space="preserve"> </v>
      </c>
      <c r="Q146" s="57" t="str">
        <f t="shared" si="178"/>
        <v xml:space="preserve"> </v>
      </c>
      <c r="R146" s="41" t="str">
        <f t="shared" si="178"/>
        <v xml:space="preserve"> </v>
      </c>
      <c r="S146" s="41" t="str">
        <f t="shared" si="178"/>
        <v xml:space="preserve"> </v>
      </c>
      <c r="T146" s="41" t="str">
        <f t="shared" si="178"/>
        <v xml:space="preserve"> </v>
      </c>
      <c r="U146" s="41" t="str">
        <f t="shared" ref="U146:BK146" si="179">IF(U94-15&lt;0, "X", " ")</f>
        <v xml:space="preserve"> </v>
      </c>
      <c r="V146" s="41" t="str">
        <f t="shared" si="179"/>
        <v xml:space="preserve"> </v>
      </c>
      <c r="W146" s="41" t="str">
        <f t="shared" si="179"/>
        <v xml:space="preserve"> </v>
      </c>
      <c r="X146" s="41" t="str">
        <f t="shared" si="179"/>
        <v xml:space="preserve"> </v>
      </c>
      <c r="Y146" s="57" t="str">
        <f t="shared" si="179"/>
        <v xml:space="preserve"> </v>
      </c>
      <c r="Z146" s="41" t="str">
        <f t="shared" si="179"/>
        <v xml:space="preserve"> </v>
      </c>
      <c r="AA146" s="57" t="str">
        <f t="shared" si="179"/>
        <v xml:space="preserve"> </v>
      </c>
      <c r="AB146" s="41" t="str">
        <f t="shared" si="179"/>
        <v xml:space="preserve"> </v>
      </c>
      <c r="AC146" s="41" t="str">
        <f t="shared" si="179"/>
        <v xml:space="preserve"> </v>
      </c>
      <c r="AD146" s="41" t="str">
        <f t="shared" si="179"/>
        <v xml:space="preserve"> </v>
      </c>
      <c r="AE146" s="41" t="str">
        <f t="shared" si="179"/>
        <v xml:space="preserve"> </v>
      </c>
      <c r="AF146" s="41" t="str">
        <f t="shared" si="179"/>
        <v xml:space="preserve"> </v>
      </c>
      <c r="AG146" s="41" t="str">
        <f t="shared" si="179"/>
        <v xml:space="preserve"> </v>
      </c>
      <c r="AH146" s="41" t="str">
        <f t="shared" si="179"/>
        <v xml:space="preserve"> </v>
      </c>
      <c r="AI146" s="41" t="str">
        <f t="shared" si="179"/>
        <v xml:space="preserve"> </v>
      </c>
      <c r="AJ146" s="41" t="str">
        <f t="shared" si="179"/>
        <v xml:space="preserve"> </v>
      </c>
      <c r="AK146" s="41" t="str">
        <f t="shared" si="179"/>
        <v xml:space="preserve"> </v>
      </c>
      <c r="AL146" s="41" t="str">
        <f t="shared" si="179"/>
        <v xml:space="preserve"> </v>
      </c>
      <c r="AM146" s="41" t="str">
        <f t="shared" si="179"/>
        <v xml:space="preserve"> </v>
      </c>
      <c r="AN146" s="41" t="str">
        <f t="shared" si="179"/>
        <v xml:space="preserve"> </v>
      </c>
      <c r="AO146" s="41" t="str">
        <f t="shared" si="179"/>
        <v xml:space="preserve"> </v>
      </c>
      <c r="AP146" s="41" t="str">
        <f t="shared" si="179"/>
        <v xml:space="preserve"> </v>
      </c>
      <c r="AQ146" s="41" t="str">
        <f t="shared" si="179"/>
        <v xml:space="preserve"> </v>
      </c>
      <c r="AR146" s="41" t="str">
        <f t="shared" si="179"/>
        <v xml:space="preserve"> </v>
      </c>
      <c r="AS146" s="41" t="str">
        <f t="shared" si="179"/>
        <v xml:space="preserve"> </v>
      </c>
      <c r="AT146" s="41" t="str">
        <f t="shared" si="179"/>
        <v xml:space="preserve"> </v>
      </c>
      <c r="AU146" s="57" t="str">
        <f t="shared" si="179"/>
        <v xml:space="preserve"> </v>
      </c>
      <c r="AV146" s="41" t="str">
        <f t="shared" si="179"/>
        <v xml:space="preserve"> </v>
      </c>
      <c r="AW146" s="41" t="str">
        <f t="shared" si="179"/>
        <v xml:space="preserve"> </v>
      </c>
      <c r="AX146" s="41" t="str">
        <f t="shared" si="179"/>
        <v xml:space="preserve"> </v>
      </c>
      <c r="AY146" s="41" t="str">
        <f t="shared" si="179"/>
        <v xml:space="preserve"> </v>
      </c>
      <c r="AZ146" s="41" t="str">
        <f t="shared" si="179"/>
        <v xml:space="preserve"> </v>
      </c>
      <c r="BA146" s="41" t="str">
        <f t="shared" si="179"/>
        <v xml:space="preserve"> </v>
      </c>
      <c r="BB146" s="41" t="str">
        <f t="shared" si="179"/>
        <v xml:space="preserve"> </v>
      </c>
      <c r="BC146" s="41" t="str">
        <f t="shared" si="179"/>
        <v xml:space="preserve"> </v>
      </c>
      <c r="BD146" s="41" t="str">
        <f t="shared" si="179"/>
        <v xml:space="preserve"> </v>
      </c>
      <c r="BE146" s="41" t="str">
        <f t="shared" si="179"/>
        <v xml:space="preserve"> </v>
      </c>
      <c r="BF146" s="41" t="str">
        <f t="shared" si="179"/>
        <v xml:space="preserve"> </v>
      </c>
      <c r="BG146" s="41" t="str">
        <f t="shared" si="179"/>
        <v xml:space="preserve"> </v>
      </c>
      <c r="BH146" s="41" t="str">
        <f t="shared" si="179"/>
        <v xml:space="preserve"> </v>
      </c>
      <c r="BI146" s="41" t="str">
        <f t="shared" si="179"/>
        <v xml:space="preserve"> </v>
      </c>
      <c r="BJ146" s="41" t="str">
        <f t="shared" si="179"/>
        <v xml:space="preserve"> </v>
      </c>
      <c r="BK146" s="41" t="e">
        <f t="shared" si="179"/>
        <v>#DIV/0!</v>
      </c>
      <c r="BL146" s="41"/>
      <c r="BM146" s="41" t="str">
        <f t="shared" si="178"/>
        <v xml:space="preserve"> </v>
      </c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 spans="1:78" s="5" customFormat="1">
      <c r="A147" s="4" t="s">
        <v>209</v>
      </c>
      <c r="B147" s="57" t="str">
        <f>IF(B94-15&gt;B89+B90+0.001, "X", " ")</f>
        <v xml:space="preserve"> </v>
      </c>
      <c r="C147" s="41" t="str">
        <f t="shared" ref="C147:BM147" si="180">IF(C94-15&gt;C89+C90+0.001, "X", " ")</f>
        <v xml:space="preserve"> </v>
      </c>
      <c r="D147" s="41" t="str">
        <f t="shared" si="180"/>
        <v xml:space="preserve"> </v>
      </c>
      <c r="E147" s="41" t="str">
        <f t="shared" si="180"/>
        <v xml:space="preserve"> </v>
      </c>
      <c r="F147" s="41" t="str">
        <f t="shared" si="180"/>
        <v xml:space="preserve"> </v>
      </c>
      <c r="G147" s="41" t="str">
        <f t="shared" si="180"/>
        <v xml:space="preserve"> </v>
      </c>
      <c r="H147" s="41" t="str">
        <f t="shared" si="180"/>
        <v xml:space="preserve"> </v>
      </c>
      <c r="I147" s="41" t="str">
        <f t="shared" si="180"/>
        <v xml:space="preserve"> </v>
      </c>
      <c r="J147" s="41" t="str">
        <f t="shared" si="180"/>
        <v xml:space="preserve"> </v>
      </c>
      <c r="K147" s="57" t="str">
        <f t="shared" si="180"/>
        <v xml:space="preserve"> </v>
      </c>
      <c r="L147" s="41" t="str">
        <f t="shared" si="180"/>
        <v xml:space="preserve"> </v>
      </c>
      <c r="M147" s="41" t="str">
        <f t="shared" si="180"/>
        <v xml:space="preserve"> </v>
      </c>
      <c r="N147" s="41" t="str">
        <f t="shared" si="180"/>
        <v xml:space="preserve"> </v>
      </c>
      <c r="O147" s="41" t="str">
        <f t="shared" si="180"/>
        <v xml:space="preserve"> </v>
      </c>
      <c r="P147" s="41" t="str">
        <f t="shared" si="180"/>
        <v xml:space="preserve"> </v>
      </c>
      <c r="Q147" s="57" t="str">
        <f t="shared" si="180"/>
        <v xml:space="preserve"> </v>
      </c>
      <c r="R147" s="41" t="str">
        <f t="shared" si="180"/>
        <v xml:space="preserve"> </v>
      </c>
      <c r="S147" s="41" t="str">
        <f t="shared" si="180"/>
        <v xml:space="preserve"> </v>
      </c>
      <c r="T147" s="41" t="str">
        <f t="shared" si="180"/>
        <v xml:space="preserve"> </v>
      </c>
      <c r="U147" s="41" t="str">
        <f t="shared" ref="U147:BK147" si="181">IF(U94-15&gt;U89+U90+0.001, "X", " ")</f>
        <v xml:space="preserve"> </v>
      </c>
      <c r="V147" s="41" t="str">
        <f t="shared" si="181"/>
        <v xml:space="preserve"> </v>
      </c>
      <c r="W147" s="41" t="str">
        <f t="shared" si="181"/>
        <v xml:space="preserve"> </v>
      </c>
      <c r="X147" s="41" t="str">
        <f t="shared" si="181"/>
        <v xml:space="preserve"> </v>
      </c>
      <c r="Y147" s="57" t="str">
        <f t="shared" si="181"/>
        <v xml:space="preserve"> </v>
      </c>
      <c r="Z147" s="41" t="str">
        <f t="shared" si="181"/>
        <v xml:space="preserve"> </v>
      </c>
      <c r="AA147" s="57" t="str">
        <f t="shared" si="181"/>
        <v xml:space="preserve"> </v>
      </c>
      <c r="AB147" s="41" t="str">
        <f t="shared" si="181"/>
        <v xml:space="preserve"> </v>
      </c>
      <c r="AC147" s="41" t="str">
        <f t="shared" si="181"/>
        <v xml:space="preserve"> </v>
      </c>
      <c r="AD147" s="41" t="str">
        <f t="shared" si="181"/>
        <v xml:space="preserve"> </v>
      </c>
      <c r="AE147" s="41" t="str">
        <f t="shared" si="181"/>
        <v xml:space="preserve"> </v>
      </c>
      <c r="AF147" s="41" t="str">
        <f t="shared" si="181"/>
        <v xml:space="preserve"> </v>
      </c>
      <c r="AG147" s="41" t="str">
        <f t="shared" si="181"/>
        <v xml:space="preserve"> </v>
      </c>
      <c r="AH147" s="41" t="str">
        <f t="shared" si="181"/>
        <v xml:space="preserve"> </v>
      </c>
      <c r="AI147" s="41" t="str">
        <f t="shared" si="181"/>
        <v xml:space="preserve"> </v>
      </c>
      <c r="AJ147" s="41" t="str">
        <f t="shared" si="181"/>
        <v xml:space="preserve"> </v>
      </c>
      <c r="AK147" s="41" t="str">
        <f t="shared" si="181"/>
        <v xml:space="preserve"> </v>
      </c>
      <c r="AL147" s="41" t="str">
        <f t="shared" si="181"/>
        <v xml:space="preserve"> </v>
      </c>
      <c r="AM147" s="41" t="str">
        <f t="shared" si="181"/>
        <v xml:space="preserve"> </v>
      </c>
      <c r="AN147" s="41" t="str">
        <f t="shared" si="181"/>
        <v xml:space="preserve"> </v>
      </c>
      <c r="AO147" s="41" t="str">
        <f t="shared" si="181"/>
        <v xml:space="preserve"> </v>
      </c>
      <c r="AP147" s="41" t="str">
        <f t="shared" si="181"/>
        <v xml:space="preserve"> </v>
      </c>
      <c r="AQ147" s="41" t="str">
        <f t="shared" si="181"/>
        <v xml:space="preserve"> </v>
      </c>
      <c r="AR147" s="41" t="str">
        <f t="shared" si="181"/>
        <v xml:space="preserve"> </v>
      </c>
      <c r="AS147" s="41" t="str">
        <f t="shared" si="181"/>
        <v xml:space="preserve"> </v>
      </c>
      <c r="AT147" s="41" t="str">
        <f t="shared" si="181"/>
        <v xml:space="preserve"> </v>
      </c>
      <c r="AU147" s="57" t="str">
        <f t="shared" si="181"/>
        <v xml:space="preserve"> </v>
      </c>
      <c r="AV147" s="41" t="str">
        <f t="shared" si="181"/>
        <v xml:space="preserve"> </v>
      </c>
      <c r="AW147" s="41" t="str">
        <f t="shared" si="181"/>
        <v xml:space="preserve"> </v>
      </c>
      <c r="AX147" s="41" t="str">
        <f t="shared" si="181"/>
        <v xml:space="preserve"> </v>
      </c>
      <c r="AY147" s="41" t="str">
        <f t="shared" si="181"/>
        <v xml:space="preserve"> </v>
      </c>
      <c r="AZ147" s="41" t="str">
        <f t="shared" si="181"/>
        <v xml:space="preserve"> </v>
      </c>
      <c r="BA147" s="41" t="str">
        <f t="shared" si="181"/>
        <v xml:space="preserve"> </v>
      </c>
      <c r="BB147" s="41" t="str">
        <f t="shared" si="181"/>
        <v xml:space="preserve"> </v>
      </c>
      <c r="BC147" s="41" t="str">
        <f t="shared" si="181"/>
        <v xml:space="preserve"> </v>
      </c>
      <c r="BD147" s="41" t="str">
        <f t="shared" si="181"/>
        <v xml:space="preserve"> </v>
      </c>
      <c r="BE147" s="41" t="str">
        <f t="shared" si="181"/>
        <v xml:space="preserve"> </v>
      </c>
      <c r="BF147" s="41" t="str">
        <f t="shared" si="181"/>
        <v xml:space="preserve"> </v>
      </c>
      <c r="BG147" s="41" t="str">
        <f t="shared" si="181"/>
        <v xml:space="preserve"> </v>
      </c>
      <c r="BH147" s="41" t="str">
        <f t="shared" si="181"/>
        <v xml:space="preserve"> </v>
      </c>
      <c r="BI147" s="41" t="str">
        <f t="shared" si="181"/>
        <v xml:space="preserve"> </v>
      </c>
      <c r="BJ147" s="41" t="str">
        <f t="shared" si="181"/>
        <v xml:space="preserve"> </v>
      </c>
      <c r="BK147" s="41" t="e">
        <f t="shared" si="181"/>
        <v>#DIV/0!</v>
      </c>
      <c r="BL147" s="41"/>
      <c r="BM147" s="41" t="str">
        <f t="shared" si="180"/>
        <v xml:space="preserve"> </v>
      </c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</row>
    <row r="148" spans="1:78" s="5" customFormat="1">
      <c r="A148" s="4" t="s">
        <v>210</v>
      </c>
      <c r="B148" s="57" t="str">
        <f>IF(B132&lt;B90,  "X", " ")</f>
        <v xml:space="preserve"> </v>
      </c>
      <c r="C148" s="41" t="str">
        <f>IF(C132+0.001&lt;C90,  "X", " ")</f>
        <v xml:space="preserve"> </v>
      </c>
      <c r="D148" s="41" t="str">
        <f t="shared" ref="D148:BM148" si="182">IF(D132&lt;D90,  "X", " ")</f>
        <v xml:space="preserve"> </v>
      </c>
      <c r="E148" s="41" t="str">
        <f t="shared" si="182"/>
        <v xml:space="preserve"> </v>
      </c>
      <c r="F148" s="41" t="str">
        <f t="shared" si="182"/>
        <v xml:space="preserve"> </v>
      </c>
      <c r="G148" s="41" t="str">
        <f t="shared" si="182"/>
        <v xml:space="preserve"> </v>
      </c>
      <c r="H148" s="41" t="str">
        <f t="shared" si="182"/>
        <v xml:space="preserve"> </v>
      </c>
      <c r="I148" s="41" t="str">
        <f t="shared" si="182"/>
        <v xml:space="preserve"> </v>
      </c>
      <c r="J148" s="41" t="str">
        <f t="shared" si="182"/>
        <v xml:space="preserve"> </v>
      </c>
      <c r="K148" s="57" t="str">
        <f t="shared" si="182"/>
        <v xml:space="preserve"> </v>
      </c>
      <c r="L148" s="41" t="str">
        <f t="shared" si="182"/>
        <v xml:space="preserve"> </v>
      </c>
      <c r="M148" s="41" t="str">
        <f t="shared" si="182"/>
        <v xml:space="preserve"> </v>
      </c>
      <c r="N148" s="41" t="str">
        <f t="shared" si="182"/>
        <v xml:space="preserve"> </v>
      </c>
      <c r="O148" s="41" t="str">
        <f t="shared" si="182"/>
        <v xml:space="preserve"> </v>
      </c>
      <c r="P148" s="41" t="str">
        <f t="shared" si="182"/>
        <v xml:space="preserve"> </v>
      </c>
      <c r="Q148" s="57" t="str">
        <f t="shared" si="182"/>
        <v xml:space="preserve"> </v>
      </c>
      <c r="R148" s="41" t="str">
        <f t="shared" si="182"/>
        <v xml:space="preserve"> </v>
      </c>
      <c r="S148" s="41" t="str">
        <f t="shared" si="182"/>
        <v xml:space="preserve"> </v>
      </c>
      <c r="T148" s="41" t="str">
        <f t="shared" si="182"/>
        <v xml:space="preserve"> </v>
      </c>
      <c r="U148" s="41" t="str">
        <f t="shared" ref="U148:BK148" si="183">IF(U132&lt;U90,  "X", " ")</f>
        <v xml:space="preserve"> </v>
      </c>
      <c r="V148" s="41" t="str">
        <f t="shared" si="183"/>
        <v xml:space="preserve"> </v>
      </c>
      <c r="W148" s="41" t="str">
        <f t="shared" si="183"/>
        <v xml:space="preserve"> </v>
      </c>
      <c r="X148" s="41" t="str">
        <f t="shared" si="183"/>
        <v xml:space="preserve"> </v>
      </c>
      <c r="Y148" s="57" t="str">
        <f t="shared" si="183"/>
        <v xml:space="preserve"> </v>
      </c>
      <c r="Z148" s="41" t="str">
        <f t="shared" si="183"/>
        <v xml:space="preserve"> </v>
      </c>
      <c r="AA148" s="57" t="str">
        <f t="shared" si="183"/>
        <v xml:space="preserve"> </v>
      </c>
      <c r="AB148" s="41" t="str">
        <f t="shared" si="183"/>
        <v xml:space="preserve"> </v>
      </c>
      <c r="AC148" s="41" t="str">
        <f t="shared" si="183"/>
        <v xml:space="preserve"> </v>
      </c>
      <c r="AD148" s="41" t="str">
        <f t="shared" si="183"/>
        <v xml:space="preserve"> </v>
      </c>
      <c r="AE148" s="41" t="str">
        <f t="shared" si="183"/>
        <v xml:space="preserve"> </v>
      </c>
      <c r="AF148" s="41" t="str">
        <f t="shared" si="183"/>
        <v xml:space="preserve"> </v>
      </c>
      <c r="AG148" s="41" t="str">
        <f t="shared" si="183"/>
        <v xml:space="preserve"> </v>
      </c>
      <c r="AH148" s="41" t="str">
        <f t="shared" si="183"/>
        <v xml:space="preserve"> </v>
      </c>
      <c r="AI148" s="41" t="str">
        <f t="shared" si="183"/>
        <v xml:space="preserve"> </v>
      </c>
      <c r="AJ148" s="41" t="str">
        <f t="shared" si="183"/>
        <v xml:space="preserve"> </v>
      </c>
      <c r="AK148" s="41" t="str">
        <f t="shared" si="183"/>
        <v xml:space="preserve"> </v>
      </c>
      <c r="AL148" s="41" t="str">
        <f t="shared" si="183"/>
        <v xml:space="preserve"> </v>
      </c>
      <c r="AM148" s="41" t="str">
        <f t="shared" si="183"/>
        <v xml:space="preserve"> </v>
      </c>
      <c r="AN148" s="41" t="str">
        <f t="shared" si="183"/>
        <v xml:space="preserve"> </v>
      </c>
      <c r="AO148" s="41" t="str">
        <f t="shared" si="183"/>
        <v xml:space="preserve"> </v>
      </c>
      <c r="AP148" s="41" t="str">
        <f t="shared" si="183"/>
        <v xml:space="preserve"> </v>
      </c>
      <c r="AQ148" s="41" t="str">
        <f t="shared" si="183"/>
        <v xml:space="preserve"> </v>
      </c>
      <c r="AR148" s="41" t="str">
        <f t="shared" si="183"/>
        <v xml:space="preserve"> </v>
      </c>
      <c r="AS148" s="41" t="str">
        <f t="shared" si="183"/>
        <v xml:space="preserve"> </v>
      </c>
      <c r="AT148" s="41" t="str">
        <f t="shared" si="183"/>
        <v xml:space="preserve"> </v>
      </c>
      <c r="AU148" s="57" t="str">
        <f t="shared" si="183"/>
        <v xml:space="preserve"> </v>
      </c>
      <c r="AV148" s="41" t="str">
        <f t="shared" si="183"/>
        <v xml:space="preserve"> </v>
      </c>
      <c r="AW148" s="41" t="str">
        <f t="shared" si="183"/>
        <v xml:space="preserve"> </v>
      </c>
      <c r="AX148" s="41" t="str">
        <f t="shared" si="183"/>
        <v xml:space="preserve"> </v>
      </c>
      <c r="AY148" s="41" t="str">
        <f t="shared" si="183"/>
        <v xml:space="preserve"> </v>
      </c>
      <c r="AZ148" s="41" t="str">
        <f t="shared" si="183"/>
        <v xml:space="preserve"> </v>
      </c>
      <c r="BA148" s="41" t="str">
        <f t="shared" si="183"/>
        <v xml:space="preserve"> </v>
      </c>
      <c r="BB148" s="41" t="str">
        <f t="shared" si="183"/>
        <v xml:space="preserve"> </v>
      </c>
      <c r="BC148" s="41" t="str">
        <f t="shared" si="183"/>
        <v xml:space="preserve"> </v>
      </c>
      <c r="BD148" s="41" t="str">
        <f t="shared" si="183"/>
        <v xml:space="preserve"> </v>
      </c>
      <c r="BE148" s="41" t="str">
        <f t="shared" si="183"/>
        <v xml:space="preserve"> </v>
      </c>
      <c r="BF148" s="41" t="str">
        <f t="shared" si="183"/>
        <v xml:space="preserve"> </v>
      </c>
      <c r="BG148" s="41" t="str">
        <f t="shared" si="183"/>
        <v xml:space="preserve"> </v>
      </c>
      <c r="BH148" s="41" t="str">
        <f t="shared" si="183"/>
        <v xml:space="preserve"> </v>
      </c>
      <c r="BI148" s="41" t="str">
        <f t="shared" si="183"/>
        <v xml:space="preserve"> </v>
      </c>
      <c r="BJ148" s="41" t="str">
        <f t="shared" si="183"/>
        <v xml:space="preserve"> </v>
      </c>
      <c r="BK148" s="41" t="e">
        <f t="shared" si="183"/>
        <v>#DIV/0!</v>
      </c>
      <c r="BL148" s="41"/>
      <c r="BM148" s="41" t="str">
        <f t="shared" si="182"/>
        <v xml:space="preserve"> </v>
      </c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 spans="1:78" s="5" customFormat="1">
      <c r="A149" s="4" t="s">
        <v>215</v>
      </c>
      <c r="B149" s="57" t="str">
        <f>IF(B88+B164&gt;2.001, "X", " ")</f>
        <v xml:space="preserve"> </v>
      </c>
      <c r="C149" s="41" t="str">
        <f t="shared" ref="C149:BM149" si="184">IF(C88+C164&gt;2.001, "X", " ")</f>
        <v xml:space="preserve"> </v>
      </c>
      <c r="D149" s="41" t="str">
        <f t="shared" si="184"/>
        <v xml:space="preserve"> </v>
      </c>
      <c r="E149" s="41" t="str">
        <f t="shared" si="184"/>
        <v xml:space="preserve"> </v>
      </c>
      <c r="F149" s="41" t="str">
        <f t="shared" si="184"/>
        <v xml:space="preserve"> </v>
      </c>
      <c r="G149" s="41" t="str">
        <f t="shared" si="184"/>
        <v xml:space="preserve"> </v>
      </c>
      <c r="H149" s="41" t="str">
        <f t="shared" si="184"/>
        <v xml:space="preserve"> </v>
      </c>
      <c r="I149" s="41" t="str">
        <f t="shared" si="184"/>
        <v xml:space="preserve"> </v>
      </c>
      <c r="J149" s="41" t="str">
        <f t="shared" si="184"/>
        <v xml:space="preserve"> </v>
      </c>
      <c r="K149" s="57" t="str">
        <f t="shared" si="184"/>
        <v xml:space="preserve"> </v>
      </c>
      <c r="L149" s="41" t="str">
        <f t="shared" si="184"/>
        <v xml:space="preserve"> </v>
      </c>
      <c r="M149" s="41" t="str">
        <f t="shared" si="184"/>
        <v xml:space="preserve"> </v>
      </c>
      <c r="N149" s="41" t="str">
        <f t="shared" si="184"/>
        <v xml:space="preserve"> </v>
      </c>
      <c r="O149" s="41" t="str">
        <f t="shared" si="184"/>
        <v xml:space="preserve"> </v>
      </c>
      <c r="P149" s="41" t="str">
        <f t="shared" si="184"/>
        <v>X</v>
      </c>
      <c r="Q149" s="57" t="str">
        <f t="shared" si="184"/>
        <v>X</v>
      </c>
      <c r="R149" s="41" t="str">
        <f t="shared" si="184"/>
        <v>X</v>
      </c>
      <c r="S149" s="41" t="str">
        <f t="shared" si="184"/>
        <v>X</v>
      </c>
      <c r="T149" s="41" t="str">
        <f t="shared" si="184"/>
        <v xml:space="preserve"> </v>
      </c>
      <c r="U149" s="41" t="str">
        <f t="shared" ref="U149:BK149" si="185">IF(U88+U164&gt;2.001, "X", " ")</f>
        <v xml:space="preserve"> </v>
      </c>
      <c r="V149" s="41" t="str">
        <f t="shared" si="185"/>
        <v>X</v>
      </c>
      <c r="W149" s="41" t="str">
        <f t="shared" si="185"/>
        <v>X</v>
      </c>
      <c r="X149" s="41" t="str">
        <f t="shared" si="185"/>
        <v xml:space="preserve"> </v>
      </c>
      <c r="Y149" s="57" t="str">
        <f t="shared" si="185"/>
        <v>X</v>
      </c>
      <c r="Z149" s="41" t="str">
        <f t="shared" si="185"/>
        <v>X</v>
      </c>
      <c r="AA149" s="57" t="str">
        <f t="shared" si="185"/>
        <v>X</v>
      </c>
      <c r="AB149" s="41" t="str">
        <f t="shared" si="185"/>
        <v xml:space="preserve"> </v>
      </c>
      <c r="AC149" s="41" t="str">
        <f t="shared" si="185"/>
        <v xml:space="preserve"> </v>
      </c>
      <c r="AD149" s="41" t="str">
        <f t="shared" si="185"/>
        <v xml:space="preserve"> </v>
      </c>
      <c r="AE149" s="41" t="str">
        <f t="shared" si="185"/>
        <v xml:space="preserve"> </v>
      </c>
      <c r="AF149" s="41" t="str">
        <f t="shared" si="185"/>
        <v xml:space="preserve"> </v>
      </c>
      <c r="AG149" s="41" t="str">
        <f t="shared" si="185"/>
        <v xml:space="preserve"> </v>
      </c>
      <c r="AH149" s="41" t="str">
        <f t="shared" si="185"/>
        <v xml:space="preserve"> </v>
      </c>
      <c r="AI149" s="41" t="str">
        <f t="shared" si="185"/>
        <v xml:space="preserve"> </v>
      </c>
      <c r="AJ149" s="41" t="str">
        <f t="shared" si="185"/>
        <v xml:space="preserve"> </v>
      </c>
      <c r="AK149" s="41" t="str">
        <f t="shared" si="185"/>
        <v xml:space="preserve"> </v>
      </c>
      <c r="AL149" s="41" t="str">
        <f t="shared" si="185"/>
        <v xml:space="preserve"> </v>
      </c>
      <c r="AM149" s="41" t="str">
        <f t="shared" si="185"/>
        <v xml:space="preserve"> </v>
      </c>
      <c r="AN149" s="41" t="str">
        <f t="shared" si="185"/>
        <v xml:space="preserve"> </v>
      </c>
      <c r="AO149" s="41" t="str">
        <f t="shared" si="185"/>
        <v xml:space="preserve"> </v>
      </c>
      <c r="AP149" s="41" t="str">
        <f t="shared" si="185"/>
        <v xml:space="preserve"> </v>
      </c>
      <c r="AQ149" s="41" t="str">
        <f t="shared" si="185"/>
        <v xml:space="preserve"> </v>
      </c>
      <c r="AR149" s="41" t="str">
        <f t="shared" si="185"/>
        <v xml:space="preserve"> </v>
      </c>
      <c r="AS149" s="41" t="str">
        <f t="shared" si="185"/>
        <v xml:space="preserve"> </v>
      </c>
      <c r="AT149" s="41" t="str">
        <f t="shared" si="185"/>
        <v xml:space="preserve"> </v>
      </c>
      <c r="AU149" s="57" t="str">
        <f t="shared" si="185"/>
        <v xml:space="preserve"> </v>
      </c>
      <c r="AV149" s="41" t="str">
        <f t="shared" si="185"/>
        <v xml:space="preserve"> </v>
      </c>
      <c r="AW149" s="41" t="str">
        <f t="shared" si="185"/>
        <v xml:space="preserve"> </v>
      </c>
      <c r="AX149" s="41" t="str">
        <f t="shared" si="185"/>
        <v>X</v>
      </c>
      <c r="AY149" s="41" t="str">
        <f t="shared" si="185"/>
        <v xml:space="preserve"> </v>
      </c>
      <c r="AZ149" s="41" t="str">
        <f t="shared" si="185"/>
        <v xml:space="preserve"> </v>
      </c>
      <c r="BA149" s="41" t="str">
        <f t="shared" si="185"/>
        <v xml:space="preserve"> </v>
      </c>
      <c r="BB149" s="41" t="str">
        <f t="shared" si="185"/>
        <v xml:space="preserve"> </v>
      </c>
      <c r="BC149" s="41" t="str">
        <f t="shared" si="185"/>
        <v xml:space="preserve"> </v>
      </c>
      <c r="BD149" s="41" t="str">
        <f t="shared" si="185"/>
        <v xml:space="preserve"> </v>
      </c>
      <c r="BE149" s="41" t="str">
        <f t="shared" si="185"/>
        <v xml:space="preserve"> </v>
      </c>
      <c r="BF149" s="41" t="str">
        <f t="shared" si="185"/>
        <v>X</v>
      </c>
      <c r="BG149" s="41" t="str">
        <f t="shared" si="185"/>
        <v xml:space="preserve"> </v>
      </c>
      <c r="BH149" s="41" t="str">
        <f t="shared" si="185"/>
        <v>X</v>
      </c>
      <c r="BI149" s="41" t="str">
        <f t="shared" si="185"/>
        <v>X</v>
      </c>
      <c r="BJ149" s="41" t="str">
        <f t="shared" si="185"/>
        <v>X</v>
      </c>
      <c r="BK149" s="41" t="e">
        <f t="shared" si="185"/>
        <v>#DIV/0!</v>
      </c>
      <c r="BL149" s="41"/>
      <c r="BM149" s="41" t="str">
        <f t="shared" si="184"/>
        <v xml:space="preserve"> </v>
      </c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</row>
    <row r="150" spans="1:78" s="5" customFormat="1">
      <c r="A150" s="4" t="s">
        <v>10</v>
      </c>
      <c r="B150" s="57" t="str">
        <f>IF(B88&gt;2.001,  "X", " ")</f>
        <v xml:space="preserve"> </v>
      </c>
      <c r="C150" s="41" t="str">
        <f t="shared" ref="C150:BM150" si="186">IF(C88&gt;2.001,  "X", " ")</f>
        <v xml:space="preserve"> </v>
      </c>
      <c r="D150" s="41" t="str">
        <f t="shared" si="186"/>
        <v xml:space="preserve"> </v>
      </c>
      <c r="E150" s="41" t="str">
        <f t="shared" si="186"/>
        <v xml:space="preserve"> </v>
      </c>
      <c r="F150" s="41" t="str">
        <f t="shared" si="186"/>
        <v xml:space="preserve"> </v>
      </c>
      <c r="G150" s="41" t="str">
        <f t="shared" si="186"/>
        <v xml:space="preserve"> </v>
      </c>
      <c r="H150" s="41" t="str">
        <f t="shared" si="186"/>
        <v xml:space="preserve"> </v>
      </c>
      <c r="I150" s="41" t="str">
        <f t="shared" si="186"/>
        <v xml:space="preserve"> </v>
      </c>
      <c r="J150" s="41" t="str">
        <f t="shared" si="186"/>
        <v xml:space="preserve"> </v>
      </c>
      <c r="K150" s="57" t="str">
        <f t="shared" si="186"/>
        <v xml:space="preserve"> </v>
      </c>
      <c r="L150" s="41" t="str">
        <f t="shared" si="186"/>
        <v xml:space="preserve"> </v>
      </c>
      <c r="M150" s="41" t="str">
        <f t="shared" si="186"/>
        <v xml:space="preserve"> </v>
      </c>
      <c r="N150" s="41" t="str">
        <f t="shared" si="186"/>
        <v xml:space="preserve"> </v>
      </c>
      <c r="O150" s="41" t="str">
        <f t="shared" si="186"/>
        <v xml:space="preserve"> </v>
      </c>
      <c r="P150" s="41" t="str">
        <f t="shared" si="186"/>
        <v xml:space="preserve"> </v>
      </c>
      <c r="Q150" s="57" t="str">
        <f t="shared" si="186"/>
        <v xml:space="preserve"> </v>
      </c>
      <c r="R150" s="41" t="str">
        <f t="shared" si="186"/>
        <v xml:space="preserve"> </v>
      </c>
      <c r="S150" s="41" t="str">
        <f t="shared" si="186"/>
        <v xml:space="preserve"> </v>
      </c>
      <c r="T150" s="41" t="str">
        <f t="shared" si="186"/>
        <v xml:space="preserve"> </v>
      </c>
      <c r="U150" s="41" t="str">
        <f t="shared" ref="U150:BK150" si="187">IF(U88&gt;2.001,  "X", " ")</f>
        <v xml:space="preserve"> </v>
      </c>
      <c r="V150" s="41" t="str">
        <f t="shared" si="187"/>
        <v xml:space="preserve"> </v>
      </c>
      <c r="W150" s="41" t="str">
        <f t="shared" si="187"/>
        <v xml:space="preserve"> </v>
      </c>
      <c r="X150" s="41" t="str">
        <f t="shared" si="187"/>
        <v xml:space="preserve"> </v>
      </c>
      <c r="Y150" s="57" t="str">
        <f t="shared" si="187"/>
        <v>X</v>
      </c>
      <c r="Z150" s="41" t="str">
        <f t="shared" si="187"/>
        <v>X</v>
      </c>
      <c r="AA150" s="57" t="str">
        <f t="shared" si="187"/>
        <v>X</v>
      </c>
      <c r="AB150" s="41" t="str">
        <f t="shared" si="187"/>
        <v xml:space="preserve"> </v>
      </c>
      <c r="AC150" s="41" t="str">
        <f t="shared" si="187"/>
        <v xml:space="preserve"> </v>
      </c>
      <c r="AD150" s="41" t="str">
        <f t="shared" si="187"/>
        <v xml:space="preserve"> </v>
      </c>
      <c r="AE150" s="41" t="str">
        <f t="shared" si="187"/>
        <v xml:space="preserve"> </v>
      </c>
      <c r="AF150" s="41" t="str">
        <f t="shared" si="187"/>
        <v xml:space="preserve"> </v>
      </c>
      <c r="AG150" s="41" t="str">
        <f t="shared" si="187"/>
        <v xml:space="preserve"> </v>
      </c>
      <c r="AH150" s="41" t="str">
        <f t="shared" si="187"/>
        <v xml:space="preserve"> </v>
      </c>
      <c r="AI150" s="41" t="str">
        <f t="shared" si="187"/>
        <v xml:space="preserve"> </v>
      </c>
      <c r="AJ150" s="41" t="str">
        <f t="shared" si="187"/>
        <v xml:space="preserve"> </v>
      </c>
      <c r="AK150" s="41" t="str">
        <f t="shared" si="187"/>
        <v xml:space="preserve"> </v>
      </c>
      <c r="AL150" s="41" t="str">
        <f t="shared" si="187"/>
        <v xml:space="preserve"> </v>
      </c>
      <c r="AM150" s="41" t="str">
        <f t="shared" si="187"/>
        <v xml:space="preserve"> </v>
      </c>
      <c r="AN150" s="41" t="str">
        <f t="shared" si="187"/>
        <v xml:space="preserve"> </v>
      </c>
      <c r="AO150" s="41" t="str">
        <f t="shared" si="187"/>
        <v xml:space="preserve"> </v>
      </c>
      <c r="AP150" s="41" t="str">
        <f t="shared" si="187"/>
        <v xml:space="preserve"> </v>
      </c>
      <c r="AQ150" s="41" t="str">
        <f t="shared" si="187"/>
        <v xml:space="preserve"> </v>
      </c>
      <c r="AR150" s="41" t="str">
        <f t="shared" si="187"/>
        <v xml:space="preserve"> </v>
      </c>
      <c r="AS150" s="41" t="str">
        <f t="shared" si="187"/>
        <v xml:space="preserve"> </v>
      </c>
      <c r="AT150" s="41" t="str">
        <f t="shared" si="187"/>
        <v xml:space="preserve"> </v>
      </c>
      <c r="AU150" s="57" t="str">
        <f t="shared" si="187"/>
        <v xml:space="preserve"> </v>
      </c>
      <c r="AV150" s="41" t="str">
        <f t="shared" si="187"/>
        <v xml:space="preserve"> </v>
      </c>
      <c r="AW150" s="41" t="str">
        <f t="shared" si="187"/>
        <v xml:space="preserve"> </v>
      </c>
      <c r="AX150" s="41" t="str">
        <f t="shared" si="187"/>
        <v>X</v>
      </c>
      <c r="AY150" s="41" t="str">
        <f t="shared" si="187"/>
        <v xml:space="preserve"> </v>
      </c>
      <c r="AZ150" s="41" t="str">
        <f t="shared" si="187"/>
        <v xml:space="preserve"> </v>
      </c>
      <c r="BA150" s="41" t="str">
        <f t="shared" si="187"/>
        <v xml:space="preserve"> </v>
      </c>
      <c r="BB150" s="41" t="str">
        <f t="shared" si="187"/>
        <v xml:space="preserve"> </v>
      </c>
      <c r="BC150" s="41" t="str">
        <f t="shared" si="187"/>
        <v xml:space="preserve"> </v>
      </c>
      <c r="BD150" s="41" t="str">
        <f t="shared" si="187"/>
        <v xml:space="preserve"> </v>
      </c>
      <c r="BE150" s="41" t="str">
        <f t="shared" si="187"/>
        <v xml:space="preserve"> </v>
      </c>
      <c r="BF150" s="41" t="str">
        <f t="shared" si="187"/>
        <v xml:space="preserve"> </v>
      </c>
      <c r="BG150" s="41" t="str">
        <f t="shared" si="187"/>
        <v xml:space="preserve"> </v>
      </c>
      <c r="BH150" s="41" t="str">
        <f t="shared" si="187"/>
        <v xml:space="preserve"> </v>
      </c>
      <c r="BI150" s="41" t="str">
        <f t="shared" si="187"/>
        <v xml:space="preserve"> </v>
      </c>
      <c r="BJ150" s="41" t="str">
        <f t="shared" si="187"/>
        <v xml:space="preserve"> </v>
      </c>
      <c r="BK150" s="41" t="e">
        <f t="shared" si="187"/>
        <v>#DIV/0!</v>
      </c>
      <c r="BL150" s="41"/>
      <c r="BM150" s="41" t="str">
        <f t="shared" si="186"/>
        <v xml:space="preserve"> </v>
      </c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 spans="1:78" s="5" customFormat="1">
      <c r="A151" s="4" t="s">
        <v>11</v>
      </c>
      <c r="B151" s="57" t="str">
        <f>IF(B167=0,  "X", " ")</f>
        <v xml:space="preserve"> </v>
      </c>
      <c r="C151" s="41" t="str">
        <f t="shared" ref="C151:BM151" si="188">IF(C167=0,  "X", " ")</f>
        <v xml:space="preserve"> </v>
      </c>
      <c r="D151" s="41" t="str">
        <f t="shared" si="188"/>
        <v xml:space="preserve"> </v>
      </c>
      <c r="E151" s="41" t="str">
        <f t="shared" si="188"/>
        <v xml:space="preserve"> </v>
      </c>
      <c r="F151" s="41" t="str">
        <f t="shared" si="188"/>
        <v xml:space="preserve"> </v>
      </c>
      <c r="G151" s="41" t="str">
        <f t="shared" si="188"/>
        <v xml:space="preserve"> </v>
      </c>
      <c r="H151" s="41" t="str">
        <f t="shared" si="188"/>
        <v xml:space="preserve"> </v>
      </c>
      <c r="I151" s="41" t="str">
        <f t="shared" si="188"/>
        <v xml:space="preserve"> </v>
      </c>
      <c r="J151" s="41" t="str">
        <f t="shared" si="188"/>
        <v xml:space="preserve"> </v>
      </c>
      <c r="K151" s="57" t="str">
        <f t="shared" si="188"/>
        <v xml:space="preserve"> </v>
      </c>
      <c r="L151" s="41" t="str">
        <f t="shared" si="188"/>
        <v xml:space="preserve"> </v>
      </c>
      <c r="M151" s="41" t="str">
        <f t="shared" si="188"/>
        <v xml:space="preserve"> </v>
      </c>
      <c r="N151" s="41" t="str">
        <f t="shared" si="188"/>
        <v xml:space="preserve"> </v>
      </c>
      <c r="O151" s="41" t="str">
        <f t="shared" si="188"/>
        <v xml:space="preserve"> </v>
      </c>
      <c r="P151" s="41" t="str">
        <f t="shared" si="188"/>
        <v xml:space="preserve"> </v>
      </c>
      <c r="Q151" s="57" t="str">
        <f t="shared" si="188"/>
        <v xml:space="preserve"> </v>
      </c>
      <c r="R151" s="41" t="str">
        <f t="shared" si="188"/>
        <v xml:space="preserve"> </v>
      </c>
      <c r="S151" s="41" t="str">
        <f t="shared" si="188"/>
        <v xml:space="preserve"> </v>
      </c>
      <c r="T151" s="41" t="str">
        <f t="shared" si="188"/>
        <v xml:space="preserve"> </v>
      </c>
      <c r="U151" s="41" t="str">
        <f t="shared" ref="U151:BK151" si="189">IF(U167=0,  "X", " ")</f>
        <v xml:space="preserve"> </v>
      </c>
      <c r="V151" s="41" t="str">
        <f t="shared" si="189"/>
        <v xml:space="preserve"> </v>
      </c>
      <c r="W151" s="41" t="str">
        <f t="shared" si="189"/>
        <v xml:space="preserve"> </v>
      </c>
      <c r="X151" s="41" t="str">
        <f t="shared" si="189"/>
        <v xml:space="preserve"> </v>
      </c>
      <c r="Y151" s="57" t="str">
        <f t="shared" si="189"/>
        <v xml:space="preserve"> </v>
      </c>
      <c r="Z151" s="41" t="str">
        <f t="shared" si="189"/>
        <v xml:space="preserve"> </v>
      </c>
      <c r="AA151" s="57" t="str">
        <f t="shared" si="189"/>
        <v xml:space="preserve"> </v>
      </c>
      <c r="AB151" s="41" t="str">
        <f t="shared" si="189"/>
        <v xml:space="preserve"> </v>
      </c>
      <c r="AC151" s="41" t="str">
        <f t="shared" si="189"/>
        <v xml:space="preserve"> </v>
      </c>
      <c r="AD151" s="41" t="str">
        <f t="shared" si="189"/>
        <v xml:space="preserve"> </v>
      </c>
      <c r="AE151" s="41" t="str">
        <f t="shared" si="189"/>
        <v xml:space="preserve"> </v>
      </c>
      <c r="AF151" s="41" t="str">
        <f t="shared" si="189"/>
        <v xml:space="preserve"> </v>
      </c>
      <c r="AG151" s="41" t="str">
        <f t="shared" si="189"/>
        <v xml:space="preserve"> </v>
      </c>
      <c r="AH151" s="41" t="str">
        <f t="shared" si="189"/>
        <v xml:space="preserve"> </v>
      </c>
      <c r="AI151" s="41" t="str">
        <f t="shared" si="189"/>
        <v xml:space="preserve"> </v>
      </c>
      <c r="AJ151" s="41" t="str">
        <f t="shared" si="189"/>
        <v xml:space="preserve"> </v>
      </c>
      <c r="AK151" s="41" t="str">
        <f t="shared" si="189"/>
        <v xml:space="preserve"> </v>
      </c>
      <c r="AL151" s="41" t="str">
        <f t="shared" si="189"/>
        <v xml:space="preserve"> </v>
      </c>
      <c r="AM151" s="41" t="str">
        <f t="shared" si="189"/>
        <v xml:space="preserve"> </v>
      </c>
      <c r="AN151" s="41" t="str">
        <f t="shared" si="189"/>
        <v xml:space="preserve"> </v>
      </c>
      <c r="AO151" s="41" t="str">
        <f t="shared" si="189"/>
        <v xml:space="preserve"> </v>
      </c>
      <c r="AP151" s="41" t="str">
        <f t="shared" si="189"/>
        <v xml:space="preserve"> </v>
      </c>
      <c r="AQ151" s="41" t="str">
        <f t="shared" si="189"/>
        <v xml:space="preserve"> </v>
      </c>
      <c r="AR151" s="41" t="str">
        <f t="shared" si="189"/>
        <v xml:space="preserve"> </v>
      </c>
      <c r="AS151" s="41" t="str">
        <f t="shared" si="189"/>
        <v xml:space="preserve"> </v>
      </c>
      <c r="AT151" s="41" t="str">
        <f t="shared" si="189"/>
        <v xml:space="preserve"> </v>
      </c>
      <c r="AU151" s="57" t="str">
        <f t="shared" si="189"/>
        <v xml:space="preserve"> </v>
      </c>
      <c r="AV151" s="41" t="str">
        <f t="shared" si="189"/>
        <v xml:space="preserve"> </v>
      </c>
      <c r="AW151" s="41" t="str">
        <f t="shared" si="189"/>
        <v xml:space="preserve"> </v>
      </c>
      <c r="AX151" s="41" t="str">
        <f t="shared" si="189"/>
        <v xml:space="preserve"> </v>
      </c>
      <c r="AY151" s="41" t="str">
        <f t="shared" si="189"/>
        <v xml:space="preserve"> </v>
      </c>
      <c r="AZ151" s="41" t="str">
        <f t="shared" si="189"/>
        <v xml:space="preserve"> </v>
      </c>
      <c r="BA151" s="41" t="str">
        <f t="shared" si="189"/>
        <v xml:space="preserve"> </v>
      </c>
      <c r="BB151" s="41" t="str">
        <f t="shared" si="189"/>
        <v xml:space="preserve"> </v>
      </c>
      <c r="BC151" s="41" t="str">
        <f t="shared" si="189"/>
        <v xml:space="preserve"> </v>
      </c>
      <c r="BD151" s="41" t="str">
        <f t="shared" si="189"/>
        <v xml:space="preserve"> </v>
      </c>
      <c r="BE151" s="41" t="str">
        <f t="shared" si="189"/>
        <v xml:space="preserve"> </v>
      </c>
      <c r="BF151" s="41" t="str">
        <f t="shared" si="189"/>
        <v xml:space="preserve"> </v>
      </c>
      <c r="BG151" s="41" t="str">
        <f t="shared" si="189"/>
        <v xml:space="preserve"> </v>
      </c>
      <c r="BH151" s="41" t="str">
        <f t="shared" si="189"/>
        <v xml:space="preserve"> </v>
      </c>
      <c r="BI151" s="41" t="str">
        <f t="shared" si="189"/>
        <v xml:space="preserve"> </v>
      </c>
      <c r="BJ151" s="41" t="str">
        <f t="shared" si="189"/>
        <v xml:space="preserve"> </v>
      </c>
      <c r="BK151" s="41" t="e">
        <f t="shared" si="189"/>
        <v>#DIV/0!</v>
      </c>
      <c r="BL151" s="41"/>
      <c r="BM151" s="41" t="str">
        <f t="shared" si="188"/>
        <v xml:space="preserve"> </v>
      </c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</row>
    <row r="152" spans="1:78" s="5" customFormat="1">
      <c r="A152" s="4" t="s">
        <v>250</v>
      </c>
      <c r="B152" s="57" t="str">
        <f>IF(B120+2*B80+B81+B168-B133&gt;B167+0.001,  "X", " ")</f>
        <v xml:space="preserve"> </v>
      </c>
      <c r="C152" s="41" t="str">
        <f t="shared" ref="C152:BM152" si="190">IF(C120+2*C80+C81+C168-C133&gt;C167+0.001,  "X", " ")</f>
        <v xml:space="preserve"> </v>
      </c>
      <c r="D152" s="41" t="str">
        <f t="shared" si="190"/>
        <v xml:space="preserve"> </v>
      </c>
      <c r="E152" s="41" t="str">
        <f t="shared" si="190"/>
        <v xml:space="preserve"> </v>
      </c>
      <c r="F152" s="41" t="str">
        <f t="shared" si="190"/>
        <v xml:space="preserve"> </v>
      </c>
      <c r="G152" s="41" t="str">
        <f t="shared" si="190"/>
        <v xml:space="preserve"> </v>
      </c>
      <c r="H152" s="41" t="str">
        <f t="shared" si="190"/>
        <v xml:space="preserve"> </v>
      </c>
      <c r="I152" s="41" t="str">
        <f t="shared" si="190"/>
        <v xml:space="preserve"> </v>
      </c>
      <c r="J152" s="41" t="str">
        <f t="shared" si="190"/>
        <v xml:space="preserve"> </v>
      </c>
      <c r="K152" s="57" t="str">
        <f t="shared" si="190"/>
        <v xml:space="preserve"> </v>
      </c>
      <c r="L152" s="41" t="str">
        <f t="shared" si="190"/>
        <v xml:space="preserve"> </v>
      </c>
      <c r="M152" s="41" t="str">
        <f t="shared" si="190"/>
        <v xml:space="preserve"> </v>
      </c>
      <c r="N152" s="41" t="str">
        <f t="shared" si="190"/>
        <v xml:space="preserve"> </v>
      </c>
      <c r="O152" s="41" t="str">
        <f t="shared" si="190"/>
        <v xml:space="preserve"> </v>
      </c>
      <c r="P152" s="41" t="str">
        <f t="shared" si="190"/>
        <v>X</v>
      </c>
      <c r="Q152" s="57" t="str">
        <f t="shared" si="190"/>
        <v>X</v>
      </c>
      <c r="R152" s="41" t="str">
        <f t="shared" si="190"/>
        <v>X</v>
      </c>
      <c r="S152" s="41" t="str">
        <f t="shared" si="190"/>
        <v>X</v>
      </c>
      <c r="T152" s="41" t="str">
        <f t="shared" si="190"/>
        <v xml:space="preserve"> </v>
      </c>
      <c r="U152" s="41" t="str">
        <f t="shared" ref="U152:BK152" si="191">IF(U120+2*U80+U81+U168-U133&gt;U167+0.001,  "X", " ")</f>
        <v xml:space="preserve"> </v>
      </c>
      <c r="V152" s="41" t="str">
        <f t="shared" si="191"/>
        <v>X</v>
      </c>
      <c r="W152" s="41" t="str">
        <f t="shared" si="191"/>
        <v>X</v>
      </c>
      <c r="X152" s="41" t="str">
        <f t="shared" si="191"/>
        <v xml:space="preserve"> </v>
      </c>
      <c r="Y152" s="57" t="str">
        <f t="shared" si="191"/>
        <v>X</v>
      </c>
      <c r="Z152" s="41" t="str">
        <f t="shared" si="191"/>
        <v>X</v>
      </c>
      <c r="AA152" s="57" t="str">
        <f t="shared" si="191"/>
        <v>X</v>
      </c>
      <c r="AB152" s="41" t="str">
        <f t="shared" si="191"/>
        <v xml:space="preserve"> </v>
      </c>
      <c r="AC152" s="41" t="str">
        <f t="shared" si="191"/>
        <v xml:space="preserve"> </v>
      </c>
      <c r="AD152" s="41" t="str">
        <f t="shared" si="191"/>
        <v xml:space="preserve"> </v>
      </c>
      <c r="AE152" s="41" t="str">
        <f t="shared" si="191"/>
        <v xml:space="preserve"> </v>
      </c>
      <c r="AF152" s="41" t="str">
        <f t="shared" si="191"/>
        <v xml:space="preserve"> </v>
      </c>
      <c r="AG152" s="41" t="str">
        <f t="shared" si="191"/>
        <v xml:space="preserve"> </v>
      </c>
      <c r="AH152" s="41" t="str">
        <f t="shared" si="191"/>
        <v xml:space="preserve"> </v>
      </c>
      <c r="AI152" s="41" t="str">
        <f t="shared" si="191"/>
        <v xml:space="preserve"> </v>
      </c>
      <c r="AJ152" s="41" t="str">
        <f t="shared" si="191"/>
        <v xml:space="preserve"> </v>
      </c>
      <c r="AK152" s="41" t="str">
        <f t="shared" si="191"/>
        <v xml:space="preserve"> </v>
      </c>
      <c r="AL152" s="41" t="str">
        <f t="shared" si="191"/>
        <v xml:space="preserve"> </v>
      </c>
      <c r="AM152" s="41" t="str">
        <f t="shared" si="191"/>
        <v xml:space="preserve"> </v>
      </c>
      <c r="AN152" s="41" t="str">
        <f t="shared" si="191"/>
        <v xml:space="preserve"> </v>
      </c>
      <c r="AO152" s="41" t="str">
        <f t="shared" si="191"/>
        <v xml:space="preserve"> </v>
      </c>
      <c r="AP152" s="41" t="str">
        <f t="shared" si="191"/>
        <v xml:space="preserve"> </v>
      </c>
      <c r="AQ152" s="41" t="str">
        <f t="shared" si="191"/>
        <v xml:space="preserve"> </v>
      </c>
      <c r="AR152" s="41" t="str">
        <f t="shared" si="191"/>
        <v xml:space="preserve"> </v>
      </c>
      <c r="AS152" s="41" t="str">
        <f t="shared" si="191"/>
        <v xml:space="preserve"> </v>
      </c>
      <c r="AT152" s="41" t="str">
        <f t="shared" si="191"/>
        <v xml:space="preserve"> </v>
      </c>
      <c r="AU152" s="57" t="str">
        <f t="shared" si="191"/>
        <v xml:space="preserve"> </v>
      </c>
      <c r="AV152" s="41" t="str">
        <f t="shared" si="191"/>
        <v xml:space="preserve"> </v>
      </c>
      <c r="AW152" s="41" t="str">
        <f t="shared" si="191"/>
        <v xml:space="preserve"> </v>
      </c>
      <c r="AX152" s="41" t="str">
        <f t="shared" si="191"/>
        <v>X</v>
      </c>
      <c r="AY152" s="41" t="str">
        <f t="shared" si="191"/>
        <v xml:space="preserve"> </v>
      </c>
      <c r="AZ152" s="41" t="str">
        <f t="shared" si="191"/>
        <v xml:space="preserve"> </v>
      </c>
      <c r="BA152" s="41" t="str">
        <f t="shared" si="191"/>
        <v xml:space="preserve"> </v>
      </c>
      <c r="BB152" s="41" t="str">
        <f t="shared" si="191"/>
        <v xml:space="preserve"> </v>
      </c>
      <c r="BC152" s="41" t="str">
        <f t="shared" si="191"/>
        <v xml:space="preserve"> </v>
      </c>
      <c r="BD152" s="41" t="str">
        <f t="shared" si="191"/>
        <v xml:space="preserve"> </v>
      </c>
      <c r="BE152" s="41" t="str">
        <f t="shared" si="191"/>
        <v xml:space="preserve"> </v>
      </c>
      <c r="BF152" s="41" t="str">
        <f t="shared" si="191"/>
        <v>X</v>
      </c>
      <c r="BG152" s="41" t="str">
        <f t="shared" si="191"/>
        <v xml:space="preserve"> </v>
      </c>
      <c r="BH152" s="41" t="str">
        <f t="shared" si="191"/>
        <v>X</v>
      </c>
      <c r="BI152" s="41" t="str">
        <f t="shared" si="191"/>
        <v>X</v>
      </c>
      <c r="BJ152" s="41" t="str">
        <f t="shared" si="191"/>
        <v>X</v>
      </c>
      <c r="BK152" s="41" t="e">
        <f t="shared" si="191"/>
        <v>#DIV/0!</v>
      </c>
      <c r="BL152" s="41"/>
      <c r="BM152" s="41" t="str">
        <f t="shared" si="190"/>
        <v xml:space="preserve"> </v>
      </c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 spans="1:78" s="5" customFormat="1">
      <c r="A153" s="4" t="s">
        <v>55</v>
      </c>
      <c r="B153" s="57" t="str">
        <f>IF(B137&gt;B119/2,  "X", " ")</f>
        <v xml:space="preserve"> </v>
      </c>
      <c r="C153" s="41" t="str">
        <f t="shared" ref="C153:BM153" si="192">IF(C137&gt;C119/2,  "X", " ")</f>
        <v xml:space="preserve"> </v>
      </c>
      <c r="D153" s="41" t="str">
        <f t="shared" si="192"/>
        <v xml:space="preserve"> </v>
      </c>
      <c r="E153" s="41" t="str">
        <f t="shared" si="192"/>
        <v xml:space="preserve"> </v>
      </c>
      <c r="F153" s="41" t="str">
        <f t="shared" si="192"/>
        <v xml:space="preserve"> </v>
      </c>
      <c r="G153" s="41" t="str">
        <f t="shared" si="192"/>
        <v xml:space="preserve"> </v>
      </c>
      <c r="H153" s="41" t="str">
        <f t="shared" si="192"/>
        <v xml:space="preserve"> </v>
      </c>
      <c r="I153" s="41" t="str">
        <f t="shared" si="192"/>
        <v xml:space="preserve"> </v>
      </c>
      <c r="J153" s="41" t="str">
        <f t="shared" si="192"/>
        <v xml:space="preserve"> </v>
      </c>
      <c r="K153" s="57" t="str">
        <f t="shared" si="192"/>
        <v xml:space="preserve"> </v>
      </c>
      <c r="L153" s="41" t="str">
        <f t="shared" si="192"/>
        <v xml:space="preserve"> </v>
      </c>
      <c r="M153" s="41" t="str">
        <f t="shared" si="192"/>
        <v xml:space="preserve"> </v>
      </c>
      <c r="N153" s="41" t="str">
        <f t="shared" si="192"/>
        <v xml:space="preserve"> </v>
      </c>
      <c r="O153" s="41" t="str">
        <f t="shared" si="192"/>
        <v xml:space="preserve"> </v>
      </c>
      <c r="P153" s="41" t="str">
        <f t="shared" si="192"/>
        <v xml:space="preserve"> </v>
      </c>
      <c r="Q153" s="57" t="str">
        <f t="shared" si="192"/>
        <v xml:space="preserve"> </v>
      </c>
      <c r="R153" s="41" t="str">
        <f t="shared" si="192"/>
        <v xml:space="preserve"> </v>
      </c>
      <c r="S153" s="41" t="str">
        <f t="shared" si="192"/>
        <v xml:space="preserve"> </v>
      </c>
      <c r="T153" s="41" t="str">
        <f t="shared" si="192"/>
        <v xml:space="preserve"> </v>
      </c>
      <c r="U153" s="41" t="str">
        <f t="shared" ref="U153:BK153" si="193">IF(U137&gt;U119/2,  "X", " ")</f>
        <v xml:space="preserve"> </v>
      </c>
      <c r="V153" s="41" t="str">
        <f t="shared" si="193"/>
        <v xml:space="preserve"> </v>
      </c>
      <c r="W153" s="41" t="str">
        <f t="shared" si="193"/>
        <v xml:space="preserve"> </v>
      </c>
      <c r="X153" s="41" t="str">
        <f t="shared" si="193"/>
        <v xml:space="preserve"> </v>
      </c>
      <c r="Y153" s="57" t="str">
        <f t="shared" si="193"/>
        <v xml:space="preserve"> </v>
      </c>
      <c r="Z153" s="41" t="str">
        <f t="shared" si="193"/>
        <v xml:space="preserve"> </v>
      </c>
      <c r="AA153" s="57" t="str">
        <f t="shared" si="193"/>
        <v xml:space="preserve"> </v>
      </c>
      <c r="AB153" s="41" t="str">
        <f t="shared" si="193"/>
        <v xml:space="preserve"> </v>
      </c>
      <c r="AC153" s="41" t="str">
        <f t="shared" si="193"/>
        <v xml:space="preserve"> </v>
      </c>
      <c r="AD153" s="41" t="str">
        <f t="shared" si="193"/>
        <v xml:space="preserve"> </v>
      </c>
      <c r="AE153" s="41" t="str">
        <f t="shared" si="193"/>
        <v xml:space="preserve"> </v>
      </c>
      <c r="AF153" s="41" t="str">
        <f t="shared" si="193"/>
        <v xml:space="preserve"> </v>
      </c>
      <c r="AG153" s="41" t="str">
        <f t="shared" si="193"/>
        <v xml:space="preserve"> </v>
      </c>
      <c r="AH153" s="41" t="str">
        <f t="shared" si="193"/>
        <v xml:space="preserve"> </v>
      </c>
      <c r="AI153" s="41" t="str">
        <f t="shared" si="193"/>
        <v xml:space="preserve"> </v>
      </c>
      <c r="AJ153" s="41" t="str">
        <f t="shared" si="193"/>
        <v xml:space="preserve"> </v>
      </c>
      <c r="AK153" s="41" t="str">
        <f t="shared" si="193"/>
        <v xml:space="preserve"> </v>
      </c>
      <c r="AL153" s="41" t="str">
        <f t="shared" si="193"/>
        <v xml:space="preserve"> </v>
      </c>
      <c r="AM153" s="41" t="str">
        <f t="shared" si="193"/>
        <v xml:space="preserve"> </v>
      </c>
      <c r="AN153" s="41" t="str">
        <f t="shared" si="193"/>
        <v xml:space="preserve"> </v>
      </c>
      <c r="AO153" s="41" t="str">
        <f t="shared" si="193"/>
        <v xml:space="preserve"> </v>
      </c>
      <c r="AP153" s="41" t="str">
        <f t="shared" si="193"/>
        <v xml:space="preserve"> </v>
      </c>
      <c r="AQ153" s="41" t="str">
        <f t="shared" si="193"/>
        <v xml:space="preserve"> </v>
      </c>
      <c r="AR153" s="41" t="str">
        <f t="shared" si="193"/>
        <v xml:space="preserve"> </v>
      </c>
      <c r="AS153" s="41" t="str">
        <f t="shared" si="193"/>
        <v xml:space="preserve"> </v>
      </c>
      <c r="AT153" s="41" t="str">
        <f t="shared" si="193"/>
        <v xml:space="preserve"> </v>
      </c>
      <c r="AU153" s="57" t="str">
        <f t="shared" si="193"/>
        <v xml:space="preserve"> </v>
      </c>
      <c r="AV153" s="41" t="str">
        <f t="shared" si="193"/>
        <v xml:space="preserve"> </v>
      </c>
      <c r="AW153" s="41" t="str">
        <f t="shared" si="193"/>
        <v xml:space="preserve"> </v>
      </c>
      <c r="AX153" s="41" t="str">
        <f t="shared" si="193"/>
        <v xml:space="preserve"> </v>
      </c>
      <c r="AY153" s="41" t="str">
        <f t="shared" si="193"/>
        <v xml:space="preserve"> </v>
      </c>
      <c r="AZ153" s="41" t="str">
        <f t="shared" si="193"/>
        <v xml:space="preserve"> </v>
      </c>
      <c r="BA153" s="41" t="str">
        <f t="shared" si="193"/>
        <v xml:space="preserve"> </v>
      </c>
      <c r="BB153" s="41" t="str">
        <f t="shared" si="193"/>
        <v xml:space="preserve"> </v>
      </c>
      <c r="BC153" s="41" t="str">
        <f t="shared" si="193"/>
        <v xml:space="preserve"> </v>
      </c>
      <c r="BD153" s="41" t="str">
        <f t="shared" si="193"/>
        <v xml:space="preserve"> </v>
      </c>
      <c r="BE153" s="41" t="str">
        <f t="shared" si="193"/>
        <v xml:space="preserve"> </v>
      </c>
      <c r="BF153" s="41" t="str">
        <f t="shared" si="193"/>
        <v xml:space="preserve"> </v>
      </c>
      <c r="BG153" s="41" t="str">
        <f t="shared" si="193"/>
        <v xml:space="preserve"> </v>
      </c>
      <c r="BH153" s="41" t="str">
        <f t="shared" si="193"/>
        <v xml:space="preserve"> </v>
      </c>
      <c r="BI153" s="41" t="str">
        <f t="shared" si="193"/>
        <v xml:space="preserve"> </v>
      </c>
      <c r="BJ153" s="41" t="str">
        <f t="shared" si="193"/>
        <v xml:space="preserve"> </v>
      </c>
      <c r="BK153" s="41" t="e">
        <f t="shared" si="193"/>
        <v>#DIV/0!</v>
      </c>
      <c r="BL153" s="41"/>
      <c r="BM153" s="41" t="str">
        <f t="shared" si="192"/>
        <v xml:space="preserve"> </v>
      </c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</row>
    <row r="154" spans="1:78" s="5" customFormat="1">
      <c r="A154" s="4" t="s">
        <v>260</v>
      </c>
      <c r="B154" s="57" t="str">
        <f>IF(5-B174&gt;0.01, "X", IF(5-B174&lt;-0.01,  "X", " "))</f>
        <v xml:space="preserve"> </v>
      </c>
      <c r="C154" s="41" t="str">
        <f t="shared" ref="C154:BM154" si="194">IF(5-C174&gt;0.01, "X", IF(5-C174&lt;-0.01,  "X", " "))</f>
        <v xml:space="preserve"> </v>
      </c>
      <c r="D154" s="41" t="str">
        <f t="shared" si="194"/>
        <v xml:space="preserve"> </v>
      </c>
      <c r="E154" s="41" t="str">
        <f t="shared" si="194"/>
        <v xml:space="preserve"> </v>
      </c>
      <c r="F154" s="41" t="str">
        <f t="shared" si="194"/>
        <v xml:space="preserve"> </v>
      </c>
      <c r="G154" s="41" t="str">
        <f t="shared" si="194"/>
        <v xml:space="preserve"> </v>
      </c>
      <c r="H154" s="41" t="str">
        <f t="shared" si="194"/>
        <v xml:space="preserve"> </v>
      </c>
      <c r="I154" s="41" t="str">
        <f t="shared" si="194"/>
        <v xml:space="preserve"> </v>
      </c>
      <c r="J154" s="41" t="str">
        <f t="shared" si="194"/>
        <v xml:space="preserve"> </v>
      </c>
      <c r="K154" s="57" t="str">
        <f t="shared" si="194"/>
        <v xml:space="preserve"> </v>
      </c>
      <c r="L154" s="41" t="str">
        <f t="shared" si="194"/>
        <v xml:space="preserve"> </v>
      </c>
      <c r="M154" s="41" t="str">
        <f t="shared" si="194"/>
        <v xml:space="preserve"> </v>
      </c>
      <c r="N154" s="41" t="str">
        <f t="shared" si="194"/>
        <v xml:space="preserve"> </v>
      </c>
      <c r="O154" s="41" t="str">
        <f t="shared" si="194"/>
        <v xml:space="preserve"> </v>
      </c>
      <c r="P154" s="41" t="str">
        <f t="shared" si="194"/>
        <v>X</v>
      </c>
      <c r="Q154" s="57" t="str">
        <f t="shared" si="194"/>
        <v xml:space="preserve"> </v>
      </c>
      <c r="R154" s="41" t="str">
        <f t="shared" si="194"/>
        <v>X</v>
      </c>
      <c r="S154" s="41" t="str">
        <f t="shared" si="194"/>
        <v xml:space="preserve"> </v>
      </c>
      <c r="T154" s="41" t="str">
        <f t="shared" si="194"/>
        <v xml:space="preserve"> </v>
      </c>
      <c r="U154" s="41" t="str">
        <f t="shared" ref="U154:BK154" si="195">IF(5-U174&gt;0.01, "X", IF(5-U174&lt;-0.01,  "X", " "))</f>
        <v xml:space="preserve"> </v>
      </c>
      <c r="V154" s="41" t="str">
        <f t="shared" si="195"/>
        <v>X</v>
      </c>
      <c r="W154" s="41" t="str">
        <f t="shared" si="195"/>
        <v>X</v>
      </c>
      <c r="X154" s="41" t="str">
        <f t="shared" si="195"/>
        <v xml:space="preserve"> </v>
      </c>
      <c r="Y154" s="57" t="str">
        <f t="shared" si="195"/>
        <v>X</v>
      </c>
      <c r="Z154" s="41" t="str">
        <f t="shared" si="195"/>
        <v>X</v>
      </c>
      <c r="AA154" s="57" t="str">
        <f t="shared" si="195"/>
        <v>X</v>
      </c>
      <c r="AB154" s="41" t="str">
        <f t="shared" si="195"/>
        <v xml:space="preserve"> </v>
      </c>
      <c r="AC154" s="41" t="str">
        <f t="shared" si="195"/>
        <v xml:space="preserve"> </v>
      </c>
      <c r="AD154" s="41" t="str">
        <f t="shared" si="195"/>
        <v xml:space="preserve"> </v>
      </c>
      <c r="AE154" s="41" t="str">
        <f t="shared" si="195"/>
        <v xml:space="preserve"> </v>
      </c>
      <c r="AF154" s="41" t="str">
        <f t="shared" si="195"/>
        <v xml:space="preserve"> </v>
      </c>
      <c r="AG154" s="41" t="str">
        <f t="shared" si="195"/>
        <v xml:space="preserve"> </v>
      </c>
      <c r="AH154" s="41" t="str">
        <f t="shared" si="195"/>
        <v xml:space="preserve"> </v>
      </c>
      <c r="AI154" s="41" t="str">
        <f t="shared" si="195"/>
        <v xml:space="preserve"> </v>
      </c>
      <c r="AJ154" s="41" t="str">
        <f t="shared" si="195"/>
        <v xml:space="preserve"> </v>
      </c>
      <c r="AK154" s="41" t="str">
        <f t="shared" si="195"/>
        <v xml:space="preserve"> </v>
      </c>
      <c r="AL154" s="41" t="str">
        <f t="shared" si="195"/>
        <v xml:space="preserve"> </v>
      </c>
      <c r="AM154" s="41" t="str">
        <f t="shared" si="195"/>
        <v xml:space="preserve"> </v>
      </c>
      <c r="AN154" s="41" t="str">
        <f t="shared" si="195"/>
        <v xml:space="preserve"> </v>
      </c>
      <c r="AO154" s="41" t="str">
        <f t="shared" si="195"/>
        <v xml:space="preserve"> </v>
      </c>
      <c r="AP154" s="41" t="str">
        <f t="shared" si="195"/>
        <v xml:space="preserve"> </v>
      </c>
      <c r="AQ154" s="41" t="str">
        <f t="shared" si="195"/>
        <v xml:space="preserve"> </v>
      </c>
      <c r="AR154" s="41" t="str">
        <f t="shared" si="195"/>
        <v xml:space="preserve"> </v>
      </c>
      <c r="AS154" s="41" t="str">
        <f t="shared" si="195"/>
        <v xml:space="preserve"> </v>
      </c>
      <c r="AT154" s="41" t="str">
        <f t="shared" si="195"/>
        <v xml:space="preserve"> </v>
      </c>
      <c r="AU154" s="57" t="str">
        <f t="shared" si="195"/>
        <v xml:space="preserve"> </v>
      </c>
      <c r="AV154" s="41" t="str">
        <f t="shared" si="195"/>
        <v xml:space="preserve"> </v>
      </c>
      <c r="AW154" s="41" t="str">
        <f t="shared" si="195"/>
        <v xml:space="preserve"> </v>
      </c>
      <c r="AX154" s="41" t="str">
        <f t="shared" si="195"/>
        <v>X</v>
      </c>
      <c r="AY154" s="41" t="str">
        <f t="shared" si="195"/>
        <v xml:space="preserve"> </v>
      </c>
      <c r="AZ154" s="41" t="str">
        <f t="shared" si="195"/>
        <v xml:space="preserve"> </v>
      </c>
      <c r="BA154" s="41" t="str">
        <f t="shared" si="195"/>
        <v xml:space="preserve"> </v>
      </c>
      <c r="BB154" s="41" t="str">
        <f t="shared" si="195"/>
        <v xml:space="preserve"> </v>
      </c>
      <c r="BC154" s="41" t="str">
        <f t="shared" si="195"/>
        <v xml:space="preserve"> </v>
      </c>
      <c r="BD154" s="41" t="str">
        <f t="shared" si="195"/>
        <v xml:space="preserve"> </v>
      </c>
      <c r="BE154" s="41" t="str">
        <f t="shared" si="195"/>
        <v xml:space="preserve"> </v>
      </c>
      <c r="BF154" s="41" t="str">
        <f t="shared" si="195"/>
        <v>X</v>
      </c>
      <c r="BG154" s="41" t="str">
        <f t="shared" si="195"/>
        <v xml:space="preserve"> </v>
      </c>
      <c r="BH154" s="41" t="str">
        <f t="shared" si="195"/>
        <v>X</v>
      </c>
      <c r="BI154" s="41" t="str">
        <f t="shared" si="195"/>
        <v xml:space="preserve"> </v>
      </c>
      <c r="BJ154" s="41" t="str">
        <f t="shared" si="195"/>
        <v>X</v>
      </c>
      <c r="BK154" s="41" t="e">
        <f t="shared" si="195"/>
        <v>#DIV/0!</v>
      </c>
      <c r="BL154" s="41"/>
      <c r="BM154" s="41" t="str">
        <f t="shared" si="194"/>
        <v xml:space="preserve"> </v>
      </c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 spans="1:78" s="5" customFormat="1">
      <c r="A155" s="4" t="s">
        <v>262</v>
      </c>
      <c r="B155" s="57" t="str">
        <f>IF(B80+B81+B83+B120&gt;2.001,  "X", " ")</f>
        <v xml:space="preserve"> </v>
      </c>
      <c r="C155" s="41" t="str">
        <f t="shared" ref="C155:BM155" si="196">IF(C80+C81+C83+C120&gt;2.001,  "X", " ")</f>
        <v xml:space="preserve"> </v>
      </c>
      <c r="D155" s="41" t="str">
        <f t="shared" si="196"/>
        <v xml:space="preserve"> </v>
      </c>
      <c r="E155" s="41" t="str">
        <f t="shared" si="196"/>
        <v xml:space="preserve"> </v>
      </c>
      <c r="F155" s="41" t="str">
        <f t="shared" si="196"/>
        <v xml:space="preserve"> </v>
      </c>
      <c r="G155" s="41" t="str">
        <f t="shared" si="196"/>
        <v xml:space="preserve"> </v>
      </c>
      <c r="H155" s="41" t="str">
        <f t="shared" si="196"/>
        <v xml:space="preserve"> </v>
      </c>
      <c r="I155" s="41" t="str">
        <f t="shared" si="196"/>
        <v xml:space="preserve"> </v>
      </c>
      <c r="J155" s="41" t="str">
        <f t="shared" si="196"/>
        <v xml:space="preserve"> </v>
      </c>
      <c r="K155" s="57" t="str">
        <f t="shared" si="196"/>
        <v xml:space="preserve"> </v>
      </c>
      <c r="L155" s="41" t="str">
        <f t="shared" si="196"/>
        <v xml:space="preserve"> </v>
      </c>
      <c r="M155" s="41" t="str">
        <f t="shared" si="196"/>
        <v xml:space="preserve"> </v>
      </c>
      <c r="N155" s="41" t="str">
        <f t="shared" si="196"/>
        <v xml:space="preserve"> </v>
      </c>
      <c r="O155" s="41" t="str">
        <f t="shared" si="196"/>
        <v xml:space="preserve"> </v>
      </c>
      <c r="P155" s="41" t="str">
        <f t="shared" si="196"/>
        <v xml:space="preserve"> </v>
      </c>
      <c r="Q155" s="57" t="str">
        <f t="shared" si="196"/>
        <v xml:space="preserve"> </v>
      </c>
      <c r="R155" s="41" t="str">
        <f t="shared" si="196"/>
        <v xml:space="preserve"> </v>
      </c>
      <c r="S155" s="41" t="str">
        <f t="shared" si="196"/>
        <v xml:space="preserve"> </v>
      </c>
      <c r="T155" s="41" t="str">
        <f t="shared" si="196"/>
        <v xml:space="preserve"> </v>
      </c>
      <c r="U155" s="41" t="str">
        <f t="shared" ref="U155:BK155" si="197">IF(U80+U81+U83+U120&gt;2.001,  "X", " ")</f>
        <v xml:space="preserve"> </v>
      </c>
      <c r="V155" s="41" t="str">
        <f t="shared" si="197"/>
        <v xml:space="preserve"> </v>
      </c>
      <c r="W155" s="41" t="str">
        <f t="shared" si="197"/>
        <v xml:space="preserve"> </v>
      </c>
      <c r="X155" s="41" t="str">
        <f t="shared" si="197"/>
        <v xml:space="preserve"> </v>
      </c>
      <c r="Y155" s="57" t="str">
        <f t="shared" si="197"/>
        <v xml:space="preserve"> </v>
      </c>
      <c r="Z155" s="41" t="str">
        <f t="shared" si="197"/>
        <v xml:space="preserve"> </v>
      </c>
      <c r="AA155" s="57" t="str">
        <f t="shared" si="197"/>
        <v xml:space="preserve"> </v>
      </c>
      <c r="AB155" s="41" t="str">
        <f t="shared" si="197"/>
        <v xml:space="preserve"> </v>
      </c>
      <c r="AC155" s="41" t="str">
        <f t="shared" si="197"/>
        <v xml:space="preserve"> </v>
      </c>
      <c r="AD155" s="41" t="str">
        <f t="shared" si="197"/>
        <v xml:space="preserve"> </v>
      </c>
      <c r="AE155" s="41" t="str">
        <f t="shared" si="197"/>
        <v xml:space="preserve"> </v>
      </c>
      <c r="AF155" s="41" t="str">
        <f t="shared" si="197"/>
        <v xml:space="preserve"> </v>
      </c>
      <c r="AG155" s="41" t="str">
        <f t="shared" si="197"/>
        <v xml:space="preserve"> </v>
      </c>
      <c r="AH155" s="41" t="str">
        <f t="shared" si="197"/>
        <v xml:space="preserve"> </v>
      </c>
      <c r="AI155" s="41" t="str">
        <f t="shared" si="197"/>
        <v xml:space="preserve"> </v>
      </c>
      <c r="AJ155" s="41" t="str">
        <f t="shared" si="197"/>
        <v xml:space="preserve"> </v>
      </c>
      <c r="AK155" s="41" t="str">
        <f t="shared" si="197"/>
        <v xml:space="preserve"> </v>
      </c>
      <c r="AL155" s="41" t="str">
        <f t="shared" si="197"/>
        <v xml:space="preserve"> </v>
      </c>
      <c r="AM155" s="41" t="str">
        <f t="shared" si="197"/>
        <v xml:space="preserve"> </v>
      </c>
      <c r="AN155" s="41" t="str">
        <f t="shared" si="197"/>
        <v xml:space="preserve"> </v>
      </c>
      <c r="AO155" s="41" t="str">
        <f t="shared" si="197"/>
        <v xml:space="preserve"> </v>
      </c>
      <c r="AP155" s="41" t="str">
        <f t="shared" si="197"/>
        <v xml:space="preserve"> </v>
      </c>
      <c r="AQ155" s="41" t="str">
        <f t="shared" si="197"/>
        <v xml:space="preserve"> </v>
      </c>
      <c r="AR155" s="41" t="str">
        <f t="shared" si="197"/>
        <v xml:space="preserve"> </v>
      </c>
      <c r="AS155" s="41" t="str">
        <f t="shared" si="197"/>
        <v xml:space="preserve"> </v>
      </c>
      <c r="AT155" s="41" t="str">
        <f t="shared" si="197"/>
        <v xml:space="preserve"> </v>
      </c>
      <c r="AU155" s="57" t="str">
        <f t="shared" si="197"/>
        <v xml:space="preserve"> </v>
      </c>
      <c r="AV155" s="41" t="str">
        <f t="shared" si="197"/>
        <v xml:space="preserve"> </v>
      </c>
      <c r="AW155" s="41" t="str">
        <f t="shared" si="197"/>
        <v xml:space="preserve"> </v>
      </c>
      <c r="AX155" s="41" t="str">
        <f t="shared" si="197"/>
        <v xml:space="preserve"> </v>
      </c>
      <c r="AY155" s="41" t="str">
        <f t="shared" si="197"/>
        <v xml:space="preserve"> </v>
      </c>
      <c r="AZ155" s="41" t="str">
        <f t="shared" si="197"/>
        <v xml:space="preserve"> </v>
      </c>
      <c r="BA155" s="41" t="str">
        <f t="shared" si="197"/>
        <v xml:space="preserve"> </v>
      </c>
      <c r="BB155" s="41" t="str">
        <f t="shared" si="197"/>
        <v xml:space="preserve"> </v>
      </c>
      <c r="BC155" s="41" t="str">
        <f t="shared" si="197"/>
        <v xml:space="preserve"> </v>
      </c>
      <c r="BD155" s="41" t="str">
        <f t="shared" si="197"/>
        <v xml:space="preserve"> </v>
      </c>
      <c r="BE155" s="41" t="str">
        <f t="shared" si="197"/>
        <v xml:space="preserve"> </v>
      </c>
      <c r="BF155" s="41" t="str">
        <f t="shared" si="197"/>
        <v xml:space="preserve"> </v>
      </c>
      <c r="BG155" s="41" t="str">
        <f t="shared" si="197"/>
        <v xml:space="preserve"> </v>
      </c>
      <c r="BH155" s="41" t="str">
        <f t="shared" si="197"/>
        <v xml:space="preserve"> </v>
      </c>
      <c r="BI155" s="41" t="str">
        <f t="shared" si="197"/>
        <v xml:space="preserve"> </v>
      </c>
      <c r="BJ155" s="41" t="str">
        <f t="shared" si="197"/>
        <v xml:space="preserve"> </v>
      </c>
      <c r="BK155" s="41" t="e">
        <f t="shared" si="197"/>
        <v>#DIV/0!</v>
      </c>
      <c r="BL155" s="41"/>
      <c r="BM155" s="41" t="str">
        <f t="shared" si="196"/>
        <v xml:space="preserve"> </v>
      </c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</row>
    <row r="156" spans="1:78" s="5" customFormat="1">
      <c r="A156" s="4" t="s">
        <v>261</v>
      </c>
      <c r="B156" s="57" t="str">
        <f>IF(B94&gt;16.001,  "X", " ")</f>
        <v xml:space="preserve"> </v>
      </c>
      <c r="C156" s="41" t="str">
        <f t="shared" ref="C156:BM156" si="198">IF(C94&gt;16.001,  "X", " ")</f>
        <v xml:space="preserve"> </v>
      </c>
      <c r="D156" s="41" t="str">
        <f t="shared" si="198"/>
        <v xml:space="preserve"> </v>
      </c>
      <c r="E156" s="41" t="str">
        <f t="shared" si="198"/>
        <v xml:space="preserve"> </v>
      </c>
      <c r="F156" s="41" t="str">
        <f t="shared" si="198"/>
        <v xml:space="preserve"> </v>
      </c>
      <c r="G156" s="41" t="str">
        <f t="shared" si="198"/>
        <v xml:space="preserve"> </v>
      </c>
      <c r="H156" s="41" t="str">
        <f t="shared" si="198"/>
        <v xml:space="preserve"> </v>
      </c>
      <c r="I156" s="41" t="str">
        <f t="shared" si="198"/>
        <v xml:space="preserve"> </v>
      </c>
      <c r="J156" s="41" t="str">
        <f t="shared" si="198"/>
        <v xml:space="preserve"> </v>
      </c>
      <c r="K156" s="57" t="str">
        <f t="shared" si="198"/>
        <v xml:space="preserve"> </v>
      </c>
      <c r="L156" s="41" t="str">
        <f t="shared" si="198"/>
        <v xml:space="preserve"> </v>
      </c>
      <c r="M156" s="41" t="str">
        <f t="shared" si="198"/>
        <v xml:space="preserve"> </v>
      </c>
      <c r="N156" s="41" t="str">
        <f t="shared" si="198"/>
        <v xml:space="preserve"> </v>
      </c>
      <c r="O156" s="41" t="str">
        <f t="shared" si="198"/>
        <v xml:space="preserve"> </v>
      </c>
      <c r="P156" s="41" t="str">
        <f t="shared" si="198"/>
        <v xml:space="preserve"> </v>
      </c>
      <c r="Q156" s="57" t="str">
        <f t="shared" si="198"/>
        <v xml:space="preserve"> </v>
      </c>
      <c r="R156" s="41" t="str">
        <f t="shared" si="198"/>
        <v xml:space="preserve"> </v>
      </c>
      <c r="S156" s="41" t="str">
        <f t="shared" si="198"/>
        <v xml:space="preserve"> </v>
      </c>
      <c r="T156" s="41" t="str">
        <f t="shared" si="198"/>
        <v xml:space="preserve"> </v>
      </c>
      <c r="U156" s="41" t="str">
        <f t="shared" ref="U156:BK156" si="199">IF(U94&gt;16.001,  "X", " ")</f>
        <v xml:space="preserve"> </v>
      </c>
      <c r="V156" s="41" t="str">
        <f t="shared" si="199"/>
        <v xml:space="preserve"> </v>
      </c>
      <c r="W156" s="41" t="str">
        <f t="shared" si="199"/>
        <v xml:space="preserve"> </v>
      </c>
      <c r="X156" s="41" t="str">
        <f t="shared" si="199"/>
        <v xml:space="preserve"> </v>
      </c>
      <c r="Y156" s="57" t="str">
        <f t="shared" si="199"/>
        <v xml:space="preserve"> </v>
      </c>
      <c r="Z156" s="41" t="str">
        <f t="shared" si="199"/>
        <v xml:space="preserve"> </v>
      </c>
      <c r="AA156" s="57" t="str">
        <f t="shared" si="199"/>
        <v xml:space="preserve"> </v>
      </c>
      <c r="AB156" s="41" t="str">
        <f t="shared" si="199"/>
        <v xml:space="preserve"> </v>
      </c>
      <c r="AC156" s="41" t="str">
        <f t="shared" si="199"/>
        <v xml:space="preserve"> </v>
      </c>
      <c r="AD156" s="41" t="str">
        <f t="shared" si="199"/>
        <v xml:space="preserve"> </v>
      </c>
      <c r="AE156" s="41" t="str">
        <f t="shared" si="199"/>
        <v xml:space="preserve"> </v>
      </c>
      <c r="AF156" s="41" t="str">
        <f t="shared" si="199"/>
        <v xml:space="preserve"> </v>
      </c>
      <c r="AG156" s="41" t="str">
        <f t="shared" si="199"/>
        <v xml:space="preserve"> </v>
      </c>
      <c r="AH156" s="41" t="str">
        <f t="shared" si="199"/>
        <v xml:space="preserve"> </v>
      </c>
      <c r="AI156" s="41" t="str">
        <f t="shared" si="199"/>
        <v xml:space="preserve"> </v>
      </c>
      <c r="AJ156" s="41" t="str">
        <f t="shared" si="199"/>
        <v xml:space="preserve"> </v>
      </c>
      <c r="AK156" s="41" t="str">
        <f t="shared" si="199"/>
        <v xml:space="preserve"> </v>
      </c>
      <c r="AL156" s="41" t="str">
        <f t="shared" si="199"/>
        <v xml:space="preserve"> </v>
      </c>
      <c r="AM156" s="41" t="str">
        <f t="shared" si="199"/>
        <v xml:space="preserve"> </v>
      </c>
      <c r="AN156" s="41" t="str">
        <f t="shared" si="199"/>
        <v xml:space="preserve"> </v>
      </c>
      <c r="AO156" s="41" t="str">
        <f t="shared" si="199"/>
        <v xml:space="preserve"> </v>
      </c>
      <c r="AP156" s="41" t="str">
        <f t="shared" si="199"/>
        <v xml:space="preserve"> </v>
      </c>
      <c r="AQ156" s="41" t="str">
        <f t="shared" si="199"/>
        <v xml:space="preserve"> </v>
      </c>
      <c r="AR156" s="41" t="str">
        <f t="shared" si="199"/>
        <v xml:space="preserve"> </v>
      </c>
      <c r="AS156" s="41" t="str">
        <f t="shared" si="199"/>
        <v xml:space="preserve"> </v>
      </c>
      <c r="AT156" s="41" t="str">
        <f t="shared" si="199"/>
        <v xml:space="preserve"> </v>
      </c>
      <c r="AU156" s="57" t="str">
        <f t="shared" si="199"/>
        <v xml:space="preserve"> </v>
      </c>
      <c r="AV156" s="41" t="str">
        <f t="shared" si="199"/>
        <v xml:space="preserve"> </v>
      </c>
      <c r="AW156" s="41" t="str">
        <f t="shared" si="199"/>
        <v xml:space="preserve"> </v>
      </c>
      <c r="AX156" s="41" t="str">
        <f t="shared" si="199"/>
        <v xml:space="preserve"> </v>
      </c>
      <c r="AY156" s="41" t="str">
        <f t="shared" si="199"/>
        <v xml:space="preserve"> </v>
      </c>
      <c r="AZ156" s="41" t="str">
        <f t="shared" si="199"/>
        <v xml:space="preserve"> </v>
      </c>
      <c r="BA156" s="41" t="str">
        <f t="shared" si="199"/>
        <v xml:space="preserve"> </v>
      </c>
      <c r="BB156" s="41" t="str">
        <f t="shared" si="199"/>
        <v xml:space="preserve"> </v>
      </c>
      <c r="BC156" s="41" t="str">
        <f t="shared" si="199"/>
        <v xml:space="preserve"> </v>
      </c>
      <c r="BD156" s="41" t="str">
        <f t="shared" si="199"/>
        <v xml:space="preserve"> </v>
      </c>
      <c r="BE156" s="41" t="str">
        <f t="shared" si="199"/>
        <v xml:space="preserve"> </v>
      </c>
      <c r="BF156" s="41" t="str">
        <f t="shared" si="199"/>
        <v xml:space="preserve"> </v>
      </c>
      <c r="BG156" s="41" t="str">
        <f t="shared" si="199"/>
        <v xml:space="preserve"> </v>
      </c>
      <c r="BH156" s="41" t="str">
        <f t="shared" si="199"/>
        <v xml:space="preserve"> </v>
      </c>
      <c r="BI156" s="41" t="str">
        <f t="shared" si="199"/>
        <v xml:space="preserve"> </v>
      </c>
      <c r="BJ156" s="41" t="str">
        <f t="shared" si="199"/>
        <v xml:space="preserve"> </v>
      </c>
      <c r="BK156" s="41" t="e">
        <f t="shared" si="199"/>
        <v>#DIV/0!</v>
      </c>
      <c r="BL156" s="41"/>
      <c r="BM156" s="41" t="str">
        <f t="shared" si="198"/>
        <v xml:space="preserve"> </v>
      </c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</row>
    <row r="157" spans="1:78" s="5" customFormat="1">
      <c r="A157" s="4" t="s">
        <v>263</v>
      </c>
      <c r="B157" s="57" t="str">
        <f>IF(B79&lt;5,  "X", " ")</f>
        <v xml:space="preserve"> </v>
      </c>
      <c r="C157" s="41" t="str">
        <f t="shared" ref="C157:BM157" si="200">IF(C79&lt;5,  "X", " ")</f>
        <v xml:space="preserve"> </v>
      </c>
      <c r="D157" s="41" t="str">
        <f t="shared" si="200"/>
        <v xml:space="preserve"> </v>
      </c>
      <c r="E157" s="41" t="str">
        <f t="shared" si="200"/>
        <v xml:space="preserve"> </v>
      </c>
      <c r="F157" s="41" t="str">
        <f t="shared" si="200"/>
        <v xml:space="preserve"> </v>
      </c>
      <c r="G157" s="41" t="str">
        <f t="shared" si="200"/>
        <v xml:space="preserve"> </v>
      </c>
      <c r="H157" s="41" t="str">
        <f t="shared" si="200"/>
        <v xml:space="preserve"> </v>
      </c>
      <c r="I157" s="41" t="str">
        <f t="shared" si="200"/>
        <v xml:space="preserve"> </v>
      </c>
      <c r="J157" s="41" t="str">
        <f t="shared" si="200"/>
        <v xml:space="preserve"> </v>
      </c>
      <c r="K157" s="57" t="str">
        <f t="shared" si="200"/>
        <v xml:space="preserve"> </v>
      </c>
      <c r="L157" s="41" t="str">
        <f t="shared" si="200"/>
        <v xml:space="preserve"> </v>
      </c>
      <c r="M157" s="41" t="str">
        <f t="shared" si="200"/>
        <v xml:space="preserve"> </v>
      </c>
      <c r="N157" s="41" t="str">
        <f t="shared" si="200"/>
        <v xml:space="preserve"> </v>
      </c>
      <c r="O157" s="41" t="str">
        <f t="shared" si="200"/>
        <v xml:space="preserve"> </v>
      </c>
      <c r="P157" s="41" t="str">
        <f t="shared" si="200"/>
        <v xml:space="preserve"> </v>
      </c>
      <c r="Q157" s="57" t="str">
        <f t="shared" si="200"/>
        <v xml:space="preserve"> </v>
      </c>
      <c r="R157" s="41" t="str">
        <f t="shared" si="200"/>
        <v xml:space="preserve"> </v>
      </c>
      <c r="S157" s="41" t="str">
        <f t="shared" si="200"/>
        <v xml:space="preserve"> </v>
      </c>
      <c r="T157" s="41" t="str">
        <f t="shared" si="200"/>
        <v xml:space="preserve"> </v>
      </c>
      <c r="U157" s="41" t="str">
        <f t="shared" ref="U157:BK157" si="201">IF(U79&lt;5,  "X", " ")</f>
        <v xml:space="preserve"> </v>
      </c>
      <c r="V157" s="41" t="str">
        <f t="shared" si="201"/>
        <v xml:space="preserve"> </v>
      </c>
      <c r="W157" s="41" t="str">
        <f t="shared" si="201"/>
        <v xml:space="preserve"> </v>
      </c>
      <c r="X157" s="41" t="str">
        <f t="shared" si="201"/>
        <v xml:space="preserve"> </v>
      </c>
      <c r="Y157" s="57" t="str">
        <f t="shared" si="201"/>
        <v xml:space="preserve"> </v>
      </c>
      <c r="Z157" s="41" t="str">
        <f t="shared" si="201"/>
        <v xml:space="preserve"> </v>
      </c>
      <c r="AA157" s="57" t="str">
        <f t="shared" si="201"/>
        <v xml:space="preserve"> </v>
      </c>
      <c r="AB157" s="41" t="str">
        <f t="shared" si="201"/>
        <v xml:space="preserve"> </v>
      </c>
      <c r="AC157" s="41" t="str">
        <f t="shared" si="201"/>
        <v xml:space="preserve"> </v>
      </c>
      <c r="AD157" s="41" t="str">
        <f t="shared" si="201"/>
        <v xml:space="preserve"> </v>
      </c>
      <c r="AE157" s="41" t="str">
        <f t="shared" si="201"/>
        <v xml:space="preserve"> </v>
      </c>
      <c r="AF157" s="41" t="str">
        <f t="shared" si="201"/>
        <v xml:space="preserve"> </v>
      </c>
      <c r="AG157" s="41" t="str">
        <f t="shared" si="201"/>
        <v xml:space="preserve"> </v>
      </c>
      <c r="AH157" s="41" t="str">
        <f t="shared" si="201"/>
        <v xml:space="preserve"> </v>
      </c>
      <c r="AI157" s="41" t="str">
        <f t="shared" si="201"/>
        <v xml:space="preserve"> </v>
      </c>
      <c r="AJ157" s="41" t="str">
        <f t="shared" si="201"/>
        <v xml:space="preserve"> </v>
      </c>
      <c r="AK157" s="41" t="str">
        <f t="shared" si="201"/>
        <v xml:space="preserve"> </v>
      </c>
      <c r="AL157" s="41" t="str">
        <f t="shared" si="201"/>
        <v xml:space="preserve"> </v>
      </c>
      <c r="AM157" s="41" t="str">
        <f t="shared" si="201"/>
        <v xml:space="preserve"> </v>
      </c>
      <c r="AN157" s="41" t="str">
        <f t="shared" si="201"/>
        <v xml:space="preserve"> </v>
      </c>
      <c r="AO157" s="41" t="str">
        <f t="shared" si="201"/>
        <v xml:space="preserve"> </v>
      </c>
      <c r="AP157" s="41" t="str">
        <f t="shared" si="201"/>
        <v xml:space="preserve"> </v>
      </c>
      <c r="AQ157" s="41" t="str">
        <f t="shared" si="201"/>
        <v xml:space="preserve"> </v>
      </c>
      <c r="AR157" s="41" t="str">
        <f t="shared" si="201"/>
        <v xml:space="preserve"> </v>
      </c>
      <c r="AS157" s="41" t="str">
        <f t="shared" si="201"/>
        <v xml:space="preserve"> </v>
      </c>
      <c r="AT157" s="41" t="str">
        <f t="shared" si="201"/>
        <v xml:space="preserve"> </v>
      </c>
      <c r="AU157" s="57" t="str">
        <f t="shared" si="201"/>
        <v xml:space="preserve"> </v>
      </c>
      <c r="AV157" s="41" t="str">
        <f t="shared" si="201"/>
        <v xml:space="preserve"> </v>
      </c>
      <c r="AW157" s="41" t="str">
        <f t="shared" si="201"/>
        <v xml:space="preserve"> </v>
      </c>
      <c r="AX157" s="41" t="str">
        <f t="shared" si="201"/>
        <v xml:space="preserve"> </v>
      </c>
      <c r="AY157" s="41" t="str">
        <f t="shared" si="201"/>
        <v xml:space="preserve"> </v>
      </c>
      <c r="AZ157" s="41" t="str">
        <f t="shared" si="201"/>
        <v xml:space="preserve"> </v>
      </c>
      <c r="BA157" s="41" t="str">
        <f t="shared" si="201"/>
        <v xml:space="preserve"> </v>
      </c>
      <c r="BB157" s="41" t="str">
        <f t="shared" si="201"/>
        <v xml:space="preserve"> </v>
      </c>
      <c r="BC157" s="41" t="str">
        <f t="shared" si="201"/>
        <v xml:space="preserve"> </v>
      </c>
      <c r="BD157" s="41" t="str">
        <f t="shared" si="201"/>
        <v xml:space="preserve"> </v>
      </c>
      <c r="BE157" s="41" t="str">
        <f t="shared" si="201"/>
        <v xml:space="preserve"> </v>
      </c>
      <c r="BF157" s="41" t="str">
        <f t="shared" si="201"/>
        <v xml:space="preserve"> </v>
      </c>
      <c r="BG157" s="41" t="str">
        <f t="shared" si="201"/>
        <v xml:space="preserve"> </v>
      </c>
      <c r="BH157" s="41" t="str">
        <f t="shared" si="201"/>
        <v xml:space="preserve"> </v>
      </c>
      <c r="BI157" s="41" t="str">
        <f t="shared" si="201"/>
        <v xml:space="preserve"> </v>
      </c>
      <c r="BJ157" s="41" t="str">
        <f t="shared" si="201"/>
        <v xml:space="preserve"> </v>
      </c>
      <c r="BK157" s="41" t="e">
        <f t="shared" si="201"/>
        <v>#DIV/0!</v>
      </c>
      <c r="BL157" s="41"/>
      <c r="BM157" s="41" t="str">
        <f t="shared" si="200"/>
        <v xml:space="preserve"> </v>
      </c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</row>
    <row r="158" spans="1:78" s="5" customFormat="1">
      <c r="A158" s="4" t="s">
        <v>18</v>
      </c>
      <c r="B158" s="57" t="str">
        <f>IF(B129&lt;&gt;0,  "X", " ")</f>
        <v xml:space="preserve"> </v>
      </c>
      <c r="C158" s="41" t="str">
        <f>IF(C129&lt;&gt;0,  "X", " ")</f>
        <v xml:space="preserve"> </v>
      </c>
      <c r="D158" s="41" t="str">
        <f t="shared" ref="D158:BM158" si="202">IF(D129&lt;&gt;0,  "X", " ")</f>
        <v xml:space="preserve"> </v>
      </c>
      <c r="E158" s="41" t="str">
        <f t="shared" si="202"/>
        <v xml:space="preserve"> </v>
      </c>
      <c r="F158" s="41" t="str">
        <f t="shared" si="202"/>
        <v xml:space="preserve"> </v>
      </c>
      <c r="G158" s="41" t="str">
        <f t="shared" si="202"/>
        <v xml:space="preserve"> </v>
      </c>
      <c r="H158" s="41" t="str">
        <f t="shared" si="202"/>
        <v xml:space="preserve"> </v>
      </c>
      <c r="I158" s="41" t="str">
        <f t="shared" si="202"/>
        <v xml:space="preserve"> </v>
      </c>
      <c r="J158" s="41" t="str">
        <f t="shared" si="202"/>
        <v xml:space="preserve"> </v>
      </c>
      <c r="K158" s="57" t="str">
        <f t="shared" si="202"/>
        <v xml:space="preserve"> </v>
      </c>
      <c r="L158" s="41" t="str">
        <f t="shared" si="202"/>
        <v xml:space="preserve"> </v>
      </c>
      <c r="M158" s="41" t="str">
        <f t="shared" si="202"/>
        <v xml:space="preserve"> </v>
      </c>
      <c r="N158" s="41" t="str">
        <f t="shared" si="202"/>
        <v xml:space="preserve"> </v>
      </c>
      <c r="O158" s="41" t="str">
        <f t="shared" si="202"/>
        <v xml:space="preserve"> </v>
      </c>
      <c r="P158" s="41" t="str">
        <f t="shared" si="202"/>
        <v xml:space="preserve"> </v>
      </c>
      <c r="Q158" s="57" t="str">
        <f t="shared" si="202"/>
        <v xml:space="preserve"> </v>
      </c>
      <c r="R158" s="41" t="str">
        <f t="shared" si="202"/>
        <v xml:space="preserve"> </v>
      </c>
      <c r="S158" s="41" t="str">
        <f t="shared" si="202"/>
        <v xml:space="preserve"> </v>
      </c>
      <c r="T158" s="41" t="str">
        <f t="shared" si="202"/>
        <v xml:space="preserve"> </v>
      </c>
      <c r="U158" s="41" t="str">
        <f t="shared" ref="U158:BK158" si="203">IF(U129&lt;&gt;0,  "X", " ")</f>
        <v>X</v>
      </c>
      <c r="V158" s="41" t="str">
        <f t="shared" si="203"/>
        <v>X</v>
      </c>
      <c r="W158" s="41" t="str">
        <f t="shared" si="203"/>
        <v>X</v>
      </c>
      <c r="X158" s="41" t="str">
        <f t="shared" si="203"/>
        <v>X</v>
      </c>
      <c r="Y158" s="57" t="str">
        <f t="shared" si="203"/>
        <v>X</v>
      </c>
      <c r="Z158" s="41" t="str">
        <f t="shared" si="203"/>
        <v>X</v>
      </c>
      <c r="AA158" s="57" t="str">
        <f t="shared" si="203"/>
        <v>X</v>
      </c>
      <c r="AB158" s="41" t="str">
        <f t="shared" si="203"/>
        <v>X</v>
      </c>
      <c r="AC158" s="41" t="str">
        <f t="shared" si="203"/>
        <v>X</v>
      </c>
      <c r="AD158" s="41" t="str">
        <f t="shared" si="203"/>
        <v>X</v>
      </c>
      <c r="AE158" s="41" t="str">
        <f t="shared" si="203"/>
        <v>X</v>
      </c>
      <c r="AF158" s="41" t="str">
        <f t="shared" si="203"/>
        <v>X</v>
      </c>
      <c r="AG158" s="41" t="str">
        <f t="shared" si="203"/>
        <v>X</v>
      </c>
      <c r="AH158" s="41" t="str">
        <f t="shared" si="203"/>
        <v>X</v>
      </c>
      <c r="AI158" s="41" t="str">
        <f t="shared" si="203"/>
        <v>X</v>
      </c>
      <c r="AJ158" s="41" t="str">
        <f t="shared" si="203"/>
        <v>X</v>
      </c>
      <c r="AK158" s="41" t="str">
        <f t="shared" si="203"/>
        <v>X</v>
      </c>
      <c r="AL158" s="41" t="str">
        <f t="shared" si="203"/>
        <v>X</v>
      </c>
      <c r="AM158" s="41" t="str">
        <f t="shared" si="203"/>
        <v>X</v>
      </c>
      <c r="AN158" s="41" t="str">
        <f t="shared" si="203"/>
        <v>X</v>
      </c>
      <c r="AO158" s="41" t="str">
        <f t="shared" si="203"/>
        <v>X</v>
      </c>
      <c r="AP158" s="41" t="str">
        <f t="shared" si="203"/>
        <v>X</v>
      </c>
      <c r="AQ158" s="41" t="str">
        <f t="shared" si="203"/>
        <v>X</v>
      </c>
      <c r="AR158" s="41" t="str">
        <f t="shared" si="203"/>
        <v>X</v>
      </c>
      <c r="AS158" s="41" t="str">
        <f t="shared" si="203"/>
        <v>X</v>
      </c>
      <c r="AT158" s="41" t="str">
        <f t="shared" si="203"/>
        <v>X</v>
      </c>
      <c r="AU158" s="57" t="str">
        <f t="shared" si="203"/>
        <v>X</v>
      </c>
      <c r="AV158" s="41" t="str">
        <f t="shared" si="203"/>
        <v>X</v>
      </c>
      <c r="AW158" s="41" t="str">
        <f t="shared" si="203"/>
        <v>X</v>
      </c>
      <c r="AX158" s="41" t="str">
        <f t="shared" si="203"/>
        <v>X</v>
      </c>
      <c r="AY158" s="41" t="str">
        <f t="shared" si="203"/>
        <v>X</v>
      </c>
      <c r="AZ158" s="41" t="str">
        <f t="shared" si="203"/>
        <v>X</v>
      </c>
      <c r="BA158" s="41" t="str">
        <f t="shared" si="203"/>
        <v>X</v>
      </c>
      <c r="BB158" s="41" t="str">
        <f t="shared" si="203"/>
        <v>X</v>
      </c>
      <c r="BC158" s="41" t="str">
        <f t="shared" si="203"/>
        <v>X</v>
      </c>
      <c r="BD158" s="41" t="str">
        <f t="shared" si="203"/>
        <v>X</v>
      </c>
      <c r="BE158" s="41" t="str">
        <f t="shared" si="203"/>
        <v>X</v>
      </c>
      <c r="BF158" s="41" t="str">
        <f t="shared" si="203"/>
        <v>X</v>
      </c>
      <c r="BG158" s="41" t="str">
        <f t="shared" si="203"/>
        <v>X</v>
      </c>
      <c r="BH158" s="41" t="str">
        <f t="shared" si="203"/>
        <v>X</v>
      </c>
      <c r="BI158" s="41" t="str">
        <f t="shared" si="203"/>
        <v>X</v>
      </c>
      <c r="BJ158" s="41" t="str">
        <f t="shared" si="203"/>
        <v>X</v>
      </c>
      <c r="BK158" s="41" t="str">
        <f t="shared" si="203"/>
        <v>X</v>
      </c>
      <c r="BL158" s="41"/>
      <c r="BM158" s="41" t="str">
        <f t="shared" si="202"/>
        <v xml:space="preserve"> </v>
      </c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</row>
    <row r="159" spans="1:78" s="5" customFormat="1">
      <c r="A159" s="4"/>
      <c r="B159" s="57"/>
      <c r="C159" s="41"/>
      <c r="D159" s="41"/>
      <c r="E159" s="41"/>
      <c r="F159" s="41"/>
      <c r="G159" s="41"/>
      <c r="H159" s="41"/>
      <c r="I159" s="41"/>
      <c r="J159" s="41"/>
      <c r="K159" s="57"/>
      <c r="L159" s="41"/>
      <c r="M159" s="41"/>
      <c r="N159" s="41"/>
      <c r="O159" s="41"/>
      <c r="P159" s="41"/>
      <c r="Q159" s="57"/>
      <c r="R159" s="41"/>
      <c r="S159" s="41"/>
      <c r="T159" s="41"/>
      <c r="U159" s="41"/>
      <c r="V159" s="41"/>
      <c r="W159" s="41"/>
      <c r="X159" s="41"/>
      <c r="Y159" s="57"/>
      <c r="Z159" s="41"/>
      <c r="AA159" s="57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57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 spans="1:78" s="5" customFormat="1">
      <c r="A160" s="4" t="s">
        <v>180</v>
      </c>
      <c r="B160" s="57" t="str">
        <f ca="1">B263</f>
        <v xml:space="preserve">Magnesio-Hbl </v>
      </c>
      <c r="C160" s="41" t="str">
        <f t="shared" ref="C160:BM160" ca="1" si="204">C263</f>
        <v xml:space="preserve">Magnesio-Hbl </v>
      </c>
      <c r="D160" s="41" t="str">
        <f t="shared" ca="1" si="204"/>
        <v xml:space="preserve">Magnesio-Hbl </v>
      </c>
      <c r="E160" s="41" t="str">
        <f t="shared" ca="1" si="204"/>
        <v xml:space="preserve">Magnesio-Hbl </v>
      </c>
      <c r="F160" s="41" t="str">
        <f t="shared" ca="1" si="204"/>
        <v xml:space="preserve">Magnesio-Hbl </v>
      </c>
      <c r="G160" s="41" t="str">
        <f t="shared" ca="1" si="204"/>
        <v xml:space="preserve">Magnesio-Hbl </v>
      </c>
      <c r="H160" s="41" t="str">
        <f t="shared" ca="1" si="204"/>
        <v xml:space="preserve">Magnesio-Hbl </v>
      </c>
      <c r="I160" s="41" t="str">
        <f t="shared" ca="1" si="204"/>
        <v xml:space="preserve">Magnesio-Hbl </v>
      </c>
      <c r="J160" s="41" t="str">
        <f t="shared" ca="1" si="204"/>
        <v xml:space="preserve">Magnesio-Hbl </v>
      </c>
      <c r="K160" s="57" t="str">
        <f t="shared" ca="1" si="204"/>
        <v xml:space="preserve">Magnesio-Hbl </v>
      </c>
      <c r="L160" s="41" t="str">
        <f t="shared" ca="1" si="204"/>
        <v xml:space="preserve">Magnesio-Hbl </v>
      </c>
      <c r="M160" s="41" t="str">
        <f t="shared" ca="1" si="204"/>
        <v xml:space="preserve">Magnesio-Hbl </v>
      </c>
      <c r="N160" s="41" t="str">
        <f t="shared" ca="1" si="204"/>
        <v xml:space="preserve">Magnesio-Hbl </v>
      </c>
      <c r="O160" s="41" t="str">
        <f t="shared" ca="1" si="204"/>
        <v xml:space="preserve">Magnesio-Hbl </v>
      </c>
      <c r="P160" s="41" t="str">
        <f t="shared" ca="1" si="204"/>
        <v xml:space="preserve">Magnesio-Hbl </v>
      </c>
      <c r="Q160" s="57" t="str">
        <f t="shared" ca="1" si="204"/>
        <v>Actinolitic Hbl</v>
      </c>
      <c r="R160" s="41" t="str">
        <f t="shared" ca="1" si="204"/>
        <v>Ferroan Paragasitic Hbl</v>
      </c>
      <c r="S160" s="41" t="str">
        <f t="shared" ca="1" si="204"/>
        <v>Ferroan Paragasitic Hbl</v>
      </c>
      <c r="T160" s="41" t="str">
        <f t="shared" ca="1" si="204"/>
        <v>Ferroan Paragasitic Hbl</v>
      </c>
      <c r="U160" s="41" t="str">
        <f t="shared" ref="U160:BK160" ca="1" si="205">U263</f>
        <v>Ferroan Paragasitic Hbl</v>
      </c>
      <c r="V160" s="41" t="str">
        <f t="shared" ca="1" si="205"/>
        <v>Ferroan Paragasitic Hbl</v>
      </c>
      <c r="W160" s="41" t="str">
        <f t="shared" ca="1" si="205"/>
        <v xml:space="preserve">Magnesio-Hbl </v>
      </c>
      <c r="X160" s="41" t="str">
        <f t="shared" ca="1" si="205"/>
        <v>Edenitic Hbl</v>
      </c>
      <c r="Y160" s="57" t="str">
        <f t="shared" ca="1" si="205"/>
        <v>Tschermakite</v>
      </c>
      <c r="Z160" s="41" t="str">
        <f t="shared" ca="1" si="205"/>
        <v xml:space="preserve">Magnesio-Hbl </v>
      </c>
      <c r="AA160" s="57" t="str">
        <f t="shared" ca="1" si="205"/>
        <v xml:space="preserve">Magnesio-Hbl </v>
      </c>
      <c r="AB160" s="41" t="str">
        <f t="shared" ca="1" si="205"/>
        <v>Tschermakitic Hbl</v>
      </c>
      <c r="AC160" s="41" t="str">
        <f t="shared" ca="1" si="205"/>
        <v>Ferroan Paragasitic Hbl</v>
      </c>
      <c r="AD160" s="41" t="str">
        <f t="shared" ca="1" si="205"/>
        <v>Ferroan Paragasitic Hbl</v>
      </c>
      <c r="AE160" s="41" t="str">
        <f t="shared" ca="1" si="205"/>
        <v>Ferroan Paragasitic Hbl</v>
      </c>
      <c r="AF160" s="41" t="str">
        <f t="shared" ca="1" si="205"/>
        <v>Ferroan Paragasitic Hbl</v>
      </c>
      <c r="AG160" s="41" t="str">
        <f t="shared" ca="1" si="205"/>
        <v>Ferroan Paragasite</v>
      </c>
      <c r="AH160" s="41" t="str">
        <f t="shared" ca="1" si="205"/>
        <v>Ferroan Paragasitic Hbl</v>
      </c>
      <c r="AI160" s="41" t="str">
        <f t="shared" ca="1" si="205"/>
        <v>Ferroan Paragasitic Hbl</v>
      </c>
      <c r="AJ160" s="41" t="str">
        <f t="shared" ca="1" si="205"/>
        <v>Ferroan Paragasitic Hbl</v>
      </c>
      <c r="AK160" s="41" t="str">
        <f t="shared" ca="1" si="205"/>
        <v>Ferroan Paragasitic Hbl</v>
      </c>
      <c r="AL160" s="41" t="str">
        <f t="shared" ca="1" si="205"/>
        <v>Ferroan Paragasitic Hbl</v>
      </c>
      <c r="AM160" s="41" t="str">
        <f t="shared" ca="1" si="205"/>
        <v>Ferroan Paragasitic Hbl</v>
      </c>
      <c r="AN160" s="41" t="str">
        <f t="shared" ca="1" si="205"/>
        <v>Edenitic Hbl</v>
      </c>
      <c r="AO160" s="41" t="str">
        <f t="shared" ca="1" si="205"/>
        <v>Edenitic Hbl</v>
      </c>
      <c r="AP160" s="41" t="str">
        <f t="shared" ca="1" si="205"/>
        <v xml:space="preserve">Magnesio-Hbl </v>
      </c>
      <c r="AQ160" s="41" t="str">
        <f t="shared" ca="1" si="205"/>
        <v xml:space="preserve">Magnesio-Hbl </v>
      </c>
      <c r="AR160" s="41" t="str">
        <f t="shared" ca="1" si="205"/>
        <v xml:space="preserve">Magnesio-Hbl </v>
      </c>
      <c r="AS160" s="41" t="str">
        <f t="shared" ca="1" si="205"/>
        <v xml:space="preserve">Magnesio-Hbl </v>
      </c>
      <c r="AT160" s="41" t="str">
        <f t="shared" ca="1" si="205"/>
        <v xml:space="preserve">Magnesio-Hbl </v>
      </c>
      <c r="AU160" s="57" t="str">
        <f t="shared" ca="1" si="205"/>
        <v xml:space="preserve">Magnesio-Hbl </v>
      </c>
      <c r="AV160" s="41" t="str">
        <f t="shared" ca="1" si="205"/>
        <v xml:space="preserve">Magnesio-Hbl </v>
      </c>
      <c r="AW160" s="41" t="str">
        <f t="shared" ca="1" si="205"/>
        <v xml:space="preserve">Magnesio-Hbl </v>
      </c>
      <c r="AX160" s="41" t="str">
        <f t="shared" ca="1" si="205"/>
        <v xml:space="preserve">Magnesio-Hbl </v>
      </c>
      <c r="AY160" s="41" t="str">
        <f t="shared" ca="1" si="205"/>
        <v xml:space="preserve">Magnesio-Hbl </v>
      </c>
      <c r="AZ160" s="41" t="str">
        <f t="shared" ca="1" si="205"/>
        <v xml:space="preserve">Magnesio-Hbl </v>
      </c>
      <c r="BA160" s="41" t="str">
        <f t="shared" ca="1" si="205"/>
        <v>Tschermakitic Hbl</v>
      </c>
      <c r="BB160" s="41" t="str">
        <f t="shared" ca="1" si="205"/>
        <v>Tschermakitic Hbl</v>
      </c>
      <c r="BC160" s="41" t="str">
        <f t="shared" ca="1" si="205"/>
        <v>Ferroan Paragasitic Hbl</v>
      </c>
      <c r="BD160" s="41" t="str">
        <f t="shared" ca="1" si="205"/>
        <v>Tschermakitic Hbl</v>
      </c>
      <c r="BE160" s="41" t="str">
        <f t="shared" ca="1" si="205"/>
        <v>Ferroan Paragasitic Hbl</v>
      </c>
      <c r="BF160" s="41" t="str">
        <f t="shared" ca="1" si="205"/>
        <v>Ferroan Paragasitic Hbl</v>
      </c>
      <c r="BG160" s="41" t="str">
        <f t="shared" ca="1" si="205"/>
        <v>Ferroan Paragasitic Hbl</v>
      </c>
      <c r="BH160" s="41" t="str">
        <f t="shared" ca="1" si="205"/>
        <v>Ferroan Paragasitic Hbl</v>
      </c>
      <c r="BI160" s="41" t="str">
        <f t="shared" ca="1" si="205"/>
        <v>Ferroan Paragasitic Hbl</v>
      </c>
      <c r="BJ160" s="41" t="str">
        <f t="shared" ca="1" si="205"/>
        <v>Ferroan Paragasitic Hbl</v>
      </c>
      <c r="BK160" s="41" t="e">
        <f t="shared" ca="1" si="205"/>
        <v>#DIV/0!</v>
      </c>
      <c r="BL160" s="41"/>
      <c r="BM160" s="41" t="str">
        <f t="shared" ca="1" si="204"/>
        <v xml:space="preserve">Magnesio-Hbl </v>
      </c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 spans="1:78" s="26" customFormat="1">
      <c r="A161" s="24"/>
      <c r="B161" s="58"/>
      <c r="C161" s="42"/>
      <c r="D161" s="42"/>
      <c r="E161" s="42"/>
      <c r="F161" s="42"/>
      <c r="G161" s="42"/>
      <c r="H161" s="42"/>
      <c r="I161" s="42"/>
      <c r="J161" s="42"/>
      <c r="K161" s="58"/>
      <c r="L161" s="42"/>
      <c r="M161" s="42"/>
      <c r="N161" s="42"/>
      <c r="O161" s="42"/>
      <c r="P161" s="42"/>
      <c r="Q161" s="58"/>
      <c r="R161" s="42"/>
      <c r="S161" s="42"/>
      <c r="T161" s="42"/>
      <c r="U161" s="42"/>
      <c r="V161" s="42"/>
      <c r="W161" s="42"/>
      <c r="X161" s="42"/>
      <c r="Y161" s="58"/>
      <c r="Z161" s="42"/>
      <c r="AA161" s="58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58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</row>
    <row r="162" spans="1:78">
      <c r="BT162" s="2"/>
      <c r="BU162" s="2"/>
      <c r="BV162" s="2"/>
      <c r="BW162" s="2"/>
      <c r="BX162" s="2"/>
      <c r="BY162" s="2"/>
      <c r="BZ162" s="2"/>
    </row>
    <row r="163" spans="1:78" s="11" customFormat="1">
      <c r="A163" s="9" t="s">
        <v>213</v>
      </c>
      <c r="B163" s="54"/>
      <c r="C163" s="10"/>
      <c r="D163" s="10"/>
      <c r="E163" s="10"/>
      <c r="F163" s="10"/>
      <c r="G163" s="10"/>
      <c r="H163" s="10"/>
      <c r="I163" s="10"/>
      <c r="J163" s="10"/>
      <c r="K163" s="54"/>
      <c r="L163" s="10"/>
      <c r="M163" s="10"/>
      <c r="N163" s="10"/>
      <c r="O163" s="10"/>
      <c r="P163" s="10"/>
      <c r="Q163" s="54"/>
      <c r="R163" s="10"/>
      <c r="S163" s="10"/>
      <c r="T163" s="10"/>
      <c r="U163" s="10"/>
      <c r="V163" s="10"/>
      <c r="W163" s="10"/>
      <c r="X163" s="10"/>
      <c r="Y163" s="54"/>
      <c r="Z163" s="10"/>
      <c r="AA163" s="54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54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</row>
    <row r="164" spans="1:78" s="11" customFormat="1">
      <c r="A164" s="9" t="s">
        <v>212</v>
      </c>
      <c r="B164" s="54">
        <f t="shared" ref="B164:BM164" si="206">B89+B90-B132</f>
        <v>0.16443227617445577</v>
      </c>
      <c r="C164" s="10">
        <f t="shared" si="206"/>
        <v>6.7245756558325376E-2</v>
      </c>
      <c r="D164" s="10">
        <f t="shared" si="206"/>
        <v>9.9314778249956881E-2</v>
      </c>
      <c r="E164" s="10">
        <f t="shared" si="206"/>
        <v>6.664690503090831E-2</v>
      </c>
      <c r="F164" s="10">
        <f t="shared" si="206"/>
        <v>9.0841681344946301E-2</v>
      </c>
      <c r="G164" s="10">
        <f t="shared" si="206"/>
        <v>5.3233597391894649E-2</v>
      </c>
      <c r="H164" s="10">
        <f t="shared" si="206"/>
        <v>7.7123998094835222E-2</v>
      </c>
      <c r="I164" s="10">
        <f t="shared" si="206"/>
        <v>8.4435769461669308E-2</v>
      </c>
      <c r="J164" s="10">
        <f t="shared" si="206"/>
        <v>0.11314789151775384</v>
      </c>
      <c r="K164" s="54">
        <f t="shared" si="206"/>
        <v>0.14212542285189489</v>
      </c>
      <c r="L164" s="10">
        <f t="shared" si="206"/>
        <v>0.10050681428747876</v>
      </c>
      <c r="M164" s="10">
        <f t="shared" si="206"/>
        <v>9.0355830248214197E-2</v>
      </c>
      <c r="N164" s="10">
        <f t="shared" si="206"/>
        <v>0.2083708776502422</v>
      </c>
      <c r="O164" s="10">
        <f t="shared" si="206"/>
        <v>7.0369860790356842E-2</v>
      </c>
      <c r="P164" s="10">
        <f t="shared" si="206"/>
        <v>0.10193235146462842</v>
      </c>
      <c r="Q164" s="54">
        <f t="shared" si="206"/>
        <v>5.1989379747350406E-2</v>
      </c>
      <c r="R164" s="10">
        <f t="shared" si="206"/>
        <v>0.10014586518718926</v>
      </c>
      <c r="S164" s="10">
        <f t="shared" si="206"/>
        <v>8.8053008814625522E-2</v>
      </c>
      <c r="T164" s="10">
        <f t="shared" si="206"/>
        <v>4.9106056040418844E-2</v>
      </c>
      <c r="U164" s="10">
        <f t="shared" ref="U164:BK164" si="207">U89+U90-U132</f>
        <v>8.3312777221057566E-2</v>
      </c>
      <c r="V164" s="10">
        <f t="shared" si="207"/>
        <v>8.5529704338719648E-2</v>
      </c>
      <c r="W164" s="10">
        <f t="shared" si="207"/>
        <v>9.547484859142602E-2</v>
      </c>
      <c r="X164" s="10">
        <f t="shared" si="207"/>
        <v>7.0336244489834554E-2</v>
      </c>
      <c r="Y164" s="54">
        <f t="shared" si="207"/>
        <v>4.5875244861942055E-2</v>
      </c>
      <c r="Z164" s="10">
        <f t="shared" si="207"/>
        <v>6.8171694692244433E-2</v>
      </c>
      <c r="AA164" s="54">
        <f t="shared" si="207"/>
        <v>0.10148552000633188</v>
      </c>
      <c r="AB164" s="10">
        <f t="shared" si="207"/>
        <v>0.12964223595358892</v>
      </c>
      <c r="AC164" s="10">
        <f t="shared" si="207"/>
        <v>0.21458274558876755</v>
      </c>
      <c r="AD164" s="10">
        <f t="shared" si="207"/>
        <v>0.17816675126516068</v>
      </c>
      <c r="AE164" s="10">
        <f t="shared" si="207"/>
        <v>0.17695158189112037</v>
      </c>
      <c r="AF164" s="10">
        <f t="shared" si="207"/>
        <v>0.19796538467398772</v>
      </c>
      <c r="AG164" s="10">
        <f t="shared" si="207"/>
        <v>0.19632377594066974</v>
      </c>
      <c r="AH164" s="10">
        <f t="shared" si="207"/>
        <v>0.1970381373119352</v>
      </c>
      <c r="AI164" s="10">
        <f t="shared" si="207"/>
        <v>0.19782100176278239</v>
      </c>
      <c r="AJ164" s="10">
        <f t="shared" si="207"/>
        <v>0.20817312364249696</v>
      </c>
      <c r="AK164" s="10">
        <f t="shared" si="207"/>
        <v>0.24029185122252084</v>
      </c>
      <c r="AL164" s="10">
        <f t="shared" si="207"/>
        <v>0.25996627242714798</v>
      </c>
      <c r="AM164" s="10">
        <f t="shared" si="207"/>
        <v>0.24427128263316245</v>
      </c>
      <c r="AN164" s="10">
        <f t="shared" si="207"/>
        <v>0.26439725815706605</v>
      </c>
      <c r="AO164" s="10">
        <f t="shared" si="207"/>
        <v>0.2630496711328455</v>
      </c>
      <c r="AP164" s="10">
        <f t="shared" si="207"/>
        <v>6.7871970853058849E-2</v>
      </c>
      <c r="AQ164" s="10">
        <f t="shared" si="207"/>
        <v>9.8137837092100777E-2</v>
      </c>
      <c r="AR164" s="10">
        <f t="shared" si="207"/>
        <v>7.8325202136937166E-2</v>
      </c>
      <c r="AS164" s="10">
        <f t="shared" si="207"/>
        <v>7.4625562298428538E-2</v>
      </c>
      <c r="AT164" s="10">
        <f t="shared" si="207"/>
        <v>0.10054349175206978</v>
      </c>
      <c r="AU164" s="54">
        <f t="shared" si="207"/>
        <v>6.952767360348644E-2</v>
      </c>
      <c r="AV164" s="10">
        <f t="shared" si="207"/>
        <v>0.10133763640823512</v>
      </c>
      <c r="AW164" s="10">
        <f t="shared" si="207"/>
        <v>5.279835821792378E-2</v>
      </c>
      <c r="AX164" s="10">
        <f t="shared" si="207"/>
        <v>9.1341939724420396E-2</v>
      </c>
      <c r="AY164" s="10">
        <f t="shared" si="207"/>
        <v>0.11051488597476655</v>
      </c>
      <c r="AZ164" s="10">
        <f t="shared" si="207"/>
        <v>8.3749795584470543E-2</v>
      </c>
      <c r="BA164" s="10">
        <f t="shared" si="207"/>
        <v>8.1267180179538268E-2</v>
      </c>
      <c r="BB164" s="10">
        <f t="shared" si="207"/>
        <v>9.6576389934035167E-2</v>
      </c>
      <c r="BC164" s="10">
        <f t="shared" si="207"/>
        <v>3.5523952997098762E-2</v>
      </c>
      <c r="BD164" s="10">
        <f t="shared" si="207"/>
        <v>7.9760423198092401E-2</v>
      </c>
      <c r="BE164" s="10">
        <f t="shared" si="207"/>
        <v>4.4557132782361508E-2</v>
      </c>
      <c r="BF164" s="10">
        <f t="shared" si="207"/>
        <v>0.15614154073655184</v>
      </c>
      <c r="BG164" s="10">
        <f t="shared" si="207"/>
        <v>0.14796032672165438</v>
      </c>
      <c r="BH164" s="10">
        <f t="shared" si="207"/>
        <v>0.1563815289023659</v>
      </c>
      <c r="BI164" s="10">
        <f t="shared" si="207"/>
        <v>0.1496116059379381</v>
      </c>
      <c r="BJ164" s="10">
        <f t="shared" si="207"/>
        <v>0.12804148997757037</v>
      </c>
      <c r="BK164" s="10" t="e">
        <f t="shared" si="207"/>
        <v>#DIV/0!</v>
      </c>
      <c r="BL164" s="10"/>
      <c r="BM164" s="10">
        <f t="shared" si="206"/>
        <v>8.7893353379396855E-2</v>
      </c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</row>
    <row r="165" spans="1:78" s="11" customFormat="1">
      <c r="A165" s="9" t="s">
        <v>214</v>
      </c>
      <c r="B165" s="54">
        <f>B88+B164</f>
        <v>1.8315025344569902</v>
      </c>
      <c r="C165" s="10">
        <f t="shared" ref="C165:BM165" si="208">C88+C164</f>
        <v>1.7271625867653502</v>
      </c>
      <c r="D165" s="10">
        <f t="shared" si="208"/>
        <v>1.7573464331371176</v>
      </c>
      <c r="E165" s="10">
        <f t="shared" si="208"/>
        <v>1.6674719554869344</v>
      </c>
      <c r="F165" s="10">
        <f t="shared" si="208"/>
        <v>1.8064211287083518</v>
      </c>
      <c r="G165" s="10">
        <f t="shared" si="208"/>
        <v>1.7848050502120396</v>
      </c>
      <c r="H165" s="10">
        <f t="shared" si="208"/>
        <v>1.816319413789119</v>
      </c>
      <c r="I165" s="10">
        <f t="shared" si="208"/>
        <v>1.779208897054686</v>
      </c>
      <c r="J165" s="10">
        <f t="shared" si="208"/>
        <v>1.723697051986675</v>
      </c>
      <c r="K165" s="54">
        <f t="shared" si="208"/>
        <v>1.8575028915872795</v>
      </c>
      <c r="L165" s="10">
        <f t="shared" si="208"/>
        <v>1.7385801032659993</v>
      </c>
      <c r="M165" s="10">
        <f t="shared" si="208"/>
        <v>1.798680713076809</v>
      </c>
      <c r="N165" s="10">
        <f t="shared" si="208"/>
        <v>1.8412562071232166</v>
      </c>
      <c r="O165" s="10">
        <f t="shared" si="208"/>
        <v>1.7772567150467262</v>
      </c>
      <c r="P165" s="10">
        <f t="shared" si="208"/>
        <v>2.0414378603430241</v>
      </c>
      <c r="Q165" s="54">
        <f t="shared" si="208"/>
        <v>2.0089818394418844</v>
      </c>
      <c r="R165" s="10">
        <f t="shared" si="208"/>
        <v>2.0101593275912539</v>
      </c>
      <c r="S165" s="10">
        <f t="shared" si="208"/>
        <v>2.0097658270100762</v>
      </c>
      <c r="T165" s="10">
        <f t="shared" si="208"/>
        <v>1.9809559550381961</v>
      </c>
      <c r="U165" s="10">
        <f t="shared" ref="U165:BK165" si="209">U88+U164</f>
        <v>1.997189169838004</v>
      </c>
      <c r="V165" s="10">
        <f t="shared" si="209"/>
        <v>2.0261818968473908</v>
      </c>
      <c r="W165" s="10">
        <f t="shared" si="209"/>
        <v>2.0310951782107196</v>
      </c>
      <c r="X165" s="10">
        <f t="shared" si="209"/>
        <v>1.9619522215388521</v>
      </c>
      <c r="Y165" s="54">
        <f t="shared" si="209"/>
        <v>2.6612088691224627</v>
      </c>
      <c r="Z165" s="10">
        <f t="shared" si="209"/>
        <v>2.1513681039872625</v>
      </c>
      <c r="AA165" s="54">
        <f t="shared" si="209"/>
        <v>2.2287427052488988</v>
      </c>
      <c r="AB165" s="10">
        <f t="shared" si="209"/>
        <v>1.9016939603124239</v>
      </c>
      <c r="AC165" s="10">
        <f t="shared" si="209"/>
        <v>1.9795069043814024</v>
      </c>
      <c r="AD165" s="10">
        <f t="shared" si="209"/>
        <v>1.9857238901691523</v>
      </c>
      <c r="AE165" s="10">
        <f t="shared" si="209"/>
        <v>1.9306306002459364</v>
      </c>
      <c r="AF165" s="10">
        <f t="shared" si="209"/>
        <v>1.9626542003974141</v>
      </c>
      <c r="AG165" s="10">
        <f t="shared" si="209"/>
        <v>1.9609058614840074</v>
      </c>
      <c r="AH165" s="10">
        <f t="shared" si="209"/>
        <v>1.9341802518668154</v>
      </c>
      <c r="AI165" s="10">
        <f t="shared" si="209"/>
        <v>1.9809165836088944</v>
      </c>
      <c r="AJ165" s="10">
        <f t="shared" si="209"/>
        <v>1.9396879917919811</v>
      </c>
      <c r="AK165" s="10">
        <f t="shared" si="209"/>
        <v>1.9842738821529573</v>
      </c>
      <c r="AL165" s="10">
        <f t="shared" si="209"/>
        <v>1.9895651838360675</v>
      </c>
      <c r="AM165" s="10">
        <f t="shared" si="209"/>
        <v>1.9499914117715189</v>
      </c>
      <c r="AN165" s="10">
        <f t="shared" si="209"/>
        <v>1.9558539198458154</v>
      </c>
      <c r="AO165" s="10">
        <f t="shared" si="209"/>
        <v>1.9781833556715931</v>
      </c>
      <c r="AP165" s="10">
        <f t="shared" si="209"/>
        <v>1.9596873568723583</v>
      </c>
      <c r="AQ165" s="10">
        <f t="shared" si="209"/>
        <v>1.9677730862316629</v>
      </c>
      <c r="AR165" s="10">
        <f t="shared" si="209"/>
        <v>1.979296537950495</v>
      </c>
      <c r="AS165" s="10">
        <f t="shared" si="209"/>
        <v>1.9631124117381615</v>
      </c>
      <c r="AT165" s="10">
        <f t="shared" si="209"/>
        <v>1.9459577437995623</v>
      </c>
      <c r="AU165" s="54">
        <f t="shared" si="209"/>
        <v>1.9501547868337401</v>
      </c>
      <c r="AV165" s="10">
        <f t="shared" si="209"/>
        <v>1.940558080031844</v>
      </c>
      <c r="AW165" s="10">
        <f t="shared" si="209"/>
        <v>1.9484626673926146</v>
      </c>
      <c r="AX165" s="10">
        <f t="shared" si="209"/>
        <v>2.4273230485477781</v>
      </c>
      <c r="AY165" s="10">
        <f t="shared" si="209"/>
        <v>1.9640343281852384</v>
      </c>
      <c r="AZ165" s="10">
        <f t="shared" si="209"/>
        <v>1.9641603821003237</v>
      </c>
      <c r="BA165" s="10">
        <f t="shared" si="209"/>
        <v>1.9968014107167731</v>
      </c>
      <c r="BB165" s="10">
        <f t="shared" si="209"/>
        <v>1.9818014638099397</v>
      </c>
      <c r="BC165" s="10">
        <f t="shared" si="209"/>
        <v>1.9682682756158352</v>
      </c>
      <c r="BD165" s="10">
        <f t="shared" si="209"/>
        <v>1.9900895556492768</v>
      </c>
      <c r="BE165" s="10">
        <f t="shared" si="209"/>
        <v>1.9536579911725589</v>
      </c>
      <c r="BF165" s="10">
        <f t="shared" si="209"/>
        <v>2.029287388173258</v>
      </c>
      <c r="BG165" s="10">
        <f t="shared" si="209"/>
        <v>1.9896381171623019</v>
      </c>
      <c r="BH165" s="10">
        <f t="shared" si="209"/>
        <v>2.0372784520839087</v>
      </c>
      <c r="BI165" s="10">
        <f t="shared" si="209"/>
        <v>2.0017770267627273</v>
      </c>
      <c r="BJ165" s="10">
        <f t="shared" si="209"/>
        <v>2.068644235923224</v>
      </c>
      <c r="BK165" s="10" t="e">
        <f t="shared" si="209"/>
        <v>#DIV/0!</v>
      </c>
      <c r="BL165" s="10"/>
      <c r="BM165" s="10">
        <f t="shared" si="208"/>
        <v>1.7713989217261625</v>
      </c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</row>
    <row r="166" spans="1:78" s="11" customFormat="1">
      <c r="A166" s="9" t="s">
        <v>212</v>
      </c>
      <c r="B166" s="54">
        <f>B164-B133</f>
        <v>0</v>
      </c>
      <c r="C166" s="10">
        <f t="shared" ref="C166:BM166" si="210">C164-C133</f>
        <v>0</v>
      </c>
      <c r="D166" s="10">
        <f t="shared" si="210"/>
        <v>0</v>
      </c>
      <c r="E166" s="10">
        <f t="shared" si="210"/>
        <v>0</v>
      </c>
      <c r="F166" s="10">
        <f t="shared" si="210"/>
        <v>0</v>
      </c>
      <c r="G166" s="10">
        <f t="shared" si="210"/>
        <v>0</v>
      </c>
      <c r="H166" s="10">
        <f t="shared" si="210"/>
        <v>0</v>
      </c>
      <c r="I166" s="10">
        <f t="shared" si="210"/>
        <v>0</v>
      </c>
      <c r="J166" s="10">
        <f t="shared" si="210"/>
        <v>0</v>
      </c>
      <c r="K166" s="54">
        <f t="shared" si="210"/>
        <v>0</v>
      </c>
      <c r="L166" s="10">
        <f t="shared" si="210"/>
        <v>0</v>
      </c>
      <c r="M166" s="10">
        <f t="shared" si="210"/>
        <v>0</v>
      </c>
      <c r="N166" s="10">
        <f t="shared" si="210"/>
        <v>0</v>
      </c>
      <c r="O166" s="10">
        <f t="shared" si="210"/>
        <v>0</v>
      </c>
      <c r="P166" s="10">
        <f t="shared" si="210"/>
        <v>4.1437860343024102E-2</v>
      </c>
      <c r="Q166" s="54">
        <f t="shared" si="210"/>
        <v>8.9818394418842429E-3</v>
      </c>
      <c r="R166" s="10">
        <f t="shared" si="210"/>
        <v>1.0159327591254042E-2</v>
      </c>
      <c r="S166" s="10">
        <f t="shared" si="210"/>
        <v>9.7658270100761113E-3</v>
      </c>
      <c r="T166" s="10">
        <f t="shared" si="210"/>
        <v>0</v>
      </c>
      <c r="U166" s="10">
        <f t="shared" ref="U166:BK166" si="211">U164-U133</f>
        <v>0</v>
      </c>
      <c r="V166" s="10">
        <f t="shared" si="211"/>
        <v>2.6181896847390695E-2</v>
      </c>
      <c r="W166" s="10">
        <f t="shared" si="211"/>
        <v>3.1095178210719776E-2</v>
      </c>
      <c r="X166" s="10">
        <f t="shared" si="211"/>
        <v>0</v>
      </c>
      <c r="Y166" s="54">
        <f t="shared" si="211"/>
        <v>4.5875244861942055E-2</v>
      </c>
      <c r="Z166" s="10">
        <f t="shared" si="211"/>
        <v>6.8171694692244433E-2</v>
      </c>
      <c r="AA166" s="54">
        <f t="shared" si="211"/>
        <v>0.10148552000633188</v>
      </c>
      <c r="AB166" s="10">
        <f t="shared" si="211"/>
        <v>0</v>
      </c>
      <c r="AC166" s="10">
        <f t="shared" si="211"/>
        <v>0</v>
      </c>
      <c r="AD166" s="10">
        <f t="shared" si="211"/>
        <v>0</v>
      </c>
      <c r="AE166" s="10">
        <f t="shared" si="211"/>
        <v>0</v>
      </c>
      <c r="AF166" s="10">
        <f t="shared" si="211"/>
        <v>0</v>
      </c>
      <c r="AG166" s="10">
        <f t="shared" si="211"/>
        <v>0</v>
      </c>
      <c r="AH166" s="10">
        <f t="shared" si="211"/>
        <v>0</v>
      </c>
      <c r="AI166" s="10">
        <f t="shared" si="211"/>
        <v>0</v>
      </c>
      <c r="AJ166" s="10">
        <f t="shared" si="211"/>
        <v>0</v>
      </c>
      <c r="AK166" s="10">
        <f t="shared" si="211"/>
        <v>0</v>
      </c>
      <c r="AL166" s="10">
        <f t="shared" si="211"/>
        <v>0</v>
      </c>
      <c r="AM166" s="10">
        <f t="shared" si="211"/>
        <v>0</v>
      </c>
      <c r="AN166" s="10">
        <f t="shared" si="211"/>
        <v>0</v>
      </c>
      <c r="AO166" s="10">
        <f t="shared" si="211"/>
        <v>0</v>
      </c>
      <c r="AP166" s="10">
        <f t="shared" si="211"/>
        <v>0</v>
      </c>
      <c r="AQ166" s="10">
        <f t="shared" si="211"/>
        <v>0</v>
      </c>
      <c r="AR166" s="10">
        <f t="shared" si="211"/>
        <v>0</v>
      </c>
      <c r="AS166" s="10">
        <f t="shared" si="211"/>
        <v>0</v>
      </c>
      <c r="AT166" s="10">
        <f t="shared" si="211"/>
        <v>0</v>
      </c>
      <c r="AU166" s="54">
        <f t="shared" si="211"/>
        <v>0</v>
      </c>
      <c r="AV166" s="10">
        <f t="shared" si="211"/>
        <v>0</v>
      </c>
      <c r="AW166" s="10">
        <f t="shared" si="211"/>
        <v>0</v>
      </c>
      <c r="AX166" s="10">
        <f t="shared" si="211"/>
        <v>9.1341939724420396E-2</v>
      </c>
      <c r="AY166" s="10">
        <f t="shared" si="211"/>
        <v>0</v>
      </c>
      <c r="AZ166" s="10">
        <f t="shared" si="211"/>
        <v>0</v>
      </c>
      <c r="BA166" s="10">
        <f t="shared" si="211"/>
        <v>0</v>
      </c>
      <c r="BB166" s="10">
        <f t="shared" si="211"/>
        <v>0</v>
      </c>
      <c r="BC166" s="10">
        <f t="shared" si="211"/>
        <v>0</v>
      </c>
      <c r="BD166" s="10">
        <f t="shared" si="211"/>
        <v>0</v>
      </c>
      <c r="BE166" s="10">
        <f t="shared" si="211"/>
        <v>0</v>
      </c>
      <c r="BF166" s="10">
        <f t="shared" si="211"/>
        <v>2.9287388173257822E-2</v>
      </c>
      <c r="BG166" s="10">
        <f t="shared" si="211"/>
        <v>0</v>
      </c>
      <c r="BH166" s="10">
        <f t="shared" si="211"/>
        <v>3.7278452083908786E-2</v>
      </c>
      <c r="BI166" s="10">
        <f t="shared" si="211"/>
        <v>1.7770267627273961E-3</v>
      </c>
      <c r="BJ166" s="10">
        <f t="shared" si="211"/>
        <v>6.8644235923223995E-2</v>
      </c>
      <c r="BK166" s="10" t="e">
        <f t="shared" si="211"/>
        <v>#DIV/0!</v>
      </c>
      <c r="BL166" s="10"/>
      <c r="BM166" s="10">
        <f t="shared" si="210"/>
        <v>0</v>
      </c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</row>
    <row r="167" spans="1:78" s="11" customFormat="1">
      <c r="A167" s="9" t="s">
        <v>78</v>
      </c>
      <c r="B167" s="54">
        <f>IF(B119-B132&lt;0, 0, B119-B132)</f>
        <v>0.84191226260912799</v>
      </c>
      <c r="C167" s="10">
        <f t="shared" ref="C167:BM167" si="212">IF(C119-C132&lt;0, 0, C119-C132)</f>
        <v>0.98786278817948059</v>
      </c>
      <c r="D167" s="10">
        <f t="shared" si="212"/>
        <v>1.0209755467523491</v>
      </c>
      <c r="E167" s="10">
        <f t="shared" si="212"/>
        <v>1.0371800051798292</v>
      </c>
      <c r="F167" s="10">
        <f t="shared" si="212"/>
        <v>1.0079713291586732</v>
      </c>
      <c r="G167" s="10">
        <f t="shared" si="212"/>
        <v>1.0486186365702164</v>
      </c>
      <c r="H167" s="10">
        <f t="shared" si="212"/>
        <v>1.0231573049286204</v>
      </c>
      <c r="I167" s="10">
        <f t="shared" si="212"/>
        <v>1.0078797552348737</v>
      </c>
      <c r="J167" s="10">
        <f t="shared" si="212"/>
        <v>0.95001431388087632</v>
      </c>
      <c r="K167" s="54">
        <f t="shared" si="212"/>
        <v>0.86565499878975505</v>
      </c>
      <c r="L167" s="10">
        <f t="shared" si="212"/>
        <v>0.98436540344635048</v>
      </c>
      <c r="M167" s="10">
        <f t="shared" si="212"/>
        <v>1.036163405385337</v>
      </c>
      <c r="N167" s="10">
        <f t="shared" si="212"/>
        <v>0.99109598010767108</v>
      </c>
      <c r="O167" s="10">
        <f t="shared" si="212"/>
        <v>1.0870741370844934</v>
      </c>
      <c r="P167" s="10">
        <f t="shared" si="212"/>
        <v>0.89229022616660192</v>
      </c>
      <c r="Q167" s="54">
        <f t="shared" si="212"/>
        <v>0.4133432266838506</v>
      </c>
      <c r="R167" s="10">
        <f t="shared" si="212"/>
        <v>1.0268856681195437</v>
      </c>
      <c r="S167" s="10">
        <f t="shared" si="212"/>
        <v>1.04497539827672</v>
      </c>
      <c r="T167" s="10">
        <f t="shared" si="212"/>
        <v>1.0407280743837255</v>
      </c>
      <c r="U167" s="10">
        <f t="shared" ref="U167:BK167" si="213">IF(U119-U132&lt;0, 0, U119-U132)</f>
        <v>1.079314085665394</v>
      </c>
      <c r="V167" s="10">
        <f t="shared" si="213"/>
        <v>1.065717763011941</v>
      </c>
      <c r="W167" s="10">
        <f t="shared" si="213"/>
        <v>0.77149087029347729</v>
      </c>
      <c r="X167" s="10">
        <f t="shared" si="213"/>
        <v>0.87835404456770316</v>
      </c>
      <c r="Y167" s="54">
        <f t="shared" si="213"/>
        <v>1.4437545189117467</v>
      </c>
      <c r="Z167" s="10">
        <f t="shared" si="213"/>
        <v>0.98145450809485002</v>
      </c>
      <c r="AA167" s="54">
        <f t="shared" si="213"/>
        <v>0.89163236240751864</v>
      </c>
      <c r="AB167" s="10">
        <f t="shared" si="213"/>
        <v>1.0655717782006437</v>
      </c>
      <c r="AC167" s="10">
        <f t="shared" si="213"/>
        <v>1.1346567914544412</v>
      </c>
      <c r="AD167" s="10">
        <f t="shared" si="213"/>
        <v>1.1449930961876778</v>
      </c>
      <c r="AE167" s="10">
        <f t="shared" si="213"/>
        <v>1.1581682661216774</v>
      </c>
      <c r="AF167" s="10">
        <f t="shared" si="213"/>
        <v>1.0927024891047585</v>
      </c>
      <c r="AG167" s="10">
        <f t="shared" si="213"/>
        <v>1.1926142416768153</v>
      </c>
      <c r="AH167" s="10">
        <f t="shared" si="213"/>
        <v>1.1487070125058318</v>
      </c>
      <c r="AI167" s="10">
        <f t="shared" si="213"/>
        <v>1.1740887648316125</v>
      </c>
      <c r="AJ167" s="10">
        <f t="shared" si="213"/>
        <v>1.1052630908729135</v>
      </c>
      <c r="AK167" s="10">
        <f t="shared" si="213"/>
        <v>0.9886385022554558</v>
      </c>
      <c r="AL167" s="10">
        <f t="shared" si="213"/>
        <v>1.0246421258728757</v>
      </c>
      <c r="AM167" s="10">
        <f t="shared" si="213"/>
        <v>0.98756133722194051</v>
      </c>
      <c r="AN167" s="10">
        <f t="shared" si="213"/>
        <v>0.96882332295336315</v>
      </c>
      <c r="AO167" s="10">
        <f t="shared" si="213"/>
        <v>0.96038886430365711</v>
      </c>
      <c r="AP167" s="10">
        <f t="shared" si="213"/>
        <v>1.0000357643949513</v>
      </c>
      <c r="AQ167" s="10">
        <f t="shared" si="213"/>
        <v>1.0354215819230355</v>
      </c>
      <c r="AR167" s="10">
        <f t="shared" si="213"/>
        <v>1.016184567480054</v>
      </c>
      <c r="AS167" s="10">
        <f t="shared" si="213"/>
        <v>1.0262006135225699</v>
      </c>
      <c r="AT167" s="10">
        <f t="shared" si="213"/>
        <v>1.0076094716511816</v>
      </c>
      <c r="AU167" s="54">
        <f t="shared" si="213"/>
        <v>0.86051245385006059</v>
      </c>
      <c r="AV167" s="10">
        <f t="shared" si="213"/>
        <v>1.0310603724143581</v>
      </c>
      <c r="AW167" s="10">
        <f t="shared" si="213"/>
        <v>1.062473397089855</v>
      </c>
      <c r="AX167" s="10">
        <f t="shared" si="213"/>
        <v>1.2084056519481958</v>
      </c>
      <c r="AY167" s="10">
        <f t="shared" si="213"/>
        <v>1.0281215749100641</v>
      </c>
      <c r="AZ167" s="10">
        <f t="shared" si="213"/>
        <v>1.0077931895357182</v>
      </c>
      <c r="BA167" s="10">
        <f t="shared" si="213"/>
        <v>1.0735311580064764</v>
      </c>
      <c r="BB167" s="10">
        <f t="shared" si="213"/>
        <v>1.0955275619060609</v>
      </c>
      <c r="BC167" s="10">
        <f t="shared" si="213"/>
        <v>1.0653804864171574</v>
      </c>
      <c r="BD167" s="10">
        <f t="shared" si="213"/>
        <v>1.1069064568486358</v>
      </c>
      <c r="BE167" s="10">
        <f t="shared" si="213"/>
        <v>1.1044939982436119</v>
      </c>
      <c r="BF167" s="10">
        <f t="shared" si="213"/>
        <v>1.144486457685236</v>
      </c>
      <c r="BG167" s="10">
        <f t="shared" si="213"/>
        <v>1.1549737297767182</v>
      </c>
      <c r="BH167" s="10">
        <f t="shared" si="213"/>
        <v>1.085044584287985</v>
      </c>
      <c r="BI167" s="10">
        <f t="shared" si="213"/>
        <v>1.1936308297277467</v>
      </c>
      <c r="BJ167" s="10">
        <f t="shared" si="213"/>
        <v>1.1426123767322425</v>
      </c>
      <c r="BK167" s="10" t="e">
        <f t="shared" si="213"/>
        <v>#DIV/0!</v>
      </c>
      <c r="BL167" s="10"/>
      <c r="BM167" s="10">
        <f t="shared" si="212"/>
        <v>0.99700941321976</v>
      </c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</row>
    <row r="168" spans="1:78" s="11" customFormat="1">
      <c r="A168" s="9" t="s">
        <v>26</v>
      </c>
      <c r="B168" s="54">
        <f>B83</f>
        <v>0.34185257926373125</v>
      </c>
      <c r="C168" s="10">
        <f t="shared" ref="C168:BM168" si="214">C83</f>
        <v>0.33072608814603444</v>
      </c>
      <c r="D168" s="10">
        <f t="shared" si="214"/>
        <v>0.35572925967752561</v>
      </c>
      <c r="E168" s="10">
        <f t="shared" si="214"/>
        <v>0.36509452125263053</v>
      </c>
      <c r="F168" s="10">
        <f t="shared" si="214"/>
        <v>0.34245800241178709</v>
      </c>
      <c r="G168" s="10">
        <f t="shared" si="214"/>
        <v>0.361969475213406</v>
      </c>
      <c r="H168" s="10">
        <f t="shared" si="214"/>
        <v>0.33209925996147593</v>
      </c>
      <c r="I168" s="10">
        <f t="shared" si="214"/>
        <v>0.34532189630991311</v>
      </c>
      <c r="J168" s="10">
        <f t="shared" si="214"/>
        <v>0.33815587691043042</v>
      </c>
      <c r="K168" s="54">
        <f t="shared" si="214"/>
        <v>0.37747298165785981</v>
      </c>
      <c r="L168" s="10">
        <f t="shared" si="214"/>
        <v>0.33476294937766865</v>
      </c>
      <c r="M168" s="10">
        <f t="shared" si="214"/>
        <v>0.34265592568266678</v>
      </c>
      <c r="N168" s="10">
        <f t="shared" si="214"/>
        <v>0.34076392625138568</v>
      </c>
      <c r="O168" s="10">
        <f t="shared" si="214"/>
        <v>0.35485756710704258</v>
      </c>
      <c r="P168" s="10">
        <f t="shared" si="214"/>
        <v>0.33521037928495639</v>
      </c>
      <c r="Q168" s="54">
        <f t="shared" si="214"/>
        <v>0.24289544371045477</v>
      </c>
      <c r="R168" s="10">
        <f t="shared" si="214"/>
        <v>0.35754107499487581</v>
      </c>
      <c r="S168" s="10">
        <f t="shared" si="214"/>
        <v>0.35584270005330004</v>
      </c>
      <c r="T168" s="10">
        <f t="shared" si="214"/>
        <v>0.36677809726017757</v>
      </c>
      <c r="U168" s="10">
        <f t="shared" ref="U168:BK168" si="215">U83</f>
        <v>0.37200504422775965</v>
      </c>
      <c r="V168" s="10">
        <f t="shared" si="215"/>
        <v>0.36408119574290654</v>
      </c>
      <c r="W168" s="10">
        <f t="shared" si="215"/>
        <v>0.3615843427117747</v>
      </c>
      <c r="X168" s="10">
        <f t="shared" si="215"/>
        <v>0.3507000124355934</v>
      </c>
      <c r="Y168" s="54">
        <f t="shared" si="215"/>
        <v>0.34767581449434032</v>
      </c>
      <c r="Z168" s="10">
        <f t="shared" si="215"/>
        <v>0.34182521140842698</v>
      </c>
      <c r="AA168" s="54">
        <f t="shared" si="215"/>
        <v>0.28267623062765573</v>
      </c>
      <c r="AB168" s="10">
        <f t="shared" si="215"/>
        <v>0.32370208056813365</v>
      </c>
      <c r="AC168" s="10">
        <f t="shared" si="215"/>
        <v>0.29698458809690675</v>
      </c>
      <c r="AD168" s="10">
        <f t="shared" si="215"/>
        <v>0.31338020446660608</v>
      </c>
      <c r="AE168" s="10">
        <f t="shared" si="215"/>
        <v>0.33185352799073753</v>
      </c>
      <c r="AF168" s="10">
        <f t="shared" si="215"/>
        <v>0.32269718263975034</v>
      </c>
      <c r="AG168" s="10">
        <f t="shared" si="215"/>
        <v>0.32730429645934267</v>
      </c>
      <c r="AH168" s="10">
        <f t="shared" si="215"/>
        <v>0.31778474898295933</v>
      </c>
      <c r="AI168" s="10">
        <f t="shared" si="215"/>
        <v>0.32168343078001832</v>
      </c>
      <c r="AJ168" s="10">
        <f t="shared" si="215"/>
        <v>0.31448451360472418</v>
      </c>
      <c r="AK168" s="10">
        <f t="shared" si="215"/>
        <v>0.34048579586332267</v>
      </c>
      <c r="AL168" s="10">
        <f t="shared" si="215"/>
        <v>0.33873070046719927</v>
      </c>
      <c r="AM168" s="10">
        <f t="shared" si="215"/>
        <v>0.33461095695834686</v>
      </c>
      <c r="AN168" s="10">
        <f t="shared" si="215"/>
        <v>0.33553726277341311</v>
      </c>
      <c r="AO168" s="10">
        <f t="shared" si="215"/>
        <v>0.3275354899543314</v>
      </c>
      <c r="AP168" s="10">
        <f t="shared" si="215"/>
        <v>0.4563778404070476</v>
      </c>
      <c r="AQ168" s="10">
        <f t="shared" si="215"/>
        <v>0.4426519074712057</v>
      </c>
      <c r="AR168" s="10">
        <f t="shared" si="215"/>
        <v>0.44875205609967889</v>
      </c>
      <c r="AS168" s="10">
        <f t="shared" si="215"/>
        <v>0.46246819378383397</v>
      </c>
      <c r="AT168" s="10">
        <f t="shared" si="215"/>
        <v>0.46162581169498829</v>
      </c>
      <c r="AU168" s="54">
        <f t="shared" si="215"/>
        <v>0.43710648783346251</v>
      </c>
      <c r="AV168" s="10">
        <f t="shared" si="215"/>
        <v>0.46680116747168093</v>
      </c>
      <c r="AW168" s="10">
        <f t="shared" si="215"/>
        <v>0.46631945504198241</v>
      </c>
      <c r="AX168" s="10">
        <f t="shared" si="215"/>
        <v>0.40556600088777878</v>
      </c>
      <c r="AY168" s="10">
        <f t="shared" si="215"/>
        <v>0.46299429773192541</v>
      </c>
      <c r="AZ168" s="10">
        <f t="shared" si="215"/>
        <v>0.44980779998924619</v>
      </c>
      <c r="BA168" s="10">
        <f t="shared" si="215"/>
        <v>0.36892478149677987</v>
      </c>
      <c r="BB168" s="10">
        <f t="shared" si="215"/>
        <v>0.37047583892633434</v>
      </c>
      <c r="BC168" s="10">
        <f t="shared" si="215"/>
        <v>0.37839951546759382</v>
      </c>
      <c r="BD168" s="10">
        <f t="shared" si="215"/>
        <v>0.37382069014374542</v>
      </c>
      <c r="BE168" s="10">
        <f t="shared" si="215"/>
        <v>0.37699069120453915</v>
      </c>
      <c r="BF168" s="10">
        <f t="shared" si="215"/>
        <v>0.42889235737915266</v>
      </c>
      <c r="BG168" s="10">
        <f t="shared" si="215"/>
        <v>0.43833567446779803</v>
      </c>
      <c r="BH168" s="10">
        <f t="shared" si="215"/>
        <v>0.41819222178991822</v>
      </c>
      <c r="BI168" s="10">
        <f t="shared" si="215"/>
        <v>0.43622906224163199</v>
      </c>
      <c r="BJ168" s="10">
        <f t="shared" si="215"/>
        <v>0.41444795899899112</v>
      </c>
      <c r="BK168" s="10" t="e">
        <f t="shared" si="215"/>
        <v>#DIV/0!</v>
      </c>
      <c r="BL168" s="10"/>
      <c r="BM168" s="10">
        <f t="shared" si="214"/>
        <v>0.3468741331741641</v>
      </c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</row>
    <row r="169" spans="1:78" s="11" customFormat="1">
      <c r="A169" s="9" t="s">
        <v>236</v>
      </c>
      <c r="B169" s="54">
        <f>B120+B168+B81-B133</f>
        <v>0.74375502832276741</v>
      </c>
      <c r="C169" s="10">
        <f t="shared" ref="C169:BM169" si="216">C120+C168+C81-C133</f>
        <v>0.86615682212527201</v>
      </c>
      <c r="D169" s="10">
        <f t="shared" si="216"/>
        <v>0.89522599804522618</v>
      </c>
      <c r="E169" s="10">
        <f t="shared" si="216"/>
        <v>0.94954054374419961</v>
      </c>
      <c r="F169" s="10">
        <f t="shared" si="216"/>
        <v>0.87061008953866981</v>
      </c>
      <c r="G169" s="10">
        <f t="shared" si="216"/>
        <v>0.91975146095763471</v>
      </c>
      <c r="H169" s="10">
        <f t="shared" si="216"/>
        <v>0.89023151214480389</v>
      </c>
      <c r="I169" s="10">
        <f t="shared" si="216"/>
        <v>0.8736320312246223</v>
      </c>
      <c r="J169" s="10">
        <f t="shared" si="216"/>
        <v>0.84204162265047444</v>
      </c>
      <c r="K169" s="54">
        <f t="shared" si="216"/>
        <v>0.76328722719957665</v>
      </c>
      <c r="L169" s="10">
        <f t="shared" si="216"/>
        <v>0.85271732706377679</v>
      </c>
      <c r="M169" s="10">
        <f t="shared" si="216"/>
        <v>0.89640544836392633</v>
      </c>
      <c r="N169" s="10">
        <f t="shared" si="216"/>
        <v>0.85210970673560826</v>
      </c>
      <c r="O169" s="10">
        <f t="shared" si="216"/>
        <v>0.91261516548637256</v>
      </c>
      <c r="P169" s="10">
        <f t="shared" si="216"/>
        <v>0.62623029208001635</v>
      </c>
      <c r="Q169" s="54">
        <f t="shared" si="216"/>
        <v>0.40493812087144138</v>
      </c>
      <c r="R169" s="10">
        <f t="shared" si="216"/>
        <v>0.67132614295291748</v>
      </c>
      <c r="S169" s="10">
        <f t="shared" si="216"/>
        <v>0.69819880744196505</v>
      </c>
      <c r="T169" s="10">
        <f t="shared" si="216"/>
        <v>0.68349270184594624</v>
      </c>
      <c r="U169" s="10">
        <f t="shared" ref="U169:BK169" si="217">U120+U168+U81-U133</f>
        <v>0.72849267863735967</v>
      </c>
      <c r="V169" s="10">
        <f t="shared" si="217"/>
        <v>0.75616289899040301</v>
      </c>
      <c r="W169" s="10">
        <f t="shared" si="217"/>
        <v>0.61092084485794662</v>
      </c>
      <c r="X169" s="10">
        <f t="shared" si="217"/>
        <v>0.68531822605427006</v>
      </c>
      <c r="Y169" s="54">
        <f t="shared" si="217"/>
        <v>1.2093098318942728</v>
      </c>
      <c r="Z169" s="10">
        <f t="shared" si="217"/>
        <v>0.90899208491273542</v>
      </c>
      <c r="AA169" s="54">
        <f t="shared" si="217"/>
        <v>0.7908163008851482</v>
      </c>
      <c r="AB169" s="10">
        <f t="shared" si="217"/>
        <v>0.57420863253007148</v>
      </c>
      <c r="AC169" s="10">
        <f t="shared" si="217"/>
        <v>0.59043615222266455</v>
      </c>
      <c r="AD169" s="10">
        <f t="shared" si="217"/>
        <v>0.58801013630024135</v>
      </c>
      <c r="AE169" s="10">
        <f t="shared" si="217"/>
        <v>0.59807924307617655</v>
      </c>
      <c r="AF169" s="10">
        <f t="shared" si="217"/>
        <v>0.53975824638076442</v>
      </c>
      <c r="AG169" s="10">
        <f t="shared" si="217"/>
        <v>0.61147095791191852</v>
      </c>
      <c r="AH169" s="10">
        <f t="shared" si="217"/>
        <v>0.63786188560679236</v>
      </c>
      <c r="AI169" s="10">
        <f t="shared" si="217"/>
        <v>0.58841565786802275</v>
      </c>
      <c r="AJ169" s="10">
        <f t="shared" si="217"/>
        <v>0.58425780387873794</v>
      </c>
      <c r="AK169" s="10">
        <f t="shared" si="217"/>
        <v>0.81804531854317608</v>
      </c>
      <c r="AL169" s="10">
        <f t="shared" si="217"/>
        <v>0.82453779157077489</v>
      </c>
      <c r="AM169" s="10">
        <f t="shared" si="217"/>
        <v>0.81574515904885592</v>
      </c>
      <c r="AN169" s="10">
        <f t="shared" si="217"/>
        <v>0.80920045051827405</v>
      </c>
      <c r="AO169" s="10">
        <f t="shared" si="217"/>
        <v>0.78778325508034219</v>
      </c>
      <c r="AP169" s="10">
        <f t="shared" si="217"/>
        <v>0.8040721585778341</v>
      </c>
      <c r="AQ169" s="10">
        <f t="shared" si="217"/>
        <v>0.82213810946192833</v>
      </c>
      <c r="AR169" s="10">
        <f t="shared" si="217"/>
        <v>0.8180176693829021</v>
      </c>
      <c r="AS169" s="10">
        <f t="shared" si="217"/>
        <v>0.80791172473526718</v>
      </c>
      <c r="AT169" s="10">
        <f t="shared" si="217"/>
        <v>0.79664858782532399</v>
      </c>
      <c r="AU169" s="54">
        <f t="shared" si="217"/>
        <v>0.72559222540016832</v>
      </c>
      <c r="AV169" s="10">
        <f t="shared" si="217"/>
        <v>0.79409314808163778</v>
      </c>
      <c r="AW169" s="10">
        <f t="shared" si="217"/>
        <v>0.88005367670927981</v>
      </c>
      <c r="AX169" s="10">
        <f t="shared" si="217"/>
        <v>1.1260786175753137</v>
      </c>
      <c r="AY169" s="10">
        <f t="shared" si="217"/>
        <v>0.79241059225332044</v>
      </c>
      <c r="AZ169" s="10">
        <f t="shared" si="217"/>
        <v>0.80093932485293529</v>
      </c>
      <c r="BA169" s="10">
        <f t="shared" si="217"/>
        <v>0.74020995601249395</v>
      </c>
      <c r="BB169" s="10">
        <f t="shared" si="217"/>
        <v>0.75745190592349887</v>
      </c>
      <c r="BC169" s="10">
        <f t="shared" si="217"/>
        <v>0.7376235706374954</v>
      </c>
      <c r="BD169" s="10">
        <f t="shared" si="217"/>
        <v>0.79722828027424875</v>
      </c>
      <c r="BE169" s="10">
        <f t="shared" si="217"/>
        <v>0.75610579053377713</v>
      </c>
      <c r="BF169" s="10">
        <f t="shared" si="217"/>
        <v>0.76086825138451453</v>
      </c>
      <c r="BG169" s="10">
        <f t="shared" si="217"/>
        <v>0.72865597099888879</v>
      </c>
      <c r="BH169" s="10">
        <f t="shared" si="217"/>
        <v>0.76772089117613673</v>
      </c>
      <c r="BI169" s="10">
        <f t="shared" si="217"/>
        <v>0.74383135765704034</v>
      </c>
      <c r="BJ169" s="10">
        <f t="shared" si="217"/>
        <v>0.77012033449118111</v>
      </c>
      <c r="BK169" s="10" t="e">
        <f t="shared" si="217"/>
        <v>#DIV/0!</v>
      </c>
      <c r="BL169" s="10"/>
      <c r="BM169" s="10">
        <f t="shared" si="216"/>
        <v>0.87608842090736794</v>
      </c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</row>
    <row r="170" spans="1:78" s="11" customFormat="1">
      <c r="A170" s="9" t="s">
        <v>235</v>
      </c>
      <c r="B170" s="54">
        <f>B169+2*B80</f>
        <v>0.84191226260912677</v>
      </c>
      <c r="C170" s="10">
        <f t="shared" ref="C170:BM170" si="218">C169+2*C80</f>
        <v>0.98786278817948148</v>
      </c>
      <c r="D170" s="10">
        <f t="shared" si="218"/>
        <v>1.0209755467523447</v>
      </c>
      <c r="E170" s="10">
        <f t="shared" si="218"/>
        <v>1.0371800051798288</v>
      </c>
      <c r="F170" s="10">
        <f t="shared" si="218"/>
        <v>1.0079713291586794</v>
      </c>
      <c r="G170" s="10">
        <f t="shared" si="218"/>
        <v>1.0486186365702244</v>
      </c>
      <c r="H170" s="10">
        <f t="shared" si="218"/>
        <v>1.0231573049286178</v>
      </c>
      <c r="I170" s="10">
        <f t="shared" si="218"/>
        <v>1.0078797552348711</v>
      </c>
      <c r="J170" s="10">
        <f t="shared" si="218"/>
        <v>0.95001431388088076</v>
      </c>
      <c r="K170" s="54">
        <f t="shared" si="218"/>
        <v>0.86565499878976326</v>
      </c>
      <c r="L170" s="10">
        <f t="shared" si="218"/>
        <v>0.98436540344634771</v>
      </c>
      <c r="M170" s="10">
        <f t="shared" si="218"/>
        <v>1.0361634053853357</v>
      </c>
      <c r="N170" s="10">
        <f t="shared" si="218"/>
        <v>0.99109598010766975</v>
      </c>
      <c r="O170" s="10">
        <f t="shared" si="218"/>
        <v>1.0870741370844894</v>
      </c>
      <c r="P170" s="10">
        <f t="shared" si="218"/>
        <v>0.93372808650962291</v>
      </c>
      <c r="Q170" s="54">
        <f t="shared" si="218"/>
        <v>0.42232506612574178</v>
      </c>
      <c r="R170" s="10">
        <f t="shared" si="218"/>
        <v>1.0370449957107906</v>
      </c>
      <c r="S170" s="10">
        <f t="shared" si="218"/>
        <v>1.0547412252867927</v>
      </c>
      <c r="T170" s="10">
        <f t="shared" si="218"/>
        <v>1.0407280743837282</v>
      </c>
      <c r="U170" s="10">
        <f t="shared" ref="U170:BK170" si="219">U169+2*U80</f>
        <v>1.0793140856653853</v>
      </c>
      <c r="V170" s="10">
        <f t="shared" si="219"/>
        <v>1.0918996598593356</v>
      </c>
      <c r="W170" s="10">
        <f t="shared" si="219"/>
        <v>0.80258604850419002</v>
      </c>
      <c r="X170" s="10">
        <f t="shared" si="219"/>
        <v>0.87835404456769428</v>
      </c>
      <c r="Y170" s="54">
        <f t="shared" si="219"/>
        <v>1.4896297637736806</v>
      </c>
      <c r="Z170" s="10">
        <f t="shared" si="219"/>
        <v>1.0496262027870951</v>
      </c>
      <c r="AA170" s="54">
        <f t="shared" si="219"/>
        <v>0.99311788241384646</v>
      </c>
      <c r="AB170" s="10">
        <f t="shared" si="219"/>
        <v>1.065571778200646</v>
      </c>
      <c r="AC170" s="10">
        <f t="shared" si="219"/>
        <v>1.1346567914544448</v>
      </c>
      <c r="AD170" s="10">
        <f t="shared" si="219"/>
        <v>1.1449930961876753</v>
      </c>
      <c r="AE170" s="10">
        <f t="shared" si="219"/>
        <v>1.158168266121677</v>
      </c>
      <c r="AF170" s="10">
        <f t="shared" si="219"/>
        <v>1.0927024891047594</v>
      </c>
      <c r="AG170" s="10">
        <f t="shared" si="219"/>
        <v>1.1926142416767964</v>
      </c>
      <c r="AH170" s="10">
        <f t="shared" si="219"/>
        <v>1.1487070125058283</v>
      </c>
      <c r="AI170" s="10">
        <f t="shared" si="219"/>
        <v>1.1740887648316112</v>
      </c>
      <c r="AJ170" s="10">
        <f t="shared" si="219"/>
        <v>1.1052630908729086</v>
      </c>
      <c r="AK170" s="10">
        <f t="shared" si="219"/>
        <v>0.9886385022554538</v>
      </c>
      <c r="AL170" s="10">
        <f t="shared" si="219"/>
        <v>1.0246421258728811</v>
      </c>
      <c r="AM170" s="10">
        <f t="shared" si="219"/>
        <v>0.98756133722194406</v>
      </c>
      <c r="AN170" s="10">
        <f t="shared" si="219"/>
        <v>0.96882332295336426</v>
      </c>
      <c r="AO170" s="10">
        <f t="shared" si="219"/>
        <v>0.96038886430365378</v>
      </c>
      <c r="AP170" s="10">
        <f t="shared" si="219"/>
        <v>1.0000357643949596</v>
      </c>
      <c r="AQ170" s="10">
        <f t="shared" si="219"/>
        <v>1.0354215819230337</v>
      </c>
      <c r="AR170" s="10">
        <f t="shared" si="219"/>
        <v>1.0161845674800665</v>
      </c>
      <c r="AS170" s="10">
        <f t="shared" si="219"/>
        <v>1.026200613522573</v>
      </c>
      <c r="AT170" s="10">
        <f t="shared" si="219"/>
        <v>1.0076094716511783</v>
      </c>
      <c r="AU170" s="54">
        <f t="shared" si="219"/>
        <v>0.86051245385006536</v>
      </c>
      <c r="AV170" s="10">
        <f t="shared" si="219"/>
        <v>1.0310603724143539</v>
      </c>
      <c r="AW170" s="10">
        <f t="shared" si="219"/>
        <v>1.0624733970898612</v>
      </c>
      <c r="AX170" s="10">
        <f t="shared" si="219"/>
        <v>1.2997475916726193</v>
      </c>
      <c r="AY170" s="10">
        <f t="shared" si="219"/>
        <v>1.0281215749100598</v>
      </c>
      <c r="AZ170" s="10">
        <f t="shared" si="219"/>
        <v>1.0077931895357144</v>
      </c>
      <c r="BA170" s="10">
        <f t="shared" si="219"/>
        <v>1.0735311580064733</v>
      </c>
      <c r="BB170" s="10">
        <f t="shared" si="219"/>
        <v>1.0955275619060632</v>
      </c>
      <c r="BC170" s="10">
        <f t="shared" si="219"/>
        <v>1.0653804864171623</v>
      </c>
      <c r="BD170" s="10">
        <f t="shared" si="219"/>
        <v>1.1069064568486282</v>
      </c>
      <c r="BE170" s="10">
        <f t="shared" si="219"/>
        <v>1.1044939982436117</v>
      </c>
      <c r="BF170" s="10">
        <f t="shared" si="219"/>
        <v>1.1737738458584868</v>
      </c>
      <c r="BG170" s="10">
        <f t="shared" si="219"/>
        <v>1.154973729776714</v>
      </c>
      <c r="BH170" s="10">
        <f t="shared" si="219"/>
        <v>1.1223230363719019</v>
      </c>
      <c r="BI170" s="10">
        <f t="shared" si="219"/>
        <v>1.1954078564904753</v>
      </c>
      <c r="BJ170" s="10">
        <f t="shared" si="219"/>
        <v>1.2112566126554694</v>
      </c>
      <c r="BK170" s="10" t="e">
        <f t="shared" si="219"/>
        <v>#DIV/0!</v>
      </c>
      <c r="BL170" s="10"/>
      <c r="BM170" s="10">
        <f t="shared" si="218"/>
        <v>0.99700941321975278</v>
      </c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</row>
    <row r="171" spans="1:78" s="11" customFormat="1">
      <c r="A171" s="9" t="s">
        <v>78</v>
      </c>
      <c r="B171" s="54">
        <f>B167-B134</f>
        <v>0</v>
      </c>
      <c r="C171" s="10">
        <f t="shared" ref="C171:BM171" si="220">C167-C134</f>
        <v>0</v>
      </c>
      <c r="D171" s="10">
        <f t="shared" si="220"/>
        <v>0</v>
      </c>
      <c r="E171" s="10">
        <f t="shared" si="220"/>
        <v>0</v>
      </c>
      <c r="F171" s="10">
        <f t="shared" si="220"/>
        <v>0</v>
      </c>
      <c r="G171" s="10">
        <f t="shared" si="220"/>
        <v>0</v>
      </c>
      <c r="H171" s="10">
        <f t="shared" si="220"/>
        <v>0</v>
      </c>
      <c r="I171" s="10">
        <f t="shared" si="220"/>
        <v>0</v>
      </c>
      <c r="J171" s="10">
        <f t="shared" si="220"/>
        <v>0</v>
      </c>
      <c r="K171" s="54">
        <f t="shared" si="220"/>
        <v>0</v>
      </c>
      <c r="L171" s="10">
        <f t="shared" si="220"/>
        <v>0</v>
      </c>
      <c r="M171" s="10">
        <f t="shared" si="220"/>
        <v>0</v>
      </c>
      <c r="N171" s="10">
        <f t="shared" si="220"/>
        <v>0</v>
      </c>
      <c r="O171" s="10">
        <f t="shared" si="220"/>
        <v>0</v>
      </c>
      <c r="P171" s="10">
        <f t="shared" si="220"/>
        <v>0</v>
      </c>
      <c r="Q171" s="54">
        <f t="shared" si="220"/>
        <v>0</v>
      </c>
      <c r="R171" s="10">
        <f t="shared" si="220"/>
        <v>0</v>
      </c>
      <c r="S171" s="10">
        <f t="shared" si="220"/>
        <v>0</v>
      </c>
      <c r="T171" s="10">
        <f t="shared" si="220"/>
        <v>0</v>
      </c>
      <c r="U171" s="10">
        <f t="shared" ref="U171:BK171" si="221">U167-U134</f>
        <v>0</v>
      </c>
      <c r="V171" s="10">
        <f t="shared" si="221"/>
        <v>0</v>
      </c>
      <c r="W171" s="10">
        <f t="shared" si="221"/>
        <v>0</v>
      </c>
      <c r="X171" s="10">
        <f t="shared" si="221"/>
        <v>0</v>
      </c>
      <c r="Y171" s="54">
        <f t="shared" si="221"/>
        <v>0</v>
      </c>
      <c r="Z171" s="10">
        <f t="shared" si="221"/>
        <v>0</v>
      </c>
      <c r="AA171" s="54">
        <f t="shared" si="221"/>
        <v>0</v>
      </c>
      <c r="AB171" s="10">
        <f t="shared" si="221"/>
        <v>0</v>
      </c>
      <c r="AC171" s="10">
        <f t="shared" si="221"/>
        <v>0</v>
      </c>
      <c r="AD171" s="10">
        <f t="shared" si="221"/>
        <v>0</v>
      </c>
      <c r="AE171" s="10">
        <f t="shared" si="221"/>
        <v>0</v>
      </c>
      <c r="AF171" s="10">
        <f t="shared" si="221"/>
        <v>0</v>
      </c>
      <c r="AG171" s="10">
        <f t="shared" si="221"/>
        <v>0</v>
      </c>
      <c r="AH171" s="10">
        <f t="shared" si="221"/>
        <v>0</v>
      </c>
      <c r="AI171" s="10">
        <f t="shared" si="221"/>
        <v>0</v>
      </c>
      <c r="AJ171" s="10">
        <f t="shared" si="221"/>
        <v>0</v>
      </c>
      <c r="AK171" s="10">
        <f t="shared" si="221"/>
        <v>0</v>
      </c>
      <c r="AL171" s="10">
        <f t="shared" si="221"/>
        <v>0</v>
      </c>
      <c r="AM171" s="10">
        <f t="shared" si="221"/>
        <v>0</v>
      </c>
      <c r="AN171" s="10">
        <f t="shared" si="221"/>
        <v>0</v>
      </c>
      <c r="AO171" s="10">
        <f t="shared" si="221"/>
        <v>0</v>
      </c>
      <c r="AP171" s="10">
        <f t="shared" si="221"/>
        <v>0</v>
      </c>
      <c r="AQ171" s="10">
        <f t="shared" si="221"/>
        <v>0</v>
      </c>
      <c r="AR171" s="10">
        <f t="shared" si="221"/>
        <v>0</v>
      </c>
      <c r="AS171" s="10">
        <f t="shared" si="221"/>
        <v>0</v>
      </c>
      <c r="AT171" s="10">
        <f t="shared" si="221"/>
        <v>0</v>
      </c>
      <c r="AU171" s="54">
        <f t="shared" si="221"/>
        <v>0</v>
      </c>
      <c r="AV171" s="10">
        <f t="shared" si="221"/>
        <v>0</v>
      </c>
      <c r="AW171" s="10">
        <f t="shared" si="221"/>
        <v>0</v>
      </c>
      <c r="AX171" s="10">
        <f t="shared" si="221"/>
        <v>0</v>
      </c>
      <c r="AY171" s="10">
        <f t="shared" si="221"/>
        <v>0</v>
      </c>
      <c r="AZ171" s="10">
        <f t="shared" si="221"/>
        <v>0</v>
      </c>
      <c r="BA171" s="10">
        <f t="shared" si="221"/>
        <v>0</v>
      </c>
      <c r="BB171" s="10">
        <f t="shared" si="221"/>
        <v>0</v>
      </c>
      <c r="BC171" s="10">
        <f t="shared" si="221"/>
        <v>0</v>
      </c>
      <c r="BD171" s="10">
        <f t="shared" si="221"/>
        <v>0</v>
      </c>
      <c r="BE171" s="10">
        <f t="shared" si="221"/>
        <v>0</v>
      </c>
      <c r="BF171" s="10">
        <f t="shared" si="221"/>
        <v>0</v>
      </c>
      <c r="BG171" s="10">
        <f t="shared" si="221"/>
        <v>0</v>
      </c>
      <c r="BH171" s="10">
        <f t="shared" si="221"/>
        <v>0</v>
      </c>
      <c r="BI171" s="10">
        <f t="shared" si="221"/>
        <v>0</v>
      </c>
      <c r="BJ171" s="10">
        <f t="shared" si="221"/>
        <v>0</v>
      </c>
      <c r="BK171" s="10" t="e">
        <f t="shared" si="221"/>
        <v>#DIV/0!</v>
      </c>
      <c r="BL171" s="10"/>
      <c r="BM171" s="10">
        <f t="shared" si="220"/>
        <v>0</v>
      </c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</row>
    <row r="172" spans="1:78" s="11" customFormat="1">
      <c r="A172" s="9" t="s">
        <v>56</v>
      </c>
      <c r="B172" s="54">
        <f t="shared" ref="B172:BM172" si="222">B84+B85+B86+B87</f>
        <v>4.2112315439026071</v>
      </c>
      <c r="C172" s="10">
        <f t="shared" si="222"/>
        <v>4.2785818515239482</v>
      </c>
      <c r="D172" s="10">
        <f t="shared" si="222"/>
        <v>4.185238016214142</v>
      </c>
      <c r="E172" s="10">
        <f t="shared" si="222"/>
        <v>4.2725208650201445</v>
      </c>
      <c r="F172" s="10">
        <f t="shared" si="222"/>
        <v>4.1634464805980267</v>
      </c>
      <c r="G172" s="10">
        <f t="shared" si="222"/>
        <v>4.1777763036321369</v>
      </c>
      <c r="H172" s="10">
        <f t="shared" si="222"/>
        <v>4.1498621795793369</v>
      </c>
      <c r="I172" s="10">
        <f t="shared" si="222"/>
        <v>4.1955994402538961</v>
      </c>
      <c r="J172" s="10">
        <f t="shared" si="222"/>
        <v>4.2671270882298922</v>
      </c>
      <c r="K172" s="54">
        <f t="shared" si="222"/>
        <v>4.1859005725661547</v>
      </c>
      <c r="L172" s="10">
        <f t="shared" si="222"/>
        <v>4.2423717171914594</v>
      </c>
      <c r="M172" s="10">
        <f t="shared" si="222"/>
        <v>4.1446790298003462</v>
      </c>
      <c r="N172" s="10">
        <f t="shared" si="222"/>
        <v>4.028770071804904</v>
      </c>
      <c r="O172" s="10">
        <f t="shared" si="222"/>
        <v>4.1525287728774849</v>
      </c>
      <c r="P172" s="10">
        <f t="shared" si="222"/>
        <v>4.1180884592405507</v>
      </c>
      <c r="Q172" s="54">
        <f t="shared" si="222"/>
        <v>4.5343790267540598</v>
      </c>
      <c r="R172" s="10">
        <f t="shared" si="222"/>
        <v>4.0456685654809563</v>
      </c>
      <c r="S172" s="10">
        <f t="shared" si="222"/>
        <v>4.0354769748209955</v>
      </c>
      <c r="T172" s="10">
        <f t="shared" si="222"/>
        <v>4.107827600806548</v>
      </c>
      <c r="U172" s="10">
        <f t="shared" ref="U172:BK172" si="223">U84+U85+U86+U87</f>
        <v>4.0155946707895627</v>
      </c>
      <c r="V172" s="10">
        <f t="shared" si="223"/>
        <v>3.9904390162364098</v>
      </c>
      <c r="W172" s="10">
        <f t="shared" si="223"/>
        <v>4.1977717047275069</v>
      </c>
      <c r="X172" s="10">
        <f t="shared" si="223"/>
        <v>4.1858753986603325</v>
      </c>
      <c r="Y172" s="54">
        <f t="shared" si="223"/>
        <v>2.989321333043562</v>
      </c>
      <c r="Z172" s="10">
        <f t="shared" si="223"/>
        <v>3.8693227521628217</v>
      </c>
      <c r="AA172" s="54">
        <f t="shared" si="223"/>
        <v>3.8792902031016081</v>
      </c>
      <c r="AB172" s="10">
        <f t="shared" si="223"/>
        <v>4.1487735983686242</v>
      </c>
      <c r="AC172" s="10">
        <f t="shared" si="223"/>
        <v>3.943363878191275</v>
      </c>
      <c r="AD172" s="10">
        <f t="shared" si="223"/>
        <v>3.9696077423217266</v>
      </c>
      <c r="AE172" s="10">
        <f t="shared" si="223"/>
        <v>4.0142940632640141</v>
      </c>
      <c r="AF172" s="10">
        <f t="shared" si="223"/>
        <v>4.0231500471858359</v>
      </c>
      <c r="AG172" s="10">
        <f t="shared" si="223"/>
        <v>3.940727762780968</v>
      </c>
      <c r="AH172" s="10">
        <f t="shared" si="223"/>
        <v>3.9754971617649408</v>
      </c>
      <c r="AI172" s="10">
        <f t="shared" si="223"/>
        <v>3.9400102032785043</v>
      </c>
      <c r="AJ172" s="10">
        <f t="shared" si="223"/>
        <v>4.0073784371897005</v>
      </c>
      <c r="AK172" s="10">
        <f t="shared" si="223"/>
        <v>3.8720923562252088</v>
      </c>
      <c r="AL172" s="10">
        <f t="shared" si="223"/>
        <v>3.8258785850149581</v>
      </c>
      <c r="AM172" s="10">
        <f t="shared" si="223"/>
        <v>3.9040840574599187</v>
      </c>
      <c r="AN172" s="10">
        <f t="shared" si="223"/>
        <v>3.8907369352613026</v>
      </c>
      <c r="AO172" s="10">
        <f t="shared" si="223"/>
        <v>3.8846809135035629</v>
      </c>
      <c r="AP172" s="10">
        <f t="shared" si="223"/>
        <v>4.0703867107881848</v>
      </c>
      <c r="AQ172" s="10">
        <f t="shared" si="223"/>
        <v>4.0053092309837552</v>
      </c>
      <c r="AR172" s="10">
        <f t="shared" si="223"/>
        <v>4.0252771414810811</v>
      </c>
      <c r="AS172" s="10">
        <f t="shared" si="223"/>
        <v>4.0452058568344906</v>
      </c>
      <c r="AT172" s="10">
        <f t="shared" si="223"/>
        <v>4.0513697347101161</v>
      </c>
      <c r="AU172" s="54">
        <f t="shared" si="223"/>
        <v>4.1872651999376558</v>
      </c>
      <c r="AV172" s="10">
        <f t="shared" si="223"/>
        <v>4.045527523311927</v>
      </c>
      <c r="AW172" s="10">
        <f t="shared" si="223"/>
        <v>4.0274754374898913</v>
      </c>
      <c r="AX172" s="10">
        <f t="shared" si="223"/>
        <v>3.3597638468282569</v>
      </c>
      <c r="AY172" s="10">
        <f t="shared" si="223"/>
        <v>4.0151847022583071</v>
      </c>
      <c r="AZ172" s="10">
        <f t="shared" si="223"/>
        <v>4.0477235651208794</v>
      </c>
      <c r="BA172" s="10">
        <f t="shared" si="223"/>
        <v>4.0150608520942042</v>
      </c>
      <c r="BB172" s="10">
        <f t="shared" si="223"/>
        <v>3.9951324123412419</v>
      </c>
      <c r="BC172" s="10">
        <f t="shared" si="223"/>
        <v>4.0947057428597358</v>
      </c>
      <c r="BD172" s="10">
        <f t="shared" si="223"/>
        <v>3.9780826525911928</v>
      </c>
      <c r="BE172" s="10">
        <f t="shared" si="223"/>
        <v>4.0714849816563845</v>
      </c>
      <c r="BF172" s="10">
        <f t="shared" si="223"/>
        <v>3.876537410641947</v>
      </c>
      <c r="BG172" s="10">
        <f t="shared" si="223"/>
        <v>3.9205867057282449</v>
      </c>
      <c r="BH172" s="10">
        <f t="shared" si="223"/>
        <v>3.8985965073236128</v>
      </c>
      <c r="BI172" s="10">
        <f t="shared" si="223"/>
        <v>3.8807687869883072</v>
      </c>
      <c r="BJ172" s="10">
        <f t="shared" si="223"/>
        <v>3.8812700364491031</v>
      </c>
      <c r="BK172" s="10" t="e">
        <f t="shared" si="223"/>
        <v>#DIV/0!</v>
      </c>
      <c r="BL172" s="10"/>
      <c r="BM172" s="10">
        <f t="shared" si="222"/>
        <v>4.20415880783088</v>
      </c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</row>
    <row r="173" spans="1:78" s="11" customFormat="1">
      <c r="A173" s="9" t="s">
        <v>258</v>
      </c>
      <c r="B173" s="54">
        <f>B172-B141</f>
        <v>4.0427340783595973</v>
      </c>
      <c r="C173" s="10">
        <f t="shared" ref="C173:BM173" si="224">C172-C141</f>
        <v>4.0057444382892982</v>
      </c>
      <c r="D173" s="10">
        <f t="shared" si="224"/>
        <v>3.9425844493512594</v>
      </c>
      <c r="E173" s="10">
        <f t="shared" si="224"/>
        <v>3.9399928205070789</v>
      </c>
      <c r="F173" s="10">
        <f t="shared" si="224"/>
        <v>3.9698676093063785</v>
      </c>
      <c r="G173" s="10">
        <f t="shared" si="224"/>
        <v>3.9625813538441763</v>
      </c>
      <c r="H173" s="10">
        <f t="shared" si="224"/>
        <v>3.9661815933684559</v>
      </c>
      <c r="I173" s="10">
        <f t="shared" si="224"/>
        <v>3.9748083373085823</v>
      </c>
      <c r="J173" s="10">
        <f t="shared" si="224"/>
        <v>3.9908241402165672</v>
      </c>
      <c r="K173" s="54">
        <f t="shared" si="224"/>
        <v>4.0434034641534344</v>
      </c>
      <c r="L173" s="10">
        <f t="shared" si="224"/>
        <v>3.9809518204574585</v>
      </c>
      <c r="M173" s="10">
        <f t="shared" si="224"/>
        <v>3.9433597428771554</v>
      </c>
      <c r="N173" s="10">
        <f t="shared" si="224"/>
        <v>3.8700262789281208</v>
      </c>
      <c r="O173" s="10">
        <f t="shared" si="224"/>
        <v>3.9297854879242111</v>
      </c>
      <c r="P173" s="10">
        <f t="shared" si="224"/>
        <v>4.1180884592405507</v>
      </c>
      <c r="Q173" s="54">
        <f t="shared" si="224"/>
        <v>4.5343790267540598</v>
      </c>
      <c r="R173" s="10">
        <f t="shared" si="224"/>
        <v>4.0456685654809563</v>
      </c>
      <c r="S173" s="10">
        <f t="shared" si="224"/>
        <v>4.0354769748209955</v>
      </c>
      <c r="T173" s="10">
        <f t="shared" si="224"/>
        <v>4.0887835558447438</v>
      </c>
      <c r="U173" s="10">
        <f t="shared" ref="U173:BK173" si="225">U172-U141</f>
        <v>4.0127838406275664</v>
      </c>
      <c r="V173" s="10">
        <f t="shared" si="225"/>
        <v>3.9904390162364098</v>
      </c>
      <c r="W173" s="10">
        <f t="shared" si="225"/>
        <v>4.1977717047275069</v>
      </c>
      <c r="X173" s="10">
        <f t="shared" si="225"/>
        <v>4.1478276201991848</v>
      </c>
      <c r="Y173" s="54">
        <f t="shared" si="225"/>
        <v>2.989321333043562</v>
      </c>
      <c r="Z173" s="10">
        <f t="shared" si="225"/>
        <v>3.8693227521628217</v>
      </c>
      <c r="AA173" s="54">
        <f t="shared" si="225"/>
        <v>3.8792902031016081</v>
      </c>
      <c r="AB173" s="10">
        <f t="shared" si="225"/>
        <v>4.0504675586810484</v>
      </c>
      <c r="AC173" s="10">
        <f t="shared" si="225"/>
        <v>3.9228707825726774</v>
      </c>
      <c r="AD173" s="10">
        <f t="shared" si="225"/>
        <v>3.9553316324908789</v>
      </c>
      <c r="AE173" s="10">
        <f t="shared" si="225"/>
        <v>3.9449246635099504</v>
      </c>
      <c r="AF173" s="10">
        <f t="shared" si="225"/>
        <v>3.9858042475832498</v>
      </c>
      <c r="AG173" s="10">
        <f t="shared" si="225"/>
        <v>3.9016336242649752</v>
      </c>
      <c r="AH173" s="10">
        <f t="shared" si="225"/>
        <v>3.9096774136317562</v>
      </c>
      <c r="AI173" s="10">
        <f t="shared" si="225"/>
        <v>3.9209267868873985</v>
      </c>
      <c r="AJ173" s="10">
        <f t="shared" si="225"/>
        <v>3.9470664289816817</v>
      </c>
      <c r="AK173" s="10">
        <f t="shared" si="225"/>
        <v>3.8563662383781665</v>
      </c>
      <c r="AL173" s="10">
        <f t="shared" si="225"/>
        <v>3.8154437688510257</v>
      </c>
      <c r="AM173" s="10">
        <f t="shared" si="225"/>
        <v>3.8540754692314376</v>
      </c>
      <c r="AN173" s="10">
        <f t="shared" si="225"/>
        <v>3.8465908551071184</v>
      </c>
      <c r="AO173" s="10">
        <f t="shared" si="225"/>
        <v>3.862864269175156</v>
      </c>
      <c r="AP173" s="10">
        <f t="shared" si="225"/>
        <v>4.0300740676605429</v>
      </c>
      <c r="AQ173" s="10">
        <f t="shared" si="225"/>
        <v>3.9730823172154182</v>
      </c>
      <c r="AR173" s="10">
        <f t="shared" si="225"/>
        <v>4.0045736794315765</v>
      </c>
      <c r="AS173" s="10">
        <f t="shared" si="225"/>
        <v>4.0083182685726522</v>
      </c>
      <c r="AT173" s="10">
        <f t="shared" si="225"/>
        <v>3.9973274785096784</v>
      </c>
      <c r="AU173" s="54">
        <f t="shared" si="225"/>
        <v>4.1374199867713957</v>
      </c>
      <c r="AV173" s="10">
        <f t="shared" si="225"/>
        <v>3.9860856033437706</v>
      </c>
      <c r="AW173" s="10">
        <f t="shared" si="225"/>
        <v>3.975938104882506</v>
      </c>
      <c r="AX173" s="10">
        <f t="shared" si="225"/>
        <v>3.3597638468282569</v>
      </c>
      <c r="AY173" s="10">
        <f t="shared" si="225"/>
        <v>3.979219030443546</v>
      </c>
      <c r="AZ173" s="10">
        <f t="shared" si="225"/>
        <v>4.0118839472212029</v>
      </c>
      <c r="BA173" s="10">
        <f t="shared" si="225"/>
        <v>4.0118622628109772</v>
      </c>
      <c r="BB173" s="10">
        <f t="shared" si="225"/>
        <v>3.9769338761511817</v>
      </c>
      <c r="BC173" s="10">
        <f t="shared" si="225"/>
        <v>4.0629740184755709</v>
      </c>
      <c r="BD173" s="10">
        <f t="shared" si="225"/>
        <v>3.9681722082404693</v>
      </c>
      <c r="BE173" s="10">
        <f t="shared" si="225"/>
        <v>4.0251429728289434</v>
      </c>
      <c r="BF173" s="10">
        <f t="shared" si="225"/>
        <v>3.876537410641947</v>
      </c>
      <c r="BG173" s="10">
        <f t="shared" si="225"/>
        <v>3.9102248228905467</v>
      </c>
      <c r="BH173" s="10">
        <f t="shared" si="225"/>
        <v>3.8985965073236128</v>
      </c>
      <c r="BI173" s="10">
        <f t="shared" si="225"/>
        <v>3.8807687869883072</v>
      </c>
      <c r="BJ173" s="10">
        <f t="shared" si="225"/>
        <v>3.8812700364491031</v>
      </c>
      <c r="BK173" s="10" t="e">
        <f t="shared" si="225"/>
        <v>#DIV/0!</v>
      </c>
      <c r="BL173" s="10"/>
      <c r="BM173" s="10">
        <f t="shared" si="224"/>
        <v>3.9755577295570426</v>
      </c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</row>
    <row r="174" spans="1:78" s="11" customFormat="1">
      <c r="A174" s="9" t="s">
        <v>259</v>
      </c>
      <c r="B174" s="54">
        <f>B173+B80+B81+B83+B120</f>
        <v>5</v>
      </c>
      <c r="C174" s="10">
        <f t="shared" ref="C174:BM174" si="226">C173+C80+C81+C83+C120</f>
        <v>5.0000000000000009</v>
      </c>
      <c r="D174" s="10">
        <f t="shared" si="226"/>
        <v>5.0000000000000018</v>
      </c>
      <c r="E174" s="10">
        <f t="shared" si="226"/>
        <v>5.0000000000000018</v>
      </c>
      <c r="F174" s="10">
        <f t="shared" si="226"/>
        <v>4.9999999999999991</v>
      </c>
      <c r="G174" s="10">
        <f t="shared" si="226"/>
        <v>5</v>
      </c>
      <c r="H174" s="10">
        <f t="shared" si="226"/>
        <v>5.0000000000000018</v>
      </c>
      <c r="I174" s="10">
        <f t="shared" si="226"/>
        <v>4.9999999999999982</v>
      </c>
      <c r="J174" s="10">
        <f t="shared" si="226"/>
        <v>4.9999999999999982</v>
      </c>
      <c r="K174" s="54">
        <f t="shared" si="226"/>
        <v>4.9999999999999991</v>
      </c>
      <c r="L174" s="10">
        <f t="shared" si="226"/>
        <v>5</v>
      </c>
      <c r="M174" s="10">
        <f t="shared" si="226"/>
        <v>5.0000000000000009</v>
      </c>
      <c r="N174" s="10">
        <f t="shared" si="226"/>
        <v>5.0000000000000018</v>
      </c>
      <c r="O174" s="10">
        <f t="shared" si="226"/>
        <v>4.9999999999999982</v>
      </c>
      <c r="P174" s="10">
        <f t="shared" si="226"/>
        <v>4.9585621396569746</v>
      </c>
      <c r="Q174" s="54">
        <f t="shared" si="226"/>
        <v>4.9910181605581165</v>
      </c>
      <c r="R174" s="10">
        <f t="shared" si="226"/>
        <v>4.9898406724087447</v>
      </c>
      <c r="S174" s="10">
        <f t="shared" si="226"/>
        <v>4.9902341729899238</v>
      </c>
      <c r="T174" s="10">
        <f t="shared" si="226"/>
        <v>4.9999999999999991</v>
      </c>
      <c r="U174" s="10">
        <f t="shared" ref="U174:BK174" si="227">U173+U80+U81+U83+U120</f>
        <v>4.9999999999999964</v>
      </c>
      <c r="V174" s="10">
        <f t="shared" si="227"/>
        <v>4.9738181031526087</v>
      </c>
      <c r="W174" s="10">
        <f t="shared" si="227"/>
        <v>4.9689048217892822</v>
      </c>
      <c r="X174" s="10">
        <f t="shared" si="227"/>
        <v>5.0000000000000018</v>
      </c>
      <c r="Y174" s="54">
        <f t="shared" si="227"/>
        <v>4.3387911308775386</v>
      </c>
      <c r="Z174" s="10">
        <f t="shared" si="227"/>
        <v>4.848631896012737</v>
      </c>
      <c r="AA174" s="54">
        <f t="shared" si="227"/>
        <v>4.7712572947511056</v>
      </c>
      <c r="AB174" s="10">
        <f t="shared" si="227"/>
        <v>4.9999999999999956</v>
      </c>
      <c r="AC174" s="10">
        <f t="shared" si="227"/>
        <v>4.9999999999999991</v>
      </c>
      <c r="AD174" s="10">
        <f t="shared" si="227"/>
        <v>4.9999999999999982</v>
      </c>
      <c r="AE174" s="10">
        <f t="shared" si="227"/>
        <v>4.9999999999999982</v>
      </c>
      <c r="AF174" s="10">
        <f t="shared" si="227"/>
        <v>5</v>
      </c>
      <c r="AG174" s="10">
        <f t="shared" si="227"/>
        <v>5.0000000000000018</v>
      </c>
      <c r="AH174" s="10">
        <f t="shared" si="227"/>
        <v>5.0000000000000018</v>
      </c>
      <c r="AI174" s="10">
        <f t="shared" si="227"/>
        <v>4.9999999999999973</v>
      </c>
      <c r="AJ174" s="10">
        <f t="shared" si="227"/>
        <v>5.0000000000000027</v>
      </c>
      <c r="AK174" s="10">
        <f t="shared" si="227"/>
        <v>5.0000000000000018</v>
      </c>
      <c r="AL174" s="10">
        <f t="shared" si="227"/>
        <v>5.0000000000000009</v>
      </c>
      <c r="AM174" s="10">
        <f t="shared" si="227"/>
        <v>5</v>
      </c>
      <c r="AN174" s="10">
        <f t="shared" si="227"/>
        <v>5.0000000000000036</v>
      </c>
      <c r="AO174" s="10">
        <f t="shared" si="227"/>
        <v>4.9999999999999991</v>
      </c>
      <c r="AP174" s="10">
        <f t="shared" si="227"/>
        <v>4.9999999999999982</v>
      </c>
      <c r="AQ174" s="10">
        <f t="shared" si="227"/>
        <v>5</v>
      </c>
      <c r="AR174" s="10">
        <f t="shared" si="227"/>
        <v>4.9999999999999982</v>
      </c>
      <c r="AS174" s="10">
        <f t="shared" si="227"/>
        <v>5.0000000000000009</v>
      </c>
      <c r="AT174" s="10">
        <f t="shared" si="227"/>
        <v>5</v>
      </c>
      <c r="AU174" s="54">
        <f t="shared" si="227"/>
        <v>4.9999999999999982</v>
      </c>
      <c r="AV174" s="10">
        <f t="shared" si="227"/>
        <v>5.0000000000000018</v>
      </c>
      <c r="AW174" s="10">
        <f t="shared" si="227"/>
        <v>5</v>
      </c>
      <c r="AX174" s="10">
        <f t="shared" si="227"/>
        <v>4.5726769514522232</v>
      </c>
      <c r="AY174" s="10">
        <f t="shared" si="227"/>
        <v>5.0000000000000027</v>
      </c>
      <c r="AZ174" s="10">
        <f t="shared" si="227"/>
        <v>4.9999999999999982</v>
      </c>
      <c r="BA174" s="10">
        <f t="shared" si="227"/>
        <v>4.9999999999999982</v>
      </c>
      <c r="BB174" s="10">
        <f t="shared" si="227"/>
        <v>4.9999999999999982</v>
      </c>
      <c r="BC174" s="10">
        <f t="shared" si="227"/>
        <v>4.9999999999999982</v>
      </c>
      <c r="BD174" s="10">
        <f t="shared" si="227"/>
        <v>5</v>
      </c>
      <c r="BE174" s="10">
        <f t="shared" si="227"/>
        <v>4.9999999999999991</v>
      </c>
      <c r="BF174" s="10">
        <f t="shared" si="227"/>
        <v>4.9707126118267411</v>
      </c>
      <c r="BG174" s="10">
        <f t="shared" si="227"/>
        <v>5.0000000000000027</v>
      </c>
      <c r="BH174" s="10">
        <f t="shared" si="227"/>
        <v>4.9627215479160895</v>
      </c>
      <c r="BI174" s="10">
        <f t="shared" si="227"/>
        <v>4.9982229732372758</v>
      </c>
      <c r="BJ174" s="10">
        <f t="shared" si="227"/>
        <v>4.9313557640767751</v>
      </c>
      <c r="BK174" s="10" t="e">
        <f t="shared" si="227"/>
        <v>#DIV/0!</v>
      </c>
      <c r="BL174" s="10"/>
      <c r="BM174" s="10">
        <f t="shared" si="226"/>
        <v>5</v>
      </c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</row>
    <row r="176" spans="1:78">
      <c r="A176" s="1" t="s">
        <v>238</v>
      </c>
    </row>
    <row r="177" spans="1:74">
      <c r="A177" s="1" t="s">
        <v>239</v>
      </c>
    </row>
    <row r="178" spans="1:74">
      <c r="A178" s="1" t="s">
        <v>240</v>
      </c>
    </row>
    <row r="179" spans="1:74">
      <c r="A179" s="1" t="s">
        <v>241</v>
      </c>
      <c r="B179" s="54">
        <f>B88+B124</f>
        <v>1.890863965469016</v>
      </c>
      <c r="C179" s="2">
        <f t="shared" ref="C179:BM179" si="228">C88+C124</f>
        <v>1.9920254129678527</v>
      </c>
      <c r="D179" s="2">
        <f t="shared" si="228"/>
        <v>1.9881442458158376</v>
      </c>
      <c r="E179" s="2">
        <f t="shared" si="228"/>
        <v>1.9368312823781291</v>
      </c>
      <c r="F179" s="2">
        <f t="shared" si="228"/>
        <v>2.0217176549101841</v>
      </c>
      <c r="G179" s="2">
        <f t="shared" si="228"/>
        <v>2.0993676643389989</v>
      </c>
      <c r="H179" s="2">
        <f t="shared" si="228"/>
        <v>2.053326299540835</v>
      </c>
      <c r="I179" s="2">
        <f t="shared" si="228"/>
        <v>2.0103533950259984</v>
      </c>
      <c r="J179" s="2">
        <f t="shared" si="228"/>
        <v>1.8979156849641883</v>
      </c>
      <c r="K179" s="54">
        <f t="shared" si="228"/>
        <v>1.9601366760830246</v>
      </c>
      <c r="L179" s="2">
        <f t="shared" si="228"/>
        <v>1.9703152940671012</v>
      </c>
      <c r="M179" s="2">
        <f t="shared" si="228"/>
        <v>2.0326224135591029</v>
      </c>
      <c r="N179" s="2">
        <f t="shared" si="228"/>
        <v>1.888068266093367</v>
      </c>
      <c r="O179" s="2">
        <f t="shared" si="228"/>
        <v>2.0663743441370568</v>
      </c>
      <c r="P179" s="2">
        <f t="shared" si="228"/>
        <v>2.2368569830381748</v>
      </c>
      <c r="Q179" s="54">
        <f t="shared" si="228"/>
        <v>2.1123254729616403</v>
      </c>
      <c r="R179" s="2">
        <f t="shared" si="228"/>
        <v>2.2928790284006499</v>
      </c>
      <c r="S179" s="2">
        <f t="shared" si="228"/>
        <v>2.2874916128696117</v>
      </c>
      <c r="T179" s="2">
        <f t="shared" si="228"/>
        <v>2.3461464865857891</v>
      </c>
      <c r="U179" s="2">
        <f t="shared" ref="U179:BK179" si="229">U88+U124</f>
        <v>2.3090608470721441</v>
      </c>
      <c r="V179" s="2">
        <f t="shared" si="229"/>
        <v>2.3431037020811405</v>
      </c>
      <c r="W179" s="2">
        <f t="shared" si="229"/>
        <v>2.2005807063675813</v>
      </c>
      <c r="X179" s="2">
        <f t="shared" si="229"/>
        <v>2.2610888535646501</v>
      </c>
      <c r="Y179" s="54">
        <f t="shared" si="229"/>
        <v>2.8754452460984701</v>
      </c>
      <c r="Z179" s="2">
        <f t="shared" si="229"/>
        <v>2.3776030766485716</v>
      </c>
      <c r="AA179" s="54">
        <f t="shared" si="229"/>
        <v>2.3574205230751746</v>
      </c>
      <c r="AB179" s="2">
        <f t="shared" si="229"/>
        <v>2.2305743696933913</v>
      </c>
      <c r="AC179" s="2">
        <f t="shared" si="229"/>
        <v>2.2490586774662646</v>
      </c>
      <c r="AD179" s="2">
        <f t="shared" si="229"/>
        <v>2.3445389716265082</v>
      </c>
      <c r="AE179" s="2">
        <f t="shared" si="229"/>
        <v>2.3129980035315896</v>
      </c>
      <c r="AF179" s="2">
        <f t="shared" si="229"/>
        <v>2.3165801270792032</v>
      </c>
      <c r="AG179" s="2">
        <f t="shared" si="229"/>
        <v>2.3202492267757777</v>
      </c>
      <c r="AH179" s="2">
        <f t="shared" si="229"/>
        <v>2.2689811602630869</v>
      </c>
      <c r="AI179" s="2">
        <f t="shared" si="229"/>
        <v>2.3172911435716887</v>
      </c>
      <c r="AJ179" s="2">
        <f t="shared" si="229"/>
        <v>2.2518781964712784</v>
      </c>
      <c r="AK179" s="2">
        <f t="shared" si="229"/>
        <v>2.2005444554530484</v>
      </c>
      <c r="AL179" s="2">
        <f t="shared" si="229"/>
        <v>2.211959103740575</v>
      </c>
      <c r="AM179" s="2">
        <f t="shared" si="229"/>
        <v>2.162819513485299</v>
      </c>
      <c r="AN179" s="2">
        <f t="shared" si="229"/>
        <v>2.1386712445552787</v>
      </c>
      <c r="AO179" s="2">
        <f t="shared" si="229"/>
        <v>2.1880558608262839</v>
      </c>
      <c r="AP179" s="2">
        <f t="shared" si="229"/>
        <v>2.2333515575329632</v>
      </c>
      <c r="AQ179" s="2">
        <f t="shared" si="229"/>
        <v>2.1477315018177516</v>
      </c>
      <c r="AR179" s="2">
        <f t="shared" si="229"/>
        <v>2.2406613827421</v>
      </c>
      <c r="AS179" s="2">
        <f t="shared" si="229"/>
        <v>2.2461036790797948</v>
      </c>
      <c r="AT179" s="2">
        <f t="shared" si="229"/>
        <v>2.2068870289093687</v>
      </c>
      <c r="AU179" s="54">
        <f t="shared" si="229"/>
        <v>2.1473515357635558</v>
      </c>
      <c r="AV179" s="2">
        <f t="shared" si="229"/>
        <v>2.1859064129203079</v>
      </c>
      <c r="AW179" s="2">
        <f t="shared" si="229"/>
        <v>2.292598606351981</v>
      </c>
      <c r="AX179" s="2">
        <f t="shared" si="229"/>
        <v>2.5392100680860525</v>
      </c>
      <c r="AY179" s="2">
        <f t="shared" si="229"/>
        <v>2.2075463547804262</v>
      </c>
      <c r="AZ179" s="2">
        <f t="shared" si="229"/>
        <v>2.2140291267410399</v>
      </c>
      <c r="BA179" s="2">
        <f t="shared" si="229"/>
        <v>2.4023661364688444</v>
      </c>
      <c r="BB179" s="2">
        <f t="shared" si="229"/>
        <v>2.3629915382001738</v>
      </c>
      <c r="BC179" s="2">
        <f t="shared" si="229"/>
        <v>2.4576278620322838</v>
      </c>
      <c r="BD179" s="2">
        <f t="shared" si="229"/>
        <v>2.3946573051143867</v>
      </c>
      <c r="BE179" s="2">
        <f t="shared" si="229"/>
        <v>2.4287996311704823</v>
      </c>
      <c r="BF179" s="2">
        <f t="shared" si="229"/>
        <v>2.4130496461336826</v>
      </c>
      <c r="BG179" s="2">
        <f t="shared" si="229"/>
        <v>2.4049119436910353</v>
      </c>
      <c r="BH179" s="2">
        <f t="shared" si="229"/>
        <v>2.3796121036029305</v>
      </c>
      <c r="BI179" s="2">
        <f t="shared" si="229"/>
        <v>2.3552338224263245</v>
      </c>
      <c r="BJ179" s="2">
        <f t="shared" si="229"/>
        <v>2.4515728413336721</v>
      </c>
      <c r="BK179" s="2" t="e">
        <f t="shared" si="229"/>
        <v>#DIV/0!</v>
      </c>
      <c r="BM179" s="2">
        <f t="shared" si="228"/>
        <v>1.9992486378835266</v>
      </c>
    </row>
    <row r="180" spans="1:74">
      <c r="A180" s="1" t="s">
        <v>181</v>
      </c>
      <c r="B180" s="54">
        <f>B124</f>
        <v>0.22379370718648167</v>
      </c>
      <c r="C180" s="2">
        <f t="shared" ref="C180:BM180" si="230">C124</f>
        <v>0.33210858276082794</v>
      </c>
      <c r="D180" s="2">
        <f t="shared" si="230"/>
        <v>0.33011259092867695</v>
      </c>
      <c r="E180" s="2">
        <f t="shared" si="230"/>
        <v>0.3360062319221031</v>
      </c>
      <c r="F180" s="2">
        <f t="shared" si="230"/>
        <v>0.30613820754677873</v>
      </c>
      <c r="G180" s="2">
        <f t="shared" si="230"/>
        <v>0.36779621151885405</v>
      </c>
      <c r="H180" s="2">
        <f t="shared" si="230"/>
        <v>0.31413088384655136</v>
      </c>
      <c r="I180" s="2">
        <f t="shared" si="230"/>
        <v>0.3155802674329819</v>
      </c>
      <c r="J180" s="2">
        <f t="shared" si="230"/>
        <v>0.28736652449526734</v>
      </c>
      <c r="K180" s="54">
        <f t="shared" si="230"/>
        <v>0.24475920734763992</v>
      </c>
      <c r="L180" s="2">
        <f t="shared" si="230"/>
        <v>0.33224200508858054</v>
      </c>
      <c r="M180" s="2">
        <f t="shared" si="230"/>
        <v>0.32429753073050804</v>
      </c>
      <c r="N180" s="2">
        <f t="shared" si="230"/>
        <v>0.25518293662039265</v>
      </c>
      <c r="O180" s="2">
        <f t="shared" si="230"/>
        <v>0.35948748988068763</v>
      </c>
      <c r="P180" s="2">
        <f t="shared" si="230"/>
        <v>0.29735147415977925</v>
      </c>
      <c r="Q180" s="54">
        <f t="shared" si="230"/>
        <v>0.15533301326710633</v>
      </c>
      <c r="R180" s="2">
        <f t="shared" si="230"/>
        <v>0.38286556599658494</v>
      </c>
      <c r="S180" s="2">
        <f t="shared" si="230"/>
        <v>0.36577879467416097</v>
      </c>
      <c r="T180" s="2">
        <f t="shared" si="230"/>
        <v>0.41429658758801191</v>
      </c>
      <c r="U180" s="2">
        <f t="shared" ref="U180:BK180" si="231">U124</f>
        <v>0.39518445445519779</v>
      </c>
      <c r="V180" s="2">
        <f t="shared" si="231"/>
        <v>0.40245150957246961</v>
      </c>
      <c r="W180" s="2">
        <f t="shared" si="231"/>
        <v>0.26496037674828771</v>
      </c>
      <c r="X180" s="2">
        <f t="shared" si="231"/>
        <v>0.36947287651563265</v>
      </c>
      <c r="Y180" s="54">
        <f t="shared" si="231"/>
        <v>0.26011162183794945</v>
      </c>
      <c r="Z180" s="2">
        <f t="shared" si="231"/>
        <v>0.2944066673535537</v>
      </c>
      <c r="AA180" s="54">
        <f t="shared" si="231"/>
        <v>0.23016333783260756</v>
      </c>
      <c r="AB180" s="2">
        <f t="shared" si="231"/>
        <v>0.45852264533455656</v>
      </c>
      <c r="AC180" s="2">
        <f t="shared" si="231"/>
        <v>0.48413451867362972</v>
      </c>
      <c r="AD180" s="2">
        <f t="shared" si="231"/>
        <v>0.53698183272251643</v>
      </c>
      <c r="AE180" s="2">
        <f t="shared" si="231"/>
        <v>0.55931898517677359</v>
      </c>
      <c r="AF180" s="2">
        <f t="shared" si="231"/>
        <v>0.55189131135577685</v>
      </c>
      <c r="AG180" s="2">
        <f t="shared" si="231"/>
        <v>0.55566714123243999</v>
      </c>
      <c r="AH180" s="2">
        <f t="shared" si="231"/>
        <v>0.53183904570820684</v>
      </c>
      <c r="AI180" s="2">
        <f t="shared" si="231"/>
        <v>0.53419556172557692</v>
      </c>
      <c r="AJ180" s="2">
        <f t="shared" si="231"/>
        <v>0.52036332832179422</v>
      </c>
      <c r="AK180" s="2">
        <f t="shared" si="231"/>
        <v>0.45656242452261209</v>
      </c>
      <c r="AL180" s="2">
        <f t="shared" si="231"/>
        <v>0.48236019233165528</v>
      </c>
      <c r="AM180" s="2">
        <f t="shared" si="231"/>
        <v>0.45709938434694242</v>
      </c>
      <c r="AN180" s="2">
        <f t="shared" si="231"/>
        <v>0.44721458286652938</v>
      </c>
      <c r="AO180" s="2">
        <f t="shared" si="231"/>
        <v>0.47292217628753652</v>
      </c>
      <c r="AP180" s="2">
        <f t="shared" si="231"/>
        <v>0.34153617151366367</v>
      </c>
      <c r="AQ180" s="2">
        <f t="shared" si="231"/>
        <v>0.27809625267818922</v>
      </c>
      <c r="AR180" s="2">
        <f t="shared" si="231"/>
        <v>0.33969004692854216</v>
      </c>
      <c r="AS180" s="2">
        <f t="shared" si="231"/>
        <v>0.35761682964006175</v>
      </c>
      <c r="AT180" s="2">
        <f t="shared" si="231"/>
        <v>0.36147277686187607</v>
      </c>
      <c r="AU180" s="54">
        <f t="shared" si="231"/>
        <v>0.26672442253330214</v>
      </c>
      <c r="AV180" s="2">
        <f t="shared" si="231"/>
        <v>0.34668596929669904</v>
      </c>
      <c r="AW180" s="2">
        <f t="shared" si="231"/>
        <v>0.39693429717729034</v>
      </c>
      <c r="AX180" s="2">
        <f t="shared" si="231"/>
        <v>0.20322895926269463</v>
      </c>
      <c r="AY180" s="2">
        <f t="shared" si="231"/>
        <v>0.35402691256995428</v>
      </c>
      <c r="AZ180" s="2">
        <f t="shared" si="231"/>
        <v>0.33361854022518667</v>
      </c>
      <c r="BA180" s="2">
        <f t="shared" si="231"/>
        <v>0.48683190593160952</v>
      </c>
      <c r="BB180" s="2">
        <f t="shared" si="231"/>
        <v>0.47776646432426906</v>
      </c>
      <c r="BC180" s="2">
        <f t="shared" si="231"/>
        <v>0.52488353941354737</v>
      </c>
      <c r="BD180" s="2">
        <f t="shared" si="231"/>
        <v>0.48432817266320216</v>
      </c>
      <c r="BE180" s="2">
        <f t="shared" si="231"/>
        <v>0.51969877278028487</v>
      </c>
      <c r="BF180" s="2">
        <f t="shared" si="231"/>
        <v>0.53990379869697669</v>
      </c>
      <c r="BG180" s="2">
        <f t="shared" si="231"/>
        <v>0.56323415325038795</v>
      </c>
      <c r="BH180" s="2">
        <f t="shared" si="231"/>
        <v>0.49871518042138763</v>
      </c>
      <c r="BI180" s="2">
        <f t="shared" si="231"/>
        <v>0.50306840160153521</v>
      </c>
      <c r="BJ180" s="2">
        <f t="shared" si="231"/>
        <v>0.51097009538801852</v>
      </c>
      <c r="BK180" s="2" t="e">
        <f t="shared" si="231"/>
        <v>#DIV/0!</v>
      </c>
      <c r="BM180" s="2">
        <f t="shared" si="230"/>
        <v>0.31574306953676096</v>
      </c>
    </row>
    <row r="181" spans="1:74">
      <c r="A181" s="1" t="s">
        <v>158</v>
      </c>
      <c r="B181" s="54">
        <f>B126</f>
        <v>0.26920634771618701</v>
      </c>
      <c r="C181" s="2">
        <f t="shared" ref="C181:BM181" si="232">C126</f>
        <v>0.35838541997917162</v>
      </c>
      <c r="D181" s="2">
        <f t="shared" si="232"/>
        <v>0.38063583401465806</v>
      </c>
      <c r="E181" s="2">
        <f t="shared" si="232"/>
        <v>0.38365711771274746</v>
      </c>
      <c r="F181" s="2">
        <f t="shared" si="232"/>
        <v>0.37003032855762008</v>
      </c>
      <c r="G181" s="2">
        <f t="shared" si="232"/>
        <v>0.41679479681382325</v>
      </c>
      <c r="H181" s="2">
        <f t="shared" si="232"/>
        <v>0.35359234664059969</v>
      </c>
      <c r="I181" s="2">
        <f t="shared" si="232"/>
        <v>0.35851421376510295</v>
      </c>
      <c r="J181" s="2">
        <f t="shared" si="232"/>
        <v>0.31727082894280656</v>
      </c>
      <c r="K181" s="54">
        <f t="shared" si="232"/>
        <v>0.29803994312536375</v>
      </c>
      <c r="L181" s="2">
        <f t="shared" si="232"/>
        <v>0.35829677123181192</v>
      </c>
      <c r="M181" s="2">
        <f t="shared" si="232"/>
        <v>0.36569316596325052</v>
      </c>
      <c r="N181" s="2">
        <f t="shared" si="232"/>
        <v>0.30196369371618559</v>
      </c>
      <c r="O181" s="2">
        <f t="shared" si="232"/>
        <v>0.40631511166133727</v>
      </c>
      <c r="P181" s="2">
        <f t="shared" si="232"/>
        <v>0.43632759156563772</v>
      </c>
      <c r="Q181" s="54">
        <f t="shared" si="232"/>
        <v>0.20326247196042324</v>
      </c>
      <c r="R181" s="2">
        <f t="shared" si="232"/>
        <v>0.57126986810800773</v>
      </c>
      <c r="S181" s="2">
        <f t="shared" si="232"/>
        <v>0.55978254669059702</v>
      </c>
      <c r="T181" s="2">
        <f t="shared" si="232"/>
        <v>0.59343184036093355</v>
      </c>
      <c r="U181" s="2">
        <f t="shared" ref="U181:BK181" si="233">U126</f>
        <v>0.58908169934085386</v>
      </c>
      <c r="V181" s="2">
        <f t="shared" si="233"/>
        <v>0.60695102436298853</v>
      </c>
      <c r="W181" s="2">
        <f t="shared" si="233"/>
        <v>0.39884116655638557</v>
      </c>
      <c r="X181" s="2">
        <f t="shared" si="233"/>
        <v>0.51416634221712343</v>
      </c>
      <c r="Y181" s="54">
        <f t="shared" si="233"/>
        <v>0.38858199127583326</v>
      </c>
      <c r="Z181" s="2">
        <f t="shared" si="233"/>
        <v>0.42505236466308283</v>
      </c>
      <c r="AA181" s="54">
        <f t="shared" si="233"/>
        <v>0.23762382724650166</v>
      </c>
      <c r="AB181" s="2">
        <f t="shared" si="233"/>
        <v>0.47712853484541817</v>
      </c>
      <c r="AC181" s="2">
        <f t="shared" si="233"/>
        <v>0.51205420037861948</v>
      </c>
      <c r="AD181" s="2">
        <f t="shared" si="233"/>
        <v>0.56322796299793865</v>
      </c>
      <c r="AE181" s="2">
        <f t="shared" si="233"/>
        <v>0.58560716108618749</v>
      </c>
      <c r="AF181" s="2">
        <f t="shared" si="233"/>
        <v>0.57440353810413214</v>
      </c>
      <c r="AG181" s="2">
        <f t="shared" si="233"/>
        <v>0.58190638938253691</v>
      </c>
      <c r="AH181" s="2">
        <f t="shared" si="233"/>
        <v>0.55405937650423986</v>
      </c>
      <c r="AI181" s="2">
        <f t="shared" si="233"/>
        <v>0.56819470045778786</v>
      </c>
      <c r="AJ181" s="2">
        <f t="shared" si="233"/>
        <v>0.54283354446712195</v>
      </c>
      <c r="AK181" s="2">
        <f t="shared" si="233"/>
        <v>0.54112522156089682</v>
      </c>
      <c r="AL181" s="2">
        <f t="shared" si="233"/>
        <v>0.54270776981969782</v>
      </c>
      <c r="AM181" s="2">
        <f t="shared" si="233"/>
        <v>0.52809784373084057</v>
      </c>
      <c r="AN181" s="2">
        <f t="shared" si="233"/>
        <v>0.51679070603529809</v>
      </c>
      <c r="AO181" s="2">
        <f t="shared" si="233"/>
        <v>0.52547719683225758</v>
      </c>
      <c r="AP181" s="2">
        <f t="shared" si="233"/>
        <v>0.36637295768178824</v>
      </c>
      <c r="AQ181" s="2">
        <f t="shared" si="233"/>
        <v>0.3123731875417004</v>
      </c>
      <c r="AR181" s="2">
        <f t="shared" si="233"/>
        <v>0.36834076920337466</v>
      </c>
      <c r="AS181" s="2">
        <f t="shared" si="233"/>
        <v>0.38815730235940116</v>
      </c>
      <c r="AT181" s="2">
        <f t="shared" si="233"/>
        <v>0.36916895046536702</v>
      </c>
      <c r="AU181" s="54">
        <f t="shared" si="233"/>
        <v>0.29724141121878489</v>
      </c>
      <c r="AV181" s="2">
        <f t="shared" si="233"/>
        <v>0.37348523500679676</v>
      </c>
      <c r="AW181" s="2">
        <f t="shared" si="233"/>
        <v>0.42981390256382745</v>
      </c>
      <c r="AX181" s="2">
        <f t="shared" si="233"/>
        <v>0.21679654463712517</v>
      </c>
      <c r="AY181" s="2">
        <f t="shared" si="233"/>
        <v>0.36940606291641309</v>
      </c>
      <c r="AZ181" s="2">
        <f t="shared" si="233"/>
        <v>0.3660391075194056</v>
      </c>
      <c r="BA181" s="2">
        <f t="shared" si="233"/>
        <v>0.49442174449850818</v>
      </c>
      <c r="BB181" s="2">
        <f t="shared" si="233"/>
        <v>0.48346356748219854</v>
      </c>
      <c r="BC181" s="2">
        <f t="shared" si="233"/>
        <v>0.53260581399799989</v>
      </c>
      <c r="BD181" s="2">
        <f t="shared" si="233"/>
        <v>0.49765189063591286</v>
      </c>
      <c r="BE181" s="2">
        <f t="shared" si="233"/>
        <v>0.53674692184692852</v>
      </c>
      <c r="BF181" s="2">
        <f t="shared" si="233"/>
        <v>0.5572225974292877</v>
      </c>
      <c r="BG181" s="2">
        <f t="shared" si="233"/>
        <v>0.59030586578424327</v>
      </c>
      <c r="BH181" s="2">
        <f t="shared" si="233"/>
        <v>0.51404113625523706</v>
      </c>
      <c r="BI181" s="2">
        <f t="shared" si="233"/>
        <v>0.5127407520317373</v>
      </c>
      <c r="BJ181" s="2">
        <f t="shared" si="233"/>
        <v>0.53411461480841815</v>
      </c>
      <c r="BK181" s="2" t="e">
        <f t="shared" si="233"/>
        <v>#DIV/0!</v>
      </c>
      <c r="BM181" s="2">
        <f t="shared" si="232"/>
        <v>0.36137962102387</v>
      </c>
    </row>
    <row r="182" spans="1:74">
      <c r="A182" s="1" t="s">
        <v>242</v>
      </c>
      <c r="B182" s="54">
        <f>B121</f>
        <v>0.66828306511617508</v>
      </c>
      <c r="C182" s="2">
        <f t="shared" ref="C182:BM182" si="234">C121</f>
        <v>0.68305315612460538</v>
      </c>
      <c r="D182" s="2">
        <f t="shared" si="234"/>
        <v>0.64950637392652899</v>
      </c>
      <c r="E182" s="2">
        <f t="shared" si="234"/>
        <v>0.6462639398321629</v>
      </c>
      <c r="F182" s="2">
        <f t="shared" si="234"/>
        <v>0.66238595239615949</v>
      </c>
      <c r="G182" s="2">
        <f t="shared" si="234"/>
        <v>0.64448908001985417</v>
      </c>
      <c r="H182" s="2">
        <f t="shared" si="234"/>
        <v>0.6719035485598297</v>
      </c>
      <c r="I182" s="2">
        <f t="shared" si="234"/>
        <v>0.66229736065472888</v>
      </c>
      <c r="J182" s="2">
        <f t="shared" si="234"/>
        <v>0.67459046529320044</v>
      </c>
      <c r="K182" s="54">
        <f t="shared" si="234"/>
        <v>0.62895429277836323</v>
      </c>
      <c r="L182" s="2">
        <f t="shared" si="234"/>
        <v>0.67586543954367173</v>
      </c>
      <c r="M182" s="2">
        <f t="shared" si="234"/>
        <v>0.66144733277396239</v>
      </c>
      <c r="N182" s="2">
        <f t="shared" si="234"/>
        <v>0.65431364973148609</v>
      </c>
      <c r="O182" s="2">
        <f t="shared" si="234"/>
        <v>0.65085710479473224</v>
      </c>
      <c r="P182" s="2">
        <f t="shared" si="234"/>
        <v>0.67218827284552718</v>
      </c>
      <c r="Q182" s="54">
        <f t="shared" si="234"/>
        <v>0.78439130761921505</v>
      </c>
      <c r="R182" s="2">
        <f t="shared" si="234"/>
        <v>0.64449632322814066</v>
      </c>
      <c r="S182" s="2">
        <f t="shared" si="234"/>
        <v>0.64506412647043654</v>
      </c>
      <c r="T182" s="2">
        <f t="shared" si="234"/>
        <v>0.64052427678882518</v>
      </c>
      <c r="U182" s="2">
        <f t="shared" ref="U182:BK182" si="235">U121</f>
        <v>0.6271911713569448</v>
      </c>
      <c r="V182" s="2">
        <f t="shared" si="235"/>
        <v>0.63200382155288215</v>
      </c>
      <c r="W182" s="2">
        <f t="shared" si="235"/>
        <v>0.65282550721961219</v>
      </c>
      <c r="X182" s="2">
        <f t="shared" si="235"/>
        <v>0.66252893480156294</v>
      </c>
      <c r="Y182" s="54">
        <f t="shared" si="235"/>
        <v>0.53178509403680707</v>
      </c>
      <c r="Z182" s="2">
        <f t="shared" si="235"/>
        <v>0.64420282717017463</v>
      </c>
      <c r="AA182" s="54">
        <f t="shared" si="235"/>
        <v>0.70684336748859355</v>
      </c>
      <c r="AB182" s="2">
        <f t="shared" si="235"/>
        <v>0.68547068482814766</v>
      </c>
      <c r="AC182" s="2">
        <f t="shared" si="235"/>
        <v>0.6974224101797305</v>
      </c>
      <c r="AD182" s="2">
        <f t="shared" si="235"/>
        <v>0.68212728453474347</v>
      </c>
      <c r="AE182" s="2">
        <f t="shared" si="235"/>
        <v>0.66684483356436874</v>
      </c>
      <c r="AF182" s="2">
        <f t="shared" si="235"/>
        <v>0.67695929785934228</v>
      </c>
      <c r="AG182" s="2">
        <f t="shared" si="235"/>
        <v>0.66523559392698439</v>
      </c>
      <c r="AH182" s="2">
        <f t="shared" si="235"/>
        <v>0.67816645025898015</v>
      </c>
      <c r="AI182" s="2">
        <f t="shared" si="235"/>
        <v>0.67079900822293781</v>
      </c>
      <c r="AJ182" s="2">
        <f t="shared" si="235"/>
        <v>0.68373963412648286</v>
      </c>
      <c r="AK182" s="2">
        <f t="shared" si="235"/>
        <v>0.64541035820982395</v>
      </c>
      <c r="AL182" s="2">
        <f t="shared" si="235"/>
        <v>0.64351974603104933</v>
      </c>
      <c r="AM182" s="2">
        <f t="shared" si="235"/>
        <v>0.65519614113207558</v>
      </c>
      <c r="AN182" s="2">
        <f t="shared" si="235"/>
        <v>0.65269943670392216</v>
      </c>
      <c r="AO182" s="2">
        <f t="shared" si="235"/>
        <v>0.65968446958886329</v>
      </c>
      <c r="AP182" s="2">
        <f t="shared" si="235"/>
        <v>0.54713889055199738</v>
      </c>
      <c r="AQ182" s="2">
        <f t="shared" si="235"/>
        <v>0.55413462655548174</v>
      </c>
      <c r="AR182" s="2">
        <f t="shared" si="235"/>
        <v>0.54923730327596376</v>
      </c>
      <c r="AS182" s="2">
        <f t="shared" si="235"/>
        <v>0.53777623398898899</v>
      </c>
      <c r="AT182" s="2">
        <f t="shared" si="235"/>
        <v>0.53943487396040102</v>
      </c>
      <c r="AU182" s="54">
        <f t="shared" si="235"/>
        <v>0.57900422966678211</v>
      </c>
      <c r="AV182" s="2">
        <f t="shared" si="235"/>
        <v>0.53435592737970627</v>
      </c>
      <c r="AW182" s="2">
        <f t="shared" si="235"/>
        <v>0.5329901605814501</v>
      </c>
      <c r="AX182" s="2">
        <f t="shared" si="235"/>
        <v>0.51248091589821121</v>
      </c>
      <c r="AY182" s="2">
        <f t="shared" si="235"/>
        <v>0.53431548713322718</v>
      </c>
      <c r="AZ182" s="2">
        <f t="shared" si="235"/>
        <v>0.55128437800508123</v>
      </c>
      <c r="BA182" s="2">
        <f t="shared" si="235"/>
        <v>0.63013796479247708</v>
      </c>
      <c r="BB182" s="2">
        <f t="shared" si="235"/>
        <v>0.62624170295551407</v>
      </c>
      <c r="BC182" s="2">
        <f t="shared" si="235"/>
        <v>0.6282577058009543</v>
      </c>
      <c r="BD182" s="2">
        <f t="shared" si="235"/>
        <v>0.62171620602799227</v>
      </c>
      <c r="BE182" s="2">
        <f t="shared" si="235"/>
        <v>0.62755739922735476</v>
      </c>
      <c r="BF182" s="2">
        <f t="shared" si="235"/>
        <v>0.55510181557309202</v>
      </c>
      <c r="BG182" s="2">
        <f t="shared" si="235"/>
        <v>0.54909406767254987</v>
      </c>
      <c r="BH182" s="2">
        <f t="shared" si="235"/>
        <v>0.5681122496379748</v>
      </c>
      <c r="BI182" s="2">
        <f t="shared" si="235"/>
        <v>0.54722140205829095</v>
      </c>
      <c r="BJ182" s="2">
        <f t="shared" si="235"/>
        <v>0.56946460476586214</v>
      </c>
      <c r="BK182" s="2" t="e">
        <f t="shared" si="235"/>
        <v>#DIV/0!</v>
      </c>
      <c r="BM182" s="2">
        <f t="shared" si="234"/>
        <v>0.66109775164816209</v>
      </c>
    </row>
    <row r="183" spans="1:74">
      <c r="A183" s="1" t="s">
        <v>116</v>
      </c>
      <c r="B183" s="54">
        <f>B79</f>
        <v>6.888881389674685</v>
      </c>
      <c r="C183" s="2">
        <f t="shared" ref="C183:BM184" si="236">C79</f>
        <v>6.6537517918413478</v>
      </c>
      <c r="D183" s="2">
        <f t="shared" si="236"/>
        <v>6.5983886192329928</v>
      </c>
      <c r="E183" s="2">
        <f t="shared" si="236"/>
        <v>6.5791628771074233</v>
      </c>
      <c r="F183" s="2">
        <f t="shared" si="236"/>
        <v>6.6219983422837068</v>
      </c>
      <c r="G183" s="2">
        <f t="shared" si="236"/>
        <v>6.5345865666159604</v>
      </c>
      <c r="H183" s="2">
        <f t="shared" si="236"/>
        <v>6.6232503484307799</v>
      </c>
      <c r="I183" s="2">
        <f t="shared" si="236"/>
        <v>6.6336060310000233</v>
      </c>
      <c r="J183" s="2">
        <f t="shared" si="236"/>
        <v>6.7327148571763171</v>
      </c>
      <c r="K183" s="54">
        <f t="shared" si="236"/>
        <v>6.8363050580848812</v>
      </c>
      <c r="L183" s="2">
        <f t="shared" si="236"/>
        <v>6.6573378253218376</v>
      </c>
      <c r="M183" s="2">
        <f t="shared" si="236"/>
        <v>6.5981434286514125</v>
      </c>
      <c r="N183" s="2">
        <f t="shared" si="236"/>
        <v>6.7069403261761433</v>
      </c>
      <c r="O183" s="2">
        <f t="shared" si="236"/>
        <v>6.5066107512541693</v>
      </c>
      <c r="P183" s="2">
        <f t="shared" si="236"/>
        <v>6.6713821822677604</v>
      </c>
      <c r="Q183" s="54">
        <f t="shared" si="236"/>
        <v>7.3833943013557262</v>
      </c>
      <c r="R183" s="2">
        <f t="shared" si="236"/>
        <v>6.4018444637724485</v>
      </c>
      <c r="S183" s="2">
        <f t="shared" si="236"/>
        <v>6.3952420550326829</v>
      </c>
      <c r="T183" s="2">
        <f t="shared" si="236"/>
        <v>6.365840085255341</v>
      </c>
      <c r="U183" s="2">
        <f t="shared" ref="U183:BK183" si="237">U79</f>
        <v>6.3316042149937521</v>
      </c>
      <c r="V183" s="2">
        <f t="shared" si="237"/>
        <v>6.3273312126250705</v>
      </c>
      <c r="W183" s="2">
        <f t="shared" si="237"/>
        <v>6.8296679631501371</v>
      </c>
      <c r="X183" s="2">
        <f t="shared" si="237"/>
        <v>6.6074796132151734</v>
      </c>
      <c r="Y183" s="54">
        <f t="shared" si="237"/>
        <v>6.1676634898124201</v>
      </c>
      <c r="Z183" s="2">
        <f t="shared" si="237"/>
        <v>6.5934931272420672</v>
      </c>
      <c r="AA183" s="54">
        <f t="shared" si="237"/>
        <v>6.8707438103459797</v>
      </c>
      <c r="AB183" s="2">
        <f t="shared" si="237"/>
        <v>6.4572996869539381</v>
      </c>
      <c r="AC183" s="2">
        <f t="shared" si="237"/>
        <v>6.3532890081669393</v>
      </c>
      <c r="AD183" s="2">
        <f t="shared" si="237"/>
        <v>6.2917789408143836</v>
      </c>
      <c r="AE183" s="2">
        <f t="shared" si="237"/>
        <v>6.2562245727921351</v>
      </c>
      <c r="AF183" s="2">
        <f t="shared" si="237"/>
        <v>6.3328939727911093</v>
      </c>
      <c r="AG183" s="2">
        <f t="shared" si="237"/>
        <v>6.2254793689406478</v>
      </c>
      <c r="AH183" s="2">
        <f t="shared" si="237"/>
        <v>6.2972336109899283</v>
      </c>
      <c r="AI183" s="2">
        <f t="shared" si="237"/>
        <v>6.2577165347105996</v>
      </c>
      <c r="AJ183" s="2">
        <f t="shared" si="237"/>
        <v>6.3519033646599645</v>
      </c>
      <c r="AK183" s="2">
        <f t="shared" si="237"/>
        <v>6.4702362761836474</v>
      </c>
      <c r="AL183" s="2">
        <f t="shared" si="237"/>
        <v>6.4326501043074265</v>
      </c>
      <c r="AM183" s="2">
        <f t="shared" si="237"/>
        <v>6.4843408190472189</v>
      </c>
      <c r="AN183" s="2">
        <f t="shared" si="237"/>
        <v>6.5143859710113388</v>
      </c>
      <c r="AO183" s="2">
        <f t="shared" si="237"/>
        <v>6.5141339388640853</v>
      </c>
      <c r="AP183" s="2">
        <f t="shared" si="237"/>
        <v>6.6335912779232604</v>
      </c>
      <c r="AQ183" s="2">
        <f t="shared" si="237"/>
        <v>6.6522052305352641</v>
      </c>
      <c r="AR183" s="2">
        <f t="shared" si="237"/>
        <v>6.6154746633165713</v>
      </c>
      <c r="AS183" s="2">
        <f t="shared" si="237"/>
        <v>6.585642084118029</v>
      </c>
      <c r="AT183" s="2">
        <f t="shared" si="237"/>
        <v>6.6232215778834513</v>
      </c>
      <c r="AU183" s="54">
        <f t="shared" si="237"/>
        <v>6.8422461349311545</v>
      </c>
      <c r="AV183" s="2">
        <f t="shared" si="237"/>
        <v>6.5954543925788451</v>
      </c>
      <c r="AW183" s="2">
        <f t="shared" si="237"/>
        <v>6.5077127003463175</v>
      </c>
      <c r="AX183" s="2">
        <f t="shared" si="237"/>
        <v>6.574797803414679</v>
      </c>
      <c r="AY183" s="2">
        <f t="shared" si="237"/>
        <v>6.6024723621735228</v>
      </c>
      <c r="AZ183" s="2">
        <f t="shared" si="237"/>
        <v>6.6261677029448762</v>
      </c>
      <c r="BA183" s="2">
        <f t="shared" si="237"/>
        <v>6.4320470974950155</v>
      </c>
      <c r="BB183" s="2">
        <f t="shared" si="237"/>
        <v>6.4210088706117405</v>
      </c>
      <c r="BC183" s="2">
        <f t="shared" si="237"/>
        <v>6.4020136995848427</v>
      </c>
      <c r="BD183" s="2">
        <f t="shared" si="237"/>
        <v>6.3954416525154514</v>
      </c>
      <c r="BE183" s="2">
        <f t="shared" si="237"/>
        <v>6.3587590799094595</v>
      </c>
      <c r="BF183" s="2">
        <f t="shared" si="237"/>
        <v>6.2982909448854763</v>
      </c>
      <c r="BG183" s="2">
        <f t="shared" si="237"/>
        <v>6.2547204044390385</v>
      </c>
      <c r="BH183" s="2">
        <f t="shared" si="237"/>
        <v>6.4009142794567779</v>
      </c>
      <c r="BI183" s="2">
        <f t="shared" si="237"/>
        <v>6.293628418240516</v>
      </c>
      <c r="BJ183" s="2">
        <f t="shared" si="237"/>
        <v>6.3232730084593394</v>
      </c>
      <c r="BK183" s="2" t="e">
        <f t="shared" si="237"/>
        <v>#DIV/0!</v>
      </c>
      <c r="BM183" s="2">
        <f t="shared" si="236"/>
        <v>6.64161096575637</v>
      </c>
    </row>
    <row r="184" spans="1:74">
      <c r="A184" s="1" t="s">
        <v>117</v>
      </c>
      <c r="B184" s="54">
        <f>B80</f>
        <v>4.9078617143179674E-2</v>
      </c>
      <c r="C184" s="2">
        <f t="shared" si="236"/>
        <v>6.0852983027104735E-2</v>
      </c>
      <c r="D184" s="2">
        <f t="shared" si="236"/>
        <v>6.287477435355926E-2</v>
      </c>
      <c r="E184" s="2">
        <f t="shared" si="236"/>
        <v>4.3819730717814552E-2</v>
      </c>
      <c r="F184" s="2">
        <f t="shared" si="236"/>
        <v>6.8680619810004756E-2</v>
      </c>
      <c r="G184" s="2">
        <f t="shared" si="236"/>
        <v>6.4433587806294823E-2</v>
      </c>
      <c r="H184" s="2">
        <f t="shared" si="236"/>
        <v>6.6462896391906903E-2</v>
      </c>
      <c r="I184" s="2">
        <f t="shared" si="236"/>
        <v>6.7123862005124338E-2</v>
      </c>
      <c r="J184" s="2">
        <f t="shared" si="236"/>
        <v>5.3986345615203171E-2</v>
      </c>
      <c r="K184" s="54">
        <f t="shared" si="236"/>
        <v>5.118388579509333E-2</v>
      </c>
      <c r="L184" s="2">
        <f t="shared" si="236"/>
        <v>6.5824038191285447E-2</v>
      </c>
      <c r="M184" s="2">
        <f t="shared" si="236"/>
        <v>6.9878978510704723E-2</v>
      </c>
      <c r="N184" s="2">
        <f t="shared" si="236"/>
        <v>6.9493136686030729E-2</v>
      </c>
      <c r="O184" s="2">
        <f t="shared" si="236"/>
        <v>8.7229485799058482E-2</v>
      </c>
      <c r="P184" s="2">
        <f t="shared" si="236"/>
        <v>0.15374889721480331</v>
      </c>
      <c r="Q184" s="54">
        <f t="shared" si="236"/>
        <v>8.6934726271501919E-3</v>
      </c>
      <c r="R184" s="2">
        <f t="shared" si="236"/>
        <v>0.18285942637893657</v>
      </c>
      <c r="S184" s="2">
        <f t="shared" si="236"/>
        <v>0.17827120892241383</v>
      </c>
      <c r="T184" s="2">
        <f t="shared" si="236"/>
        <v>0.17861768626889102</v>
      </c>
      <c r="U184" s="2">
        <f t="shared" ref="U184:BK184" si="238">U80</f>
        <v>0.17541070351401283</v>
      </c>
      <c r="V184" s="2">
        <f t="shared" si="238"/>
        <v>0.16786838043446628</v>
      </c>
      <c r="W184" s="2">
        <f t="shared" si="238"/>
        <v>9.5832601823121727E-2</v>
      </c>
      <c r="X184" s="2">
        <f t="shared" si="238"/>
        <v>9.6517909256712095E-2</v>
      </c>
      <c r="Y184" s="54">
        <f t="shared" si="238"/>
        <v>0.14015996593970387</v>
      </c>
      <c r="Z184" s="2">
        <f t="shared" si="238"/>
        <v>7.031705893717978E-2</v>
      </c>
      <c r="AA184" s="54">
        <f t="shared" si="238"/>
        <v>0.10115079076434912</v>
      </c>
      <c r="AB184" s="2">
        <f t="shared" si="238"/>
        <v>0.24568157283528724</v>
      </c>
      <c r="AC184" s="2">
        <f t="shared" si="238"/>
        <v>0.27211031961589011</v>
      </c>
      <c r="AD184" s="2">
        <f t="shared" si="238"/>
        <v>0.27849147994371698</v>
      </c>
      <c r="AE184" s="2">
        <f t="shared" si="238"/>
        <v>0.28004451152275028</v>
      </c>
      <c r="AF184" s="2">
        <f t="shared" si="238"/>
        <v>0.27647212136199756</v>
      </c>
      <c r="AG184" s="2">
        <f t="shared" si="238"/>
        <v>0.29057164188243895</v>
      </c>
      <c r="AH184" s="2">
        <f t="shared" si="238"/>
        <v>0.25542256344951797</v>
      </c>
      <c r="AI184" s="2">
        <f t="shared" si="238"/>
        <v>0.29283655348179422</v>
      </c>
      <c r="AJ184" s="2">
        <f t="shared" si="238"/>
        <v>0.2605026434970853</v>
      </c>
      <c r="AK184" s="2">
        <f t="shared" si="238"/>
        <v>8.5296591856138873E-2</v>
      </c>
      <c r="AL184" s="2">
        <f t="shared" si="238"/>
        <v>0.10005216715105303</v>
      </c>
      <c r="AM184" s="2">
        <f t="shared" si="238"/>
        <v>8.5908089086544071E-2</v>
      </c>
      <c r="AN184" s="2">
        <f t="shared" si="238"/>
        <v>7.9811436217545093E-2</v>
      </c>
      <c r="AO184" s="2">
        <f t="shared" si="238"/>
        <v>8.6302804611655765E-2</v>
      </c>
      <c r="AP184" s="2">
        <f t="shared" si="238"/>
        <v>9.7981802908562773E-2</v>
      </c>
      <c r="AQ184" s="2">
        <f t="shared" si="238"/>
        <v>0.10664173623055262</v>
      </c>
      <c r="AR184" s="2">
        <f t="shared" si="238"/>
        <v>9.9083449048582239E-2</v>
      </c>
      <c r="AS184" s="2">
        <f t="shared" si="238"/>
        <v>0.10914444439365294</v>
      </c>
      <c r="AT184" s="2">
        <f t="shared" si="238"/>
        <v>0.1054804419129272</v>
      </c>
      <c r="AU184" s="54">
        <f t="shared" si="238"/>
        <v>6.7460114224948534E-2</v>
      </c>
      <c r="AV184" s="2">
        <f t="shared" si="238"/>
        <v>0.11848361216635805</v>
      </c>
      <c r="AW184" s="2">
        <f t="shared" si="238"/>
        <v>9.120986019029069E-2</v>
      </c>
      <c r="AX184" s="2">
        <f t="shared" si="238"/>
        <v>8.6834487048652792E-2</v>
      </c>
      <c r="AY184" s="2">
        <f t="shared" si="238"/>
        <v>0.11785549132836971</v>
      </c>
      <c r="AZ184" s="2">
        <f t="shared" si="238"/>
        <v>0.1034269323413896</v>
      </c>
      <c r="BA184" s="2">
        <f t="shared" si="238"/>
        <v>0.16666060099698968</v>
      </c>
      <c r="BB184" s="2">
        <f t="shared" si="238"/>
        <v>0.16903782799128214</v>
      </c>
      <c r="BC184" s="2">
        <f t="shared" si="238"/>
        <v>0.16387845788983352</v>
      </c>
      <c r="BD184" s="2">
        <f t="shared" si="238"/>
        <v>0.15483908828718967</v>
      </c>
      <c r="BE184" s="2">
        <f t="shared" si="238"/>
        <v>0.17419410385491732</v>
      </c>
      <c r="BF184" s="2">
        <f t="shared" si="238"/>
        <v>0.20645279723698612</v>
      </c>
      <c r="BG184" s="2">
        <f t="shared" si="238"/>
        <v>0.21315887938891262</v>
      </c>
      <c r="BH184" s="2">
        <f t="shared" si="238"/>
        <v>0.17730107259788258</v>
      </c>
      <c r="BI184" s="2">
        <f t="shared" si="238"/>
        <v>0.22578824941671743</v>
      </c>
      <c r="BJ184" s="2">
        <f t="shared" si="238"/>
        <v>0.22056813908214409</v>
      </c>
      <c r="BK184" s="2" t="e">
        <f t="shared" si="238"/>
        <v>#DIV/0!</v>
      </c>
      <c r="BM184" s="2">
        <f t="shared" si="236"/>
        <v>6.0460496156192436E-2</v>
      </c>
    </row>
    <row r="185" spans="1:74">
      <c r="A185" s="1" t="s">
        <v>243</v>
      </c>
      <c r="B185" s="54">
        <f>B83/(B83+B119)</f>
        <v>0.23527829162285024</v>
      </c>
      <c r="C185" s="2">
        <f t="shared" ref="C185:BM185" si="239">C83/(C83+C119)</f>
        <v>0.19721595547099871</v>
      </c>
      <c r="D185" s="2">
        <f t="shared" si="239"/>
        <v>0.20242476130725637</v>
      </c>
      <c r="E185" s="2">
        <f t="shared" si="239"/>
        <v>0.20442804877191936</v>
      </c>
      <c r="F185" s="2">
        <f t="shared" si="239"/>
        <v>0.19905029472547625</v>
      </c>
      <c r="G185" s="2">
        <f t="shared" si="239"/>
        <v>0.19808080370589934</v>
      </c>
      <c r="H185" s="2">
        <f t="shared" si="239"/>
        <v>0.19434091435503159</v>
      </c>
      <c r="I185" s="2">
        <f t="shared" si="239"/>
        <v>0.20174019725370476</v>
      </c>
      <c r="J185" s="2">
        <f t="shared" si="239"/>
        <v>0.21063114294066962</v>
      </c>
      <c r="K185" s="54">
        <f t="shared" si="239"/>
        <v>0.24492657541349705</v>
      </c>
      <c r="L185" s="2">
        <f t="shared" si="239"/>
        <v>0.19956953343362852</v>
      </c>
      <c r="M185" s="2">
        <f t="shared" si="239"/>
        <v>0.19641930124650053</v>
      </c>
      <c r="N185" s="2">
        <f t="shared" si="239"/>
        <v>0.2085683706831585</v>
      </c>
      <c r="O185" s="2">
        <f t="shared" si="239"/>
        <v>0.1919968502384751</v>
      </c>
      <c r="P185" s="2">
        <f t="shared" si="239"/>
        <v>0.20146934634591479</v>
      </c>
      <c r="Q185" s="54">
        <f t="shared" si="239"/>
        <v>0.282600489680569</v>
      </c>
      <c r="R185" s="2">
        <f t="shared" si="239"/>
        <v>0.18282031729419998</v>
      </c>
      <c r="S185" s="2">
        <f t="shared" si="239"/>
        <v>0.18149677801904329</v>
      </c>
      <c r="T185" s="2">
        <f t="shared" si="239"/>
        <v>0.18330307838606394</v>
      </c>
      <c r="U185" s="2">
        <f t="shared" ref="U185:BK185" si="240">U83/(U83+U119)</f>
        <v>0.18231959078717638</v>
      </c>
      <c r="V185" s="2">
        <f t="shared" si="240"/>
        <v>0.17875595864033089</v>
      </c>
      <c r="W185" s="2">
        <f t="shared" si="240"/>
        <v>0.23603399476363268</v>
      </c>
      <c r="X185" s="2">
        <f t="shared" si="240"/>
        <v>0.20117938763935347</v>
      </c>
      <c r="Y185" s="54">
        <f t="shared" si="240"/>
        <v>0.15948341693208951</v>
      </c>
      <c r="Z185" s="2">
        <f t="shared" si="240"/>
        <v>0.19551503659066929</v>
      </c>
      <c r="AA185" s="54">
        <f t="shared" si="240"/>
        <v>0.20020521277587969</v>
      </c>
      <c r="AB185" s="2">
        <f t="shared" si="240"/>
        <v>0.17343638310562851</v>
      </c>
      <c r="AC185" s="2">
        <f t="shared" si="240"/>
        <v>0.15279377653758275</v>
      </c>
      <c r="AD185" s="2">
        <f t="shared" si="240"/>
        <v>0.15501583329071222</v>
      </c>
      <c r="AE185" s="2">
        <f t="shared" si="240"/>
        <v>0.15988094941515441</v>
      </c>
      <c r="AF185" s="2">
        <f t="shared" si="240"/>
        <v>0.16217542571172003</v>
      </c>
      <c r="AG185" s="2">
        <f t="shared" si="240"/>
        <v>0.15572386271283836</v>
      </c>
      <c r="AH185" s="2">
        <f t="shared" si="240"/>
        <v>0.15727627131407718</v>
      </c>
      <c r="AI185" s="2">
        <f t="shared" si="240"/>
        <v>0.15585687512364002</v>
      </c>
      <c r="AJ185" s="2">
        <f t="shared" si="240"/>
        <v>0.16024026001361327</v>
      </c>
      <c r="AK185" s="2">
        <f t="shared" si="240"/>
        <v>0.18205367373741604</v>
      </c>
      <c r="AL185" s="2">
        <f t="shared" si="240"/>
        <v>0.17771058639894258</v>
      </c>
      <c r="AM185" s="2">
        <f t="shared" si="240"/>
        <v>0.18084438055953692</v>
      </c>
      <c r="AN185" s="2">
        <f t="shared" si="240"/>
        <v>0.18424458434134841</v>
      </c>
      <c r="AO185" s="2">
        <f t="shared" si="240"/>
        <v>0.18061939439580374</v>
      </c>
      <c r="AP185" s="2">
        <f t="shared" si="240"/>
        <v>0.25037371341226733</v>
      </c>
      <c r="AQ185" s="2">
        <f t="shared" si="240"/>
        <v>0.24722987463035342</v>
      </c>
      <c r="AR185" s="2">
        <f t="shared" si="240"/>
        <v>0.24478131780069906</v>
      </c>
      <c r="AS185" s="2">
        <f t="shared" si="240"/>
        <v>0.24640971872784895</v>
      </c>
      <c r="AT185" s="2">
        <f t="shared" si="240"/>
        <v>0.25110136454478577</v>
      </c>
      <c r="AU185" s="54">
        <f t="shared" si="240"/>
        <v>0.27407195058678419</v>
      </c>
      <c r="AV185" s="2">
        <f t="shared" si="240"/>
        <v>0.24944664117553128</v>
      </c>
      <c r="AW185" s="2">
        <f t="shared" si="240"/>
        <v>0.23808733117253073</v>
      </c>
      <c r="AX185" s="2">
        <f t="shared" si="240"/>
        <v>0.22152777257522679</v>
      </c>
      <c r="AY185" s="2">
        <f t="shared" si="240"/>
        <v>0.24885183500562486</v>
      </c>
      <c r="AZ185" s="2">
        <f t="shared" si="240"/>
        <v>0.24665382205527484</v>
      </c>
      <c r="BA185" s="2">
        <f t="shared" si="240"/>
        <v>0.1904739698040962</v>
      </c>
      <c r="BB185" s="2">
        <f t="shared" si="240"/>
        <v>0.19003955693931465</v>
      </c>
      <c r="BC185" s="2">
        <f t="shared" si="240"/>
        <v>0.19146034768448383</v>
      </c>
      <c r="BD185" s="2">
        <f t="shared" si="240"/>
        <v>0.1889530181192611</v>
      </c>
      <c r="BE185" s="2">
        <f t="shared" si="240"/>
        <v>0.18679258073984278</v>
      </c>
      <c r="BF185" s="2">
        <f t="shared" si="240"/>
        <v>0.20130107624268065</v>
      </c>
      <c r="BG185" s="2">
        <f t="shared" si="240"/>
        <v>0.20073850942708643</v>
      </c>
      <c r="BH185" s="2">
        <f t="shared" si="240"/>
        <v>0.2073052071873874</v>
      </c>
      <c r="BI185" s="2">
        <f t="shared" si="240"/>
        <v>0.20359793294330999</v>
      </c>
      <c r="BJ185" s="2">
        <f t="shared" si="240"/>
        <v>0.19818904147261232</v>
      </c>
      <c r="BK185" s="2" t="e">
        <f t="shared" si="240"/>
        <v>#DIV/0!</v>
      </c>
      <c r="BM185" s="2">
        <f t="shared" si="239"/>
        <v>0.20341384239209279</v>
      </c>
    </row>
    <row r="186" spans="1:74" s="45" customFormat="1">
      <c r="A186" s="43" t="s">
        <v>172</v>
      </c>
      <c r="B186" s="59"/>
      <c r="C186" s="44"/>
      <c r="D186" s="44"/>
      <c r="E186" s="44"/>
      <c r="F186" s="44"/>
      <c r="G186" s="44"/>
      <c r="H186" s="44"/>
      <c r="I186" s="44"/>
      <c r="J186" s="44"/>
      <c r="K186" s="59"/>
      <c r="L186" s="44"/>
      <c r="M186" s="44"/>
      <c r="N186" s="44"/>
      <c r="O186" s="44"/>
      <c r="P186" s="44"/>
      <c r="Q186" s="59"/>
      <c r="R186" s="44"/>
      <c r="S186" s="44"/>
      <c r="T186" s="44"/>
      <c r="U186" s="44"/>
      <c r="V186" s="44"/>
      <c r="W186" s="44"/>
      <c r="X186" s="44"/>
      <c r="Y186" s="59"/>
      <c r="Z186" s="44"/>
      <c r="AA186" s="59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59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3"/>
      <c r="BU186" s="43"/>
      <c r="BV186" s="43"/>
    </row>
    <row r="187" spans="1:74">
      <c r="A187" s="48" t="s">
        <v>171</v>
      </c>
      <c r="B187" s="54">
        <f>IF(B179&lt;1.34, 1, 0)</f>
        <v>0</v>
      </c>
      <c r="C187" s="2">
        <f t="shared" ref="C187:BM187" si="241">IF(C179&lt;1.34, 1, 0)</f>
        <v>0</v>
      </c>
      <c r="D187" s="2">
        <f t="shared" si="241"/>
        <v>0</v>
      </c>
      <c r="E187" s="2">
        <f t="shared" si="241"/>
        <v>0</v>
      </c>
      <c r="F187" s="2">
        <f t="shared" si="241"/>
        <v>0</v>
      </c>
      <c r="G187" s="2">
        <f t="shared" si="241"/>
        <v>0</v>
      </c>
      <c r="H187" s="2">
        <f t="shared" si="241"/>
        <v>0</v>
      </c>
      <c r="I187" s="2">
        <f t="shared" si="241"/>
        <v>0</v>
      </c>
      <c r="J187" s="2">
        <f t="shared" si="241"/>
        <v>0</v>
      </c>
      <c r="K187" s="54">
        <f t="shared" si="241"/>
        <v>0</v>
      </c>
      <c r="L187" s="2">
        <f t="shared" si="241"/>
        <v>0</v>
      </c>
      <c r="M187" s="2">
        <f t="shared" si="241"/>
        <v>0</v>
      </c>
      <c r="N187" s="2">
        <f t="shared" si="241"/>
        <v>0</v>
      </c>
      <c r="O187" s="2">
        <f t="shared" si="241"/>
        <v>0</v>
      </c>
      <c r="P187" s="2">
        <f t="shared" si="241"/>
        <v>0</v>
      </c>
      <c r="Q187" s="54">
        <f t="shared" si="241"/>
        <v>0</v>
      </c>
      <c r="R187" s="2">
        <f t="shared" si="241"/>
        <v>0</v>
      </c>
      <c r="S187" s="2">
        <f t="shared" si="241"/>
        <v>0</v>
      </c>
      <c r="T187" s="2">
        <f t="shared" si="241"/>
        <v>0</v>
      </c>
      <c r="U187" s="2">
        <f t="shared" ref="U187:BK187" si="242">IF(U179&lt;1.34, 1, 0)</f>
        <v>0</v>
      </c>
      <c r="V187" s="2">
        <f t="shared" si="242"/>
        <v>0</v>
      </c>
      <c r="W187" s="2">
        <f t="shared" si="242"/>
        <v>0</v>
      </c>
      <c r="X187" s="2">
        <f t="shared" si="242"/>
        <v>0</v>
      </c>
      <c r="Y187" s="54">
        <f t="shared" si="242"/>
        <v>0</v>
      </c>
      <c r="Z187" s="2">
        <f t="shared" si="242"/>
        <v>0</v>
      </c>
      <c r="AA187" s="54">
        <f t="shared" si="242"/>
        <v>0</v>
      </c>
      <c r="AB187" s="2">
        <f t="shared" si="242"/>
        <v>0</v>
      </c>
      <c r="AC187" s="2">
        <f t="shared" si="242"/>
        <v>0</v>
      </c>
      <c r="AD187" s="2">
        <f t="shared" si="242"/>
        <v>0</v>
      </c>
      <c r="AE187" s="2">
        <f t="shared" si="242"/>
        <v>0</v>
      </c>
      <c r="AF187" s="2">
        <f t="shared" si="242"/>
        <v>0</v>
      </c>
      <c r="AG187" s="2">
        <f t="shared" si="242"/>
        <v>0</v>
      </c>
      <c r="AH187" s="2">
        <f t="shared" si="242"/>
        <v>0</v>
      </c>
      <c r="AI187" s="2">
        <f t="shared" si="242"/>
        <v>0</v>
      </c>
      <c r="AJ187" s="2">
        <f t="shared" si="242"/>
        <v>0</v>
      </c>
      <c r="AK187" s="2">
        <f t="shared" si="242"/>
        <v>0</v>
      </c>
      <c r="AL187" s="2">
        <f t="shared" si="242"/>
        <v>0</v>
      </c>
      <c r="AM187" s="2">
        <f t="shared" si="242"/>
        <v>0</v>
      </c>
      <c r="AN187" s="2">
        <f t="shared" si="242"/>
        <v>0</v>
      </c>
      <c r="AO187" s="2">
        <f t="shared" si="242"/>
        <v>0</v>
      </c>
      <c r="AP187" s="2">
        <f t="shared" si="242"/>
        <v>0</v>
      </c>
      <c r="AQ187" s="2">
        <f t="shared" si="242"/>
        <v>0</v>
      </c>
      <c r="AR187" s="2">
        <f t="shared" si="242"/>
        <v>0</v>
      </c>
      <c r="AS187" s="2">
        <f t="shared" si="242"/>
        <v>0</v>
      </c>
      <c r="AT187" s="2">
        <f t="shared" si="242"/>
        <v>0</v>
      </c>
      <c r="AU187" s="54">
        <f t="shared" si="242"/>
        <v>0</v>
      </c>
      <c r="AV187" s="2">
        <f t="shared" si="242"/>
        <v>0</v>
      </c>
      <c r="AW187" s="2">
        <f t="shared" si="242"/>
        <v>0</v>
      </c>
      <c r="AX187" s="2">
        <f t="shared" si="242"/>
        <v>0</v>
      </c>
      <c r="AY187" s="2">
        <f t="shared" si="242"/>
        <v>0</v>
      </c>
      <c r="AZ187" s="2">
        <f t="shared" si="242"/>
        <v>0</v>
      </c>
      <c r="BA187" s="2">
        <f t="shared" si="242"/>
        <v>0</v>
      </c>
      <c r="BB187" s="2">
        <f t="shared" si="242"/>
        <v>0</v>
      </c>
      <c r="BC187" s="2">
        <f t="shared" si="242"/>
        <v>0</v>
      </c>
      <c r="BD187" s="2">
        <f t="shared" si="242"/>
        <v>0</v>
      </c>
      <c r="BE187" s="2">
        <f t="shared" si="242"/>
        <v>0</v>
      </c>
      <c r="BF187" s="2">
        <f t="shared" si="242"/>
        <v>0</v>
      </c>
      <c r="BG187" s="2">
        <f t="shared" si="242"/>
        <v>0</v>
      </c>
      <c r="BH187" s="2">
        <f t="shared" si="242"/>
        <v>0</v>
      </c>
      <c r="BI187" s="2">
        <f t="shared" si="242"/>
        <v>0</v>
      </c>
      <c r="BJ187" s="2">
        <f t="shared" si="242"/>
        <v>0</v>
      </c>
      <c r="BK187" s="2" t="e">
        <f t="shared" si="242"/>
        <v>#DIV/0!</v>
      </c>
      <c r="BM187" s="2">
        <f t="shared" si="241"/>
        <v>0</v>
      </c>
    </row>
    <row r="188" spans="1:74">
      <c r="A188" s="1" t="s">
        <v>183</v>
      </c>
      <c r="B188" s="54">
        <f>IF(B187=1, IF(B183&gt;=7, 1, 0), 0)</f>
        <v>0</v>
      </c>
      <c r="C188" s="2">
        <f t="shared" ref="C188:BM188" si="243">IF(C187=1, IF(C183&gt;=7, 1, 0), 0)</f>
        <v>0</v>
      </c>
      <c r="D188" s="2">
        <f t="shared" si="243"/>
        <v>0</v>
      </c>
      <c r="E188" s="2">
        <f t="shared" si="243"/>
        <v>0</v>
      </c>
      <c r="F188" s="2">
        <f t="shared" si="243"/>
        <v>0</v>
      </c>
      <c r="G188" s="2">
        <f t="shared" si="243"/>
        <v>0</v>
      </c>
      <c r="H188" s="2">
        <f t="shared" si="243"/>
        <v>0</v>
      </c>
      <c r="I188" s="2">
        <f t="shared" si="243"/>
        <v>0</v>
      </c>
      <c r="J188" s="2">
        <f t="shared" si="243"/>
        <v>0</v>
      </c>
      <c r="K188" s="54">
        <f t="shared" si="243"/>
        <v>0</v>
      </c>
      <c r="L188" s="2">
        <f t="shared" si="243"/>
        <v>0</v>
      </c>
      <c r="M188" s="2">
        <f t="shared" si="243"/>
        <v>0</v>
      </c>
      <c r="N188" s="2">
        <f t="shared" si="243"/>
        <v>0</v>
      </c>
      <c r="O188" s="2">
        <f t="shared" si="243"/>
        <v>0</v>
      </c>
      <c r="P188" s="2">
        <f t="shared" si="243"/>
        <v>0</v>
      </c>
      <c r="Q188" s="54">
        <f t="shared" si="243"/>
        <v>0</v>
      </c>
      <c r="R188" s="2">
        <f t="shared" si="243"/>
        <v>0</v>
      </c>
      <c r="S188" s="2">
        <f t="shared" si="243"/>
        <v>0</v>
      </c>
      <c r="T188" s="2">
        <f t="shared" si="243"/>
        <v>0</v>
      </c>
      <c r="U188" s="2">
        <f t="shared" ref="U188:BK188" si="244">IF(U187=1, IF(U183&gt;=7, 1, 0), 0)</f>
        <v>0</v>
      </c>
      <c r="V188" s="2">
        <f t="shared" si="244"/>
        <v>0</v>
      </c>
      <c r="W188" s="2">
        <f t="shared" si="244"/>
        <v>0</v>
      </c>
      <c r="X188" s="2">
        <f t="shared" si="244"/>
        <v>0</v>
      </c>
      <c r="Y188" s="54">
        <f t="shared" si="244"/>
        <v>0</v>
      </c>
      <c r="Z188" s="2">
        <f t="shared" si="244"/>
        <v>0</v>
      </c>
      <c r="AA188" s="54">
        <f t="shared" si="244"/>
        <v>0</v>
      </c>
      <c r="AB188" s="2">
        <f t="shared" si="244"/>
        <v>0</v>
      </c>
      <c r="AC188" s="2">
        <f t="shared" si="244"/>
        <v>0</v>
      </c>
      <c r="AD188" s="2">
        <f t="shared" si="244"/>
        <v>0</v>
      </c>
      <c r="AE188" s="2">
        <f t="shared" si="244"/>
        <v>0</v>
      </c>
      <c r="AF188" s="2">
        <f t="shared" si="244"/>
        <v>0</v>
      </c>
      <c r="AG188" s="2">
        <f t="shared" si="244"/>
        <v>0</v>
      </c>
      <c r="AH188" s="2">
        <f t="shared" si="244"/>
        <v>0</v>
      </c>
      <c r="AI188" s="2">
        <f t="shared" si="244"/>
        <v>0</v>
      </c>
      <c r="AJ188" s="2">
        <f t="shared" si="244"/>
        <v>0</v>
      </c>
      <c r="AK188" s="2">
        <f t="shared" si="244"/>
        <v>0</v>
      </c>
      <c r="AL188" s="2">
        <f t="shared" si="244"/>
        <v>0</v>
      </c>
      <c r="AM188" s="2">
        <f t="shared" si="244"/>
        <v>0</v>
      </c>
      <c r="AN188" s="2">
        <f t="shared" si="244"/>
        <v>0</v>
      </c>
      <c r="AO188" s="2">
        <f t="shared" si="244"/>
        <v>0</v>
      </c>
      <c r="AP188" s="2">
        <f t="shared" si="244"/>
        <v>0</v>
      </c>
      <c r="AQ188" s="2">
        <f t="shared" si="244"/>
        <v>0</v>
      </c>
      <c r="AR188" s="2">
        <f t="shared" si="244"/>
        <v>0</v>
      </c>
      <c r="AS188" s="2">
        <f t="shared" si="244"/>
        <v>0</v>
      </c>
      <c r="AT188" s="2">
        <f t="shared" si="244"/>
        <v>0</v>
      </c>
      <c r="AU188" s="54">
        <f t="shared" si="244"/>
        <v>0</v>
      </c>
      <c r="AV188" s="2">
        <f t="shared" si="244"/>
        <v>0</v>
      </c>
      <c r="AW188" s="2">
        <f t="shared" si="244"/>
        <v>0</v>
      </c>
      <c r="AX188" s="2">
        <f t="shared" si="244"/>
        <v>0</v>
      </c>
      <c r="AY188" s="2">
        <f t="shared" si="244"/>
        <v>0</v>
      </c>
      <c r="AZ188" s="2">
        <f t="shared" si="244"/>
        <v>0</v>
      </c>
      <c r="BA188" s="2">
        <f t="shared" si="244"/>
        <v>0</v>
      </c>
      <c r="BB188" s="2">
        <f t="shared" si="244"/>
        <v>0</v>
      </c>
      <c r="BC188" s="2">
        <f t="shared" si="244"/>
        <v>0</v>
      </c>
      <c r="BD188" s="2">
        <f t="shared" si="244"/>
        <v>0</v>
      </c>
      <c r="BE188" s="2">
        <f t="shared" si="244"/>
        <v>0</v>
      </c>
      <c r="BF188" s="2">
        <f t="shared" si="244"/>
        <v>0</v>
      </c>
      <c r="BG188" s="2">
        <f t="shared" si="244"/>
        <v>0</v>
      </c>
      <c r="BH188" s="2">
        <f t="shared" si="244"/>
        <v>0</v>
      </c>
      <c r="BI188" s="2">
        <f t="shared" si="244"/>
        <v>0</v>
      </c>
      <c r="BJ188" s="2">
        <f t="shared" si="244"/>
        <v>0</v>
      </c>
      <c r="BK188" s="2" t="e">
        <f t="shared" si="244"/>
        <v>#DIV/0!</v>
      </c>
      <c r="BM188" s="2">
        <f t="shared" si="243"/>
        <v>0</v>
      </c>
    </row>
    <row r="189" spans="1:74">
      <c r="A189" s="37" t="s">
        <v>184</v>
      </c>
      <c r="B189" s="54">
        <f>IF(B188=1, IF(B182&gt;0.9, 3, IF(B182&gt;0.3, 4, 5)), 0)</f>
        <v>0</v>
      </c>
      <c r="C189" s="2">
        <f t="shared" ref="C189:BM189" si="245">IF(C188=1, IF(C182&gt;0.9, 3, IF(C182&gt;0.3, 4, 5)), 0)</f>
        <v>0</v>
      </c>
      <c r="D189" s="2">
        <f t="shared" si="245"/>
        <v>0</v>
      </c>
      <c r="E189" s="2">
        <f t="shared" si="245"/>
        <v>0</v>
      </c>
      <c r="F189" s="2">
        <f t="shared" si="245"/>
        <v>0</v>
      </c>
      <c r="G189" s="2">
        <f t="shared" si="245"/>
        <v>0</v>
      </c>
      <c r="H189" s="2">
        <f t="shared" si="245"/>
        <v>0</v>
      </c>
      <c r="I189" s="2">
        <f t="shared" si="245"/>
        <v>0</v>
      </c>
      <c r="J189" s="2">
        <f t="shared" si="245"/>
        <v>0</v>
      </c>
      <c r="K189" s="54">
        <f t="shared" si="245"/>
        <v>0</v>
      </c>
      <c r="L189" s="2">
        <f t="shared" si="245"/>
        <v>0</v>
      </c>
      <c r="M189" s="2">
        <f t="shared" si="245"/>
        <v>0</v>
      </c>
      <c r="N189" s="2">
        <f t="shared" si="245"/>
        <v>0</v>
      </c>
      <c r="O189" s="2">
        <f t="shared" si="245"/>
        <v>0</v>
      </c>
      <c r="P189" s="2">
        <f t="shared" si="245"/>
        <v>0</v>
      </c>
      <c r="Q189" s="54">
        <f t="shared" si="245"/>
        <v>0</v>
      </c>
      <c r="R189" s="2">
        <f t="shared" si="245"/>
        <v>0</v>
      </c>
      <c r="S189" s="2">
        <f t="shared" si="245"/>
        <v>0</v>
      </c>
      <c r="T189" s="2">
        <f t="shared" si="245"/>
        <v>0</v>
      </c>
      <c r="U189" s="2">
        <f t="shared" ref="U189:BK189" si="246">IF(U188=1, IF(U182&gt;0.9, 3, IF(U182&gt;0.3, 4, 5)), 0)</f>
        <v>0</v>
      </c>
      <c r="V189" s="2">
        <f t="shared" si="246"/>
        <v>0</v>
      </c>
      <c r="W189" s="2">
        <f t="shared" si="246"/>
        <v>0</v>
      </c>
      <c r="X189" s="2">
        <f t="shared" si="246"/>
        <v>0</v>
      </c>
      <c r="Y189" s="54">
        <f t="shared" si="246"/>
        <v>0</v>
      </c>
      <c r="Z189" s="2">
        <f t="shared" si="246"/>
        <v>0</v>
      </c>
      <c r="AA189" s="54">
        <f t="shared" si="246"/>
        <v>0</v>
      </c>
      <c r="AB189" s="2">
        <f t="shared" si="246"/>
        <v>0</v>
      </c>
      <c r="AC189" s="2">
        <f t="shared" si="246"/>
        <v>0</v>
      </c>
      <c r="AD189" s="2">
        <f t="shared" si="246"/>
        <v>0</v>
      </c>
      <c r="AE189" s="2">
        <f t="shared" si="246"/>
        <v>0</v>
      </c>
      <c r="AF189" s="2">
        <f t="shared" si="246"/>
        <v>0</v>
      </c>
      <c r="AG189" s="2">
        <f t="shared" si="246"/>
        <v>0</v>
      </c>
      <c r="AH189" s="2">
        <f t="shared" si="246"/>
        <v>0</v>
      </c>
      <c r="AI189" s="2">
        <f t="shared" si="246"/>
        <v>0</v>
      </c>
      <c r="AJ189" s="2">
        <f t="shared" si="246"/>
        <v>0</v>
      </c>
      <c r="AK189" s="2">
        <f t="shared" si="246"/>
        <v>0</v>
      </c>
      <c r="AL189" s="2">
        <f t="shared" si="246"/>
        <v>0</v>
      </c>
      <c r="AM189" s="2">
        <f t="shared" si="246"/>
        <v>0</v>
      </c>
      <c r="AN189" s="2">
        <f t="shared" si="246"/>
        <v>0</v>
      </c>
      <c r="AO189" s="2">
        <f t="shared" si="246"/>
        <v>0</v>
      </c>
      <c r="AP189" s="2">
        <f t="shared" si="246"/>
        <v>0</v>
      </c>
      <c r="AQ189" s="2">
        <f t="shared" si="246"/>
        <v>0</v>
      </c>
      <c r="AR189" s="2">
        <f t="shared" si="246"/>
        <v>0</v>
      </c>
      <c r="AS189" s="2">
        <f t="shared" si="246"/>
        <v>0</v>
      </c>
      <c r="AT189" s="2">
        <f t="shared" si="246"/>
        <v>0</v>
      </c>
      <c r="AU189" s="54">
        <f t="shared" si="246"/>
        <v>0</v>
      </c>
      <c r="AV189" s="2">
        <f t="shared" si="246"/>
        <v>0</v>
      </c>
      <c r="AW189" s="2">
        <f t="shared" si="246"/>
        <v>0</v>
      </c>
      <c r="AX189" s="2">
        <f t="shared" si="246"/>
        <v>0</v>
      </c>
      <c r="AY189" s="2">
        <f t="shared" si="246"/>
        <v>0</v>
      </c>
      <c r="AZ189" s="2">
        <f t="shared" si="246"/>
        <v>0</v>
      </c>
      <c r="BA189" s="2">
        <f t="shared" si="246"/>
        <v>0</v>
      </c>
      <c r="BB189" s="2">
        <f t="shared" si="246"/>
        <v>0</v>
      </c>
      <c r="BC189" s="2">
        <f t="shared" si="246"/>
        <v>0</v>
      </c>
      <c r="BD189" s="2">
        <f t="shared" si="246"/>
        <v>0</v>
      </c>
      <c r="BE189" s="2">
        <f t="shared" si="246"/>
        <v>0</v>
      </c>
      <c r="BF189" s="2">
        <f t="shared" si="246"/>
        <v>0</v>
      </c>
      <c r="BG189" s="2">
        <f t="shared" si="246"/>
        <v>0</v>
      </c>
      <c r="BH189" s="2">
        <f t="shared" si="246"/>
        <v>0</v>
      </c>
      <c r="BI189" s="2">
        <f t="shared" si="246"/>
        <v>0</v>
      </c>
      <c r="BJ189" s="2">
        <f t="shared" si="246"/>
        <v>0</v>
      </c>
      <c r="BK189" s="2" t="e">
        <f t="shared" si="246"/>
        <v>#DIV/0!</v>
      </c>
      <c r="BM189" s="2">
        <f t="shared" si="245"/>
        <v>0</v>
      </c>
    </row>
    <row r="190" spans="1:74">
      <c r="A190" s="38" t="s">
        <v>185</v>
      </c>
      <c r="B190" s="54">
        <f>IF(B187=1, IF(B183&lt;7, 1, 0), 0)</f>
        <v>0</v>
      </c>
      <c r="C190" s="2">
        <f t="shared" ref="C190:BM190" si="247">IF(C187=1, IF(C183&lt;7, 1, 0), 0)</f>
        <v>0</v>
      </c>
      <c r="D190" s="2">
        <f t="shared" si="247"/>
        <v>0</v>
      </c>
      <c r="E190" s="2">
        <f t="shared" si="247"/>
        <v>0</v>
      </c>
      <c r="F190" s="2">
        <f t="shared" si="247"/>
        <v>0</v>
      </c>
      <c r="G190" s="2">
        <f t="shared" si="247"/>
        <v>0</v>
      </c>
      <c r="H190" s="2">
        <f t="shared" si="247"/>
        <v>0</v>
      </c>
      <c r="I190" s="2">
        <f t="shared" si="247"/>
        <v>0</v>
      </c>
      <c r="J190" s="2">
        <f t="shared" si="247"/>
        <v>0</v>
      </c>
      <c r="K190" s="54">
        <f t="shared" si="247"/>
        <v>0</v>
      </c>
      <c r="L190" s="2">
        <f t="shared" si="247"/>
        <v>0</v>
      </c>
      <c r="M190" s="2">
        <f t="shared" si="247"/>
        <v>0</v>
      </c>
      <c r="N190" s="2">
        <f t="shared" si="247"/>
        <v>0</v>
      </c>
      <c r="O190" s="2">
        <f t="shared" si="247"/>
        <v>0</v>
      </c>
      <c r="P190" s="2">
        <f t="shared" si="247"/>
        <v>0</v>
      </c>
      <c r="Q190" s="54">
        <f t="shared" si="247"/>
        <v>0</v>
      </c>
      <c r="R190" s="2">
        <f t="shared" si="247"/>
        <v>0</v>
      </c>
      <c r="S190" s="2">
        <f t="shared" si="247"/>
        <v>0</v>
      </c>
      <c r="T190" s="2">
        <f t="shared" si="247"/>
        <v>0</v>
      </c>
      <c r="U190" s="2">
        <f t="shared" ref="U190:BK190" si="248">IF(U187=1, IF(U183&lt;7, 1, 0), 0)</f>
        <v>0</v>
      </c>
      <c r="V190" s="2">
        <f t="shared" si="248"/>
        <v>0</v>
      </c>
      <c r="W190" s="2">
        <f t="shared" si="248"/>
        <v>0</v>
      </c>
      <c r="X190" s="2">
        <f t="shared" si="248"/>
        <v>0</v>
      </c>
      <c r="Y190" s="54">
        <f t="shared" si="248"/>
        <v>0</v>
      </c>
      <c r="Z190" s="2">
        <f t="shared" si="248"/>
        <v>0</v>
      </c>
      <c r="AA190" s="54">
        <f t="shared" si="248"/>
        <v>0</v>
      </c>
      <c r="AB190" s="2">
        <f t="shared" si="248"/>
        <v>0</v>
      </c>
      <c r="AC190" s="2">
        <f t="shared" si="248"/>
        <v>0</v>
      </c>
      <c r="AD190" s="2">
        <f t="shared" si="248"/>
        <v>0</v>
      </c>
      <c r="AE190" s="2">
        <f t="shared" si="248"/>
        <v>0</v>
      </c>
      <c r="AF190" s="2">
        <f t="shared" si="248"/>
        <v>0</v>
      </c>
      <c r="AG190" s="2">
        <f t="shared" si="248"/>
        <v>0</v>
      </c>
      <c r="AH190" s="2">
        <f t="shared" si="248"/>
        <v>0</v>
      </c>
      <c r="AI190" s="2">
        <f t="shared" si="248"/>
        <v>0</v>
      </c>
      <c r="AJ190" s="2">
        <f t="shared" si="248"/>
        <v>0</v>
      </c>
      <c r="AK190" s="2">
        <f t="shared" si="248"/>
        <v>0</v>
      </c>
      <c r="AL190" s="2">
        <f t="shared" si="248"/>
        <v>0</v>
      </c>
      <c r="AM190" s="2">
        <f t="shared" si="248"/>
        <v>0</v>
      </c>
      <c r="AN190" s="2">
        <f t="shared" si="248"/>
        <v>0</v>
      </c>
      <c r="AO190" s="2">
        <f t="shared" si="248"/>
        <v>0</v>
      </c>
      <c r="AP190" s="2">
        <f t="shared" si="248"/>
        <v>0</v>
      </c>
      <c r="AQ190" s="2">
        <f t="shared" si="248"/>
        <v>0</v>
      </c>
      <c r="AR190" s="2">
        <f t="shared" si="248"/>
        <v>0</v>
      </c>
      <c r="AS190" s="2">
        <f t="shared" si="248"/>
        <v>0</v>
      </c>
      <c r="AT190" s="2">
        <f t="shared" si="248"/>
        <v>0</v>
      </c>
      <c r="AU190" s="54">
        <f t="shared" si="248"/>
        <v>0</v>
      </c>
      <c r="AV190" s="2">
        <f t="shared" si="248"/>
        <v>0</v>
      </c>
      <c r="AW190" s="2">
        <f t="shared" si="248"/>
        <v>0</v>
      </c>
      <c r="AX190" s="2">
        <f t="shared" si="248"/>
        <v>0</v>
      </c>
      <c r="AY190" s="2">
        <f t="shared" si="248"/>
        <v>0</v>
      </c>
      <c r="AZ190" s="2">
        <f t="shared" si="248"/>
        <v>0</v>
      </c>
      <c r="BA190" s="2">
        <f t="shared" si="248"/>
        <v>0</v>
      </c>
      <c r="BB190" s="2">
        <f t="shared" si="248"/>
        <v>0</v>
      </c>
      <c r="BC190" s="2">
        <f t="shared" si="248"/>
        <v>0</v>
      </c>
      <c r="BD190" s="2">
        <f t="shared" si="248"/>
        <v>0</v>
      </c>
      <c r="BE190" s="2">
        <f t="shared" si="248"/>
        <v>0</v>
      </c>
      <c r="BF190" s="2">
        <f t="shared" si="248"/>
        <v>0</v>
      </c>
      <c r="BG190" s="2">
        <f t="shared" si="248"/>
        <v>0</v>
      </c>
      <c r="BH190" s="2">
        <f t="shared" si="248"/>
        <v>0</v>
      </c>
      <c r="BI190" s="2">
        <f t="shared" si="248"/>
        <v>0</v>
      </c>
      <c r="BJ190" s="2">
        <f t="shared" si="248"/>
        <v>0</v>
      </c>
      <c r="BK190" s="2" t="e">
        <f t="shared" si="248"/>
        <v>#DIV/0!</v>
      </c>
      <c r="BM190" s="2">
        <f t="shared" si="247"/>
        <v>0</v>
      </c>
    </row>
    <row r="191" spans="1:74">
      <c r="A191" s="37" t="s">
        <v>186</v>
      </c>
      <c r="B191" s="54">
        <f>IF(B190=1, IF(B182&gt;0.9, 6, IF(B182&gt;0.3, 7, 8)), 0)</f>
        <v>0</v>
      </c>
      <c r="C191" s="2">
        <f t="shared" ref="C191:BM191" si="249">IF(C190=1, IF(C182&gt;0.9, 6, IF(C182&gt;0.3, 7, 8)), 0)</f>
        <v>0</v>
      </c>
      <c r="D191" s="2">
        <f t="shared" si="249"/>
        <v>0</v>
      </c>
      <c r="E191" s="2">
        <f t="shared" si="249"/>
        <v>0</v>
      </c>
      <c r="F191" s="2">
        <f t="shared" si="249"/>
        <v>0</v>
      </c>
      <c r="G191" s="2">
        <f t="shared" si="249"/>
        <v>0</v>
      </c>
      <c r="H191" s="2">
        <f t="shared" si="249"/>
        <v>0</v>
      </c>
      <c r="I191" s="2">
        <f t="shared" si="249"/>
        <v>0</v>
      </c>
      <c r="J191" s="2">
        <f t="shared" si="249"/>
        <v>0</v>
      </c>
      <c r="K191" s="54">
        <f t="shared" si="249"/>
        <v>0</v>
      </c>
      <c r="L191" s="2">
        <f t="shared" si="249"/>
        <v>0</v>
      </c>
      <c r="M191" s="2">
        <f t="shared" si="249"/>
        <v>0</v>
      </c>
      <c r="N191" s="2">
        <f t="shared" si="249"/>
        <v>0</v>
      </c>
      <c r="O191" s="2">
        <f t="shared" si="249"/>
        <v>0</v>
      </c>
      <c r="P191" s="2">
        <f t="shared" si="249"/>
        <v>0</v>
      </c>
      <c r="Q191" s="54">
        <f t="shared" si="249"/>
        <v>0</v>
      </c>
      <c r="R191" s="2">
        <f t="shared" si="249"/>
        <v>0</v>
      </c>
      <c r="S191" s="2">
        <f t="shared" si="249"/>
        <v>0</v>
      </c>
      <c r="T191" s="2">
        <f t="shared" si="249"/>
        <v>0</v>
      </c>
      <c r="U191" s="2">
        <f t="shared" ref="U191:BK191" si="250">IF(U190=1, IF(U182&gt;0.9, 6, IF(U182&gt;0.3, 7, 8)), 0)</f>
        <v>0</v>
      </c>
      <c r="V191" s="2">
        <f t="shared" si="250"/>
        <v>0</v>
      </c>
      <c r="W191" s="2">
        <f t="shared" si="250"/>
        <v>0</v>
      </c>
      <c r="X191" s="2">
        <f t="shared" si="250"/>
        <v>0</v>
      </c>
      <c r="Y191" s="54">
        <f t="shared" si="250"/>
        <v>0</v>
      </c>
      <c r="Z191" s="2">
        <f t="shared" si="250"/>
        <v>0</v>
      </c>
      <c r="AA191" s="54">
        <f t="shared" si="250"/>
        <v>0</v>
      </c>
      <c r="AB191" s="2">
        <f t="shared" si="250"/>
        <v>0</v>
      </c>
      <c r="AC191" s="2">
        <f t="shared" si="250"/>
        <v>0</v>
      </c>
      <c r="AD191" s="2">
        <f t="shared" si="250"/>
        <v>0</v>
      </c>
      <c r="AE191" s="2">
        <f t="shared" si="250"/>
        <v>0</v>
      </c>
      <c r="AF191" s="2">
        <f t="shared" si="250"/>
        <v>0</v>
      </c>
      <c r="AG191" s="2">
        <f t="shared" si="250"/>
        <v>0</v>
      </c>
      <c r="AH191" s="2">
        <f t="shared" si="250"/>
        <v>0</v>
      </c>
      <c r="AI191" s="2">
        <f t="shared" si="250"/>
        <v>0</v>
      </c>
      <c r="AJ191" s="2">
        <f t="shared" si="250"/>
        <v>0</v>
      </c>
      <c r="AK191" s="2">
        <f t="shared" si="250"/>
        <v>0</v>
      </c>
      <c r="AL191" s="2">
        <f t="shared" si="250"/>
        <v>0</v>
      </c>
      <c r="AM191" s="2">
        <f t="shared" si="250"/>
        <v>0</v>
      </c>
      <c r="AN191" s="2">
        <f t="shared" si="250"/>
        <v>0</v>
      </c>
      <c r="AO191" s="2">
        <f t="shared" si="250"/>
        <v>0</v>
      </c>
      <c r="AP191" s="2">
        <f t="shared" si="250"/>
        <v>0</v>
      </c>
      <c r="AQ191" s="2">
        <f t="shared" si="250"/>
        <v>0</v>
      </c>
      <c r="AR191" s="2">
        <f t="shared" si="250"/>
        <v>0</v>
      </c>
      <c r="AS191" s="2">
        <f t="shared" si="250"/>
        <v>0</v>
      </c>
      <c r="AT191" s="2">
        <f t="shared" si="250"/>
        <v>0</v>
      </c>
      <c r="AU191" s="54">
        <f t="shared" si="250"/>
        <v>0</v>
      </c>
      <c r="AV191" s="2">
        <f t="shared" si="250"/>
        <v>0</v>
      </c>
      <c r="AW191" s="2">
        <f t="shared" si="250"/>
        <v>0</v>
      </c>
      <c r="AX191" s="2">
        <f t="shared" si="250"/>
        <v>0</v>
      </c>
      <c r="AY191" s="2">
        <f t="shared" si="250"/>
        <v>0</v>
      </c>
      <c r="AZ191" s="2">
        <f t="shared" si="250"/>
        <v>0</v>
      </c>
      <c r="BA191" s="2">
        <f t="shared" si="250"/>
        <v>0</v>
      </c>
      <c r="BB191" s="2">
        <f t="shared" si="250"/>
        <v>0</v>
      </c>
      <c r="BC191" s="2">
        <f t="shared" si="250"/>
        <v>0</v>
      </c>
      <c r="BD191" s="2">
        <f t="shared" si="250"/>
        <v>0</v>
      </c>
      <c r="BE191" s="2">
        <f t="shared" si="250"/>
        <v>0</v>
      </c>
      <c r="BF191" s="2">
        <f t="shared" si="250"/>
        <v>0</v>
      </c>
      <c r="BG191" s="2">
        <f t="shared" si="250"/>
        <v>0</v>
      </c>
      <c r="BH191" s="2">
        <f t="shared" si="250"/>
        <v>0</v>
      </c>
      <c r="BI191" s="2">
        <f t="shared" si="250"/>
        <v>0</v>
      </c>
      <c r="BJ191" s="2">
        <f t="shared" si="250"/>
        <v>0</v>
      </c>
      <c r="BK191" s="2" t="e">
        <f t="shared" si="250"/>
        <v>#DIV/0!</v>
      </c>
      <c r="BM191" s="2">
        <f t="shared" si="249"/>
        <v>0</v>
      </c>
    </row>
    <row r="192" spans="1:74">
      <c r="A192" s="46" t="s">
        <v>254</v>
      </c>
    </row>
    <row r="193" spans="1:65">
      <c r="A193" s="48" t="s">
        <v>182</v>
      </c>
      <c r="B193" s="54">
        <f>IF(B187=0, IF(B180&lt;0.67, 1, 0), 0)</f>
        <v>1</v>
      </c>
      <c r="C193" s="2">
        <f t="shared" ref="C193:BM193" si="251">IF(C187=0, IF(C180&lt;0.67, 1, 0), 0)</f>
        <v>1</v>
      </c>
      <c r="D193" s="2">
        <f t="shared" si="251"/>
        <v>1</v>
      </c>
      <c r="E193" s="2">
        <f t="shared" si="251"/>
        <v>1</v>
      </c>
      <c r="F193" s="2">
        <f>IF(F187=0, IF(F180&lt;0.67, 1, 0), 0)</f>
        <v>1</v>
      </c>
      <c r="G193" s="2">
        <f t="shared" si="251"/>
        <v>1</v>
      </c>
      <c r="H193" s="2">
        <f t="shared" si="251"/>
        <v>1</v>
      </c>
      <c r="I193" s="2">
        <f t="shared" si="251"/>
        <v>1</v>
      </c>
      <c r="J193" s="2">
        <f t="shared" si="251"/>
        <v>1</v>
      </c>
      <c r="K193" s="54">
        <f t="shared" si="251"/>
        <v>1</v>
      </c>
      <c r="L193" s="2">
        <f t="shared" si="251"/>
        <v>1</v>
      </c>
      <c r="M193" s="2">
        <f t="shared" si="251"/>
        <v>1</v>
      </c>
      <c r="N193" s="2">
        <f t="shared" si="251"/>
        <v>1</v>
      </c>
      <c r="O193" s="2">
        <f t="shared" si="251"/>
        <v>1</v>
      </c>
      <c r="P193" s="2">
        <f t="shared" si="251"/>
        <v>1</v>
      </c>
      <c r="Q193" s="54">
        <f t="shared" si="251"/>
        <v>1</v>
      </c>
      <c r="R193" s="2">
        <f t="shared" si="251"/>
        <v>1</v>
      </c>
      <c r="S193" s="2">
        <f t="shared" si="251"/>
        <v>1</v>
      </c>
      <c r="T193" s="2">
        <f t="shared" si="251"/>
        <v>1</v>
      </c>
      <c r="U193" s="2">
        <f t="shared" ref="U193:BK193" si="252">IF(U187=0, IF(U180&lt;0.67, 1, 0), 0)</f>
        <v>1</v>
      </c>
      <c r="V193" s="2">
        <f t="shared" si="252"/>
        <v>1</v>
      </c>
      <c r="W193" s="2">
        <f t="shared" si="252"/>
        <v>1</v>
      </c>
      <c r="X193" s="2">
        <f t="shared" si="252"/>
        <v>1</v>
      </c>
      <c r="Y193" s="54">
        <f t="shared" si="252"/>
        <v>1</v>
      </c>
      <c r="Z193" s="2">
        <f t="shared" si="252"/>
        <v>1</v>
      </c>
      <c r="AA193" s="54">
        <f t="shared" si="252"/>
        <v>1</v>
      </c>
      <c r="AB193" s="2">
        <f t="shared" si="252"/>
        <v>1</v>
      </c>
      <c r="AC193" s="2">
        <f t="shared" si="252"/>
        <v>1</v>
      </c>
      <c r="AD193" s="2">
        <f t="shared" si="252"/>
        <v>1</v>
      </c>
      <c r="AE193" s="2">
        <f t="shared" si="252"/>
        <v>1</v>
      </c>
      <c r="AF193" s="2">
        <f t="shared" si="252"/>
        <v>1</v>
      </c>
      <c r="AG193" s="2">
        <f t="shared" si="252"/>
        <v>1</v>
      </c>
      <c r="AH193" s="2">
        <f t="shared" si="252"/>
        <v>1</v>
      </c>
      <c r="AI193" s="2">
        <f t="shared" si="252"/>
        <v>1</v>
      </c>
      <c r="AJ193" s="2">
        <f t="shared" si="252"/>
        <v>1</v>
      </c>
      <c r="AK193" s="2">
        <f t="shared" si="252"/>
        <v>1</v>
      </c>
      <c r="AL193" s="2">
        <f t="shared" si="252"/>
        <v>1</v>
      </c>
      <c r="AM193" s="2">
        <f t="shared" si="252"/>
        <v>1</v>
      </c>
      <c r="AN193" s="2">
        <f t="shared" si="252"/>
        <v>1</v>
      </c>
      <c r="AO193" s="2">
        <f t="shared" si="252"/>
        <v>1</v>
      </c>
      <c r="AP193" s="2">
        <f t="shared" si="252"/>
        <v>1</v>
      </c>
      <c r="AQ193" s="2">
        <f t="shared" si="252"/>
        <v>1</v>
      </c>
      <c r="AR193" s="2">
        <f t="shared" si="252"/>
        <v>1</v>
      </c>
      <c r="AS193" s="2">
        <f t="shared" si="252"/>
        <v>1</v>
      </c>
      <c r="AT193" s="2">
        <f t="shared" si="252"/>
        <v>1</v>
      </c>
      <c r="AU193" s="54">
        <f t="shared" si="252"/>
        <v>1</v>
      </c>
      <c r="AV193" s="2">
        <f t="shared" si="252"/>
        <v>1</v>
      </c>
      <c r="AW193" s="2">
        <f t="shared" si="252"/>
        <v>1</v>
      </c>
      <c r="AX193" s="2">
        <f t="shared" si="252"/>
        <v>1</v>
      </c>
      <c r="AY193" s="2">
        <f t="shared" si="252"/>
        <v>1</v>
      </c>
      <c r="AZ193" s="2">
        <f t="shared" si="252"/>
        <v>1</v>
      </c>
      <c r="BA193" s="2">
        <f t="shared" si="252"/>
        <v>1</v>
      </c>
      <c r="BB193" s="2">
        <f t="shared" si="252"/>
        <v>1</v>
      </c>
      <c r="BC193" s="2">
        <f t="shared" si="252"/>
        <v>1</v>
      </c>
      <c r="BD193" s="2">
        <f t="shared" si="252"/>
        <v>1</v>
      </c>
      <c r="BE193" s="2">
        <f t="shared" si="252"/>
        <v>1</v>
      </c>
      <c r="BF193" s="2">
        <f t="shared" si="252"/>
        <v>1</v>
      </c>
      <c r="BG193" s="2">
        <f t="shared" si="252"/>
        <v>1</v>
      </c>
      <c r="BH193" s="2">
        <f t="shared" si="252"/>
        <v>1</v>
      </c>
      <c r="BI193" s="2">
        <f t="shared" si="252"/>
        <v>1</v>
      </c>
      <c r="BJ193" s="2">
        <f t="shared" si="252"/>
        <v>1</v>
      </c>
      <c r="BK193" s="2" t="e">
        <f t="shared" si="252"/>
        <v>#DIV/0!</v>
      </c>
      <c r="BM193" s="2">
        <f t="shared" si="251"/>
        <v>1</v>
      </c>
    </row>
    <row r="194" spans="1:65">
      <c r="A194" s="38" t="s">
        <v>255</v>
      </c>
      <c r="B194" s="54">
        <f>IF(B193=1, IF(B184&gt;0.5, 1, 0), 0)</f>
        <v>0</v>
      </c>
      <c r="C194" s="2">
        <f t="shared" ref="C194:BM194" si="253">IF(C193=1, IF(C184&gt;0.5, 1, 0), 0)</f>
        <v>0</v>
      </c>
      <c r="D194" s="2">
        <f t="shared" si="253"/>
        <v>0</v>
      </c>
      <c r="E194" s="2">
        <f t="shared" si="253"/>
        <v>0</v>
      </c>
      <c r="F194" s="2">
        <f t="shared" si="253"/>
        <v>0</v>
      </c>
      <c r="G194" s="2">
        <f t="shared" si="253"/>
        <v>0</v>
      </c>
      <c r="H194" s="2">
        <f t="shared" si="253"/>
        <v>0</v>
      </c>
      <c r="I194" s="2">
        <f t="shared" si="253"/>
        <v>0</v>
      </c>
      <c r="J194" s="2">
        <f t="shared" si="253"/>
        <v>0</v>
      </c>
      <c r="K194" s="54">
        <f t="shared" si="253"/>
        <v>0</v>
      </c>
      <c r="L194" s="2">
        <f t="shared" si="253"/>
        <v>0</v>
      </c>
      <c r="M194" s="2">
        <f t="shared" si="253"/>
        <v>0</v>
      </c>
      <c r="N194" s="2">
        <f t="shared" si="253"/>
        <v>0</v>
      </c>
      <c r="O194" s="2">
        <f t="shared" si="253"/>
        <v>0</v>
      </c>
      <c r="P194" s="2">
        <f t="shared" si="253"/>
        <v>0</v>
      </c>
      <c r="Q194" s="54">
        <f t="shared" si="253"/>
        <v>0</v>
      </c>
      <c r="R194" s="2">
        <f t="shared" si="253"/>
        <v>0</v>
      </c>
      <c r="S194" s="2">
        <f t="shared" si="253"/>
        <v>0</v>
      </c>
      <c r="T194" s="2">
        <f t="shared" si="253"/>
        <v>0</v>
      </c>
      <c r="U194" s="2">
        <f t="shared" ref="U194:BK194" si="254">IF(U193=1, IF(U184&gt;0.5, 1, 0), 0)</f>
        <v>0</v>
      </c>
      <c r="V194" s="2">
        <f t="shared" si="254"/>
        <v>0</v>
      </c>
      <c r="W194" s="2">
        <f t="shared" si="254"/>
        <v>0</v>
      </c>
      <c r="X194" s="2">
        <f t="shared" si="254"/>
        <v>0</v>
      </c>
      <c r="Y194" s="54">
        <f t="shared" si="254"/>
        <v>0</v>
      </c>
      <c r="Z194" s="2">
        <f t="shared" si="254"/>
        <v>0</v>
      </c>
      <c r="AA194" s="54">
        <f t="shared" si="254"/>
        <v>0</v>
      </c>
      <c r="AB194" s="2">
        <f t="shared" si="254"/>
        <v>0</v>
      </c>
      <c r="AC194" s="2">
        <f t="shared" si="254"/>
        <v>0</v>
      </c>
      <c r="AD194" s="2">
        <f t="shared" si="254"/>
        <v>0</v>
      </c>
      <c r="AE194" s="2">
        <f t="shared" si="254"/>
        <v>0</v>
      </c>
      <c r="AF194" s="2">
        <f t="shared" si="254"/>
        <v>0</v>
      </c>
      <c r="AG194" s="2">
        <f t="shared" si="254"/>
        <v>0</v>
      </c>
      <c r="AH194" s="2">
        <f t="shared" si="254"/>
        <v>0</v>
      </c>
      <c r="AI194" s="2">
        <f t="shared" si="254"/>
        <v>0</v>
      </c>
      <c r="AJ194" s="2">
        <f t="shared" si="254"/>
        <v>0</v>
      </c>
      <c r="AK194" s="2">
        <f t="shared" si="254"/>
        <v>0</v>
      </c>
      <c r="AL194" s="2">
        <f t="shared" si="254"/>
        <v>0</v>
      </c>
      <c r="AM194" s="2">
        <f t="shared" si="254"/>
        <v>0</v>
      </c>
      <c r="AN194" s="2">
        <f t="shared" si="254"/>
        <v>0</v>
      </c>
      <c r="AO194" s="2">
        <f t="shared" si="254"/>
        <v>0</v>
      </c>
      <c r="AP194" s="2">
        <f t="shared" si="254"/>
        <v>0</v>
      </c>
      <c r="AQ194" s="2">
        <f t="shared" si="254"/>
        <v>0</v>
      </c>
      <c r="AR194" s="2">
        <f t="shared" si="254"/>
        <v>0</v>
      </c>
      <c r="AS194" s="2">
        <f t="shared" si="254"/>
        <v>0</v>
      </c>
      <c r="AT194" s="2">
        <f t="shared" si="254"/>
        <v>0</v>
      </c>
      <c r="AU194" s="54">
        <f t="shared" si="254"/>
        <v>0</v>
      </c>
      <c r="AV194" s="2">
        <f t="shared" si="254"/>
        <v>0</v>
      </c>
      <c r="AW194" s="2">
        <f t="shared" si="254"/>
        <v>0</v>
      </c>
      <c r="AX194" s="2">
        <f t="shared" si="254"/>
        <v>0</v>
      </c>
      <c r="AY194" s="2">
        <f t="shared" si="254"/>
        <v>0</v>
      </c>
      <c r="AZ194" s="2">
        <f t="shared" si="254"/>
        <v>0</v>
      </c>
      <c r="BA194" s="2">
        <f t="shared" si="254"/>
        <v>0</v>
      </c>
      <c r="BB194" s="2">
        <f t="shared" si="254"/>
        <v>0</v>
      </c>
      <c r="BC194" s="2">
        <f t="shared" si="254"/>
        <v>0</v>
      </c>
      <c r="BD194" s="2">
        <f t="shared" si="254"/>
        <v>0</v>
      </c>
      <c r="BE194" s="2">
        <f t="shared" si="254"/>
        <v>0</v>
      </c>
      <c r="BF194" s="2">
        <f t="shared" si="254"/>
        <v>0</v>
      </c>
      <c r="BG194" s="2">
        <f t="shared" si="254"/>
        <v>0</v>
      </c>
      <c r="BH194" s="2">
        <f t="shared" si="254"/>
        <v>0</v>
      </c>
      <c r="BI194" s="2">
        <f t="shared" si="254"/>
        <v>0</v>
      </c>
      <c r="BJ194" s="2">
        <f t="shared" si="254"/>
        <v>0</v>
      </c>
      <c r="BK194" s="2" t="e">
        <f t="shared" si="254"/>
        <v>#DIV/0!</v>
      </c>
      <c r="BM194" s="2">
        <f t="shared" si="253"/>
        <v>0</v>
      </c>
    </row>
    <row r="195" spans="1:65">
      <c r="A195" s="37" t="s">
        <v>32</v>
      </c>
      <c r="B195" s="54">
        <f>IF(B194=1, IF(B182&gt;0.5, 9, 10), 0)</f>
        <v>0</v>
      </c>
      <c r="C195" s="2">
        <f t="shared" ref="C195:BM195" si="255">IF(C194=1, IF(C182&gt;0.5, 9, 10), 0)</f>
        <v>0</v>
      </c>
      <c r="D195" s="2">
        <f t="shared" si="255"/>
        <v>0</v>
      </c>
      <c r="E195" s="2">
        <f t="shared" si="255"/>
        <v>0</v>
      </c>
      <c r="F195" s="2">
        <f t="shared" si="255"/>
        <v>0</v>
      </c>
      <c r="G195" s="2">
        <f t="shared" si="255"/>
        <v>0</v>
      </c>
      <c r="H195" s="2">
        <f t="shared" si="255"/>
        <v>0</v>
      </c>
      <c r="I195" s="2">
        <f t="shared" si="255"/>
        <v>0</v>
      </c>
      <c r="J195" s="2">
        <f t="shared" si="255"/>
        <v>0</v>
      </c>
      <c r="K195" s="54">
        <f t="shared" si="255"/>
        <v>0</v>
      </c>
      <c r="L195" s="2">
        <f t="shared" si="255"/>
        <v>0</v>
      </c>
      <c r="M195" s="2">
        <f t="shared" si="255"/>
        <v>0</v>
      </c>
      <c r="N195" s="2">
        <f t="shared" si="255"/>
        <v>0</v>
      </c>
      <c r="O195" s="2">
        <f t="shared" si="255"/>
        <v>0</v>
      </c>
      <c r="P195" s="2">
        <f t="shared" si="255"/>
        <v>0</v>
      </c>
      <c r="Q195" s="54">
        <f t="shared" si="255"/>
        <v>0</v>
      </c>
      <c r="R195" s="2">
        <f t="shared" si="255"/>
        <v>0</v>
      </c>
      <c r="S195" s="2">
        <f t="shared" si="255"/>
        <v>0</v>
      </c>
      <c r="T195" s="2">
        <f t="shared" si="255"/>
        <v>0</v>
      </c>
      <c r="U195" s="2">
        <f t="shared" ref="U195:BK195" si="256">IF(U194=1, IF(U182&gt;0.5, 9, 10), 0)</f>
        <v>0</v>
      </c>
      <c r="V195" s="2">
        <f t="shared" si="256"/>
        <v>0</v>
      </c>
      <c r="W195" s="2">
        <f t="shared" si="256"/>
        <v>0</v>
      </c>
      <c r="X195" s="2">
        <f t="shared" si="256"/>
        <v>0</v>
      </c>
      <c r="Y195" s="54">
        <f t="shared" si="256"/>
        <v>0</v>
      </c>
      <c r="Z195" s="2">
        <f t="shared" si="256"/>
        <v>0</v>
      </c>
      <c r="AA195" s="54">
        <f t="shared" si="256"/>
        <v>0</v>
      </c>
      <c r="AB195" s="2">
        <f t="shared" si="256"/>
        <v>0</v>
      </c>
      <c r="AC195" s="2">
        <f t="shared" si="256"/>
        <v>0</v>
      </c>
      <c r="AD195" s="2">
        <f t="shared" si="256"/>
        <v>0</v>
      </c>
      <c r="AE195" s="2">
        <f t="shared" si="256"/>
        <v>0</v>
      </c>
      <c r="AF195" s="2">
        <f t="shared" si="256"/>
        <v>0</v>
      </c>
      <c r="AG195" s="2">
        <f t="shared" si="256"/>
        <v>0</v>
      </c>
      <c r="AH195" s="2">
        <f t="shared" si="256"/>
        <v>0</v>
      </c>
      <c r="AI195" s="2">
        <f t="shared" si="256"/>
        <v>0</v>
      </c>
      <c r="AJ195" s="2">
        <f t="shared" si="256"/>
        <v>0</v>
      </c>
      <c r="AK195" s="2">
        <f t="shared" si="256"/>
        <v>0</v>
      </c>
      <c r="AL195" s="2">
        <f t="shared" si="256"/>
        <v>0</v>
      </c>
      <c r="AM195" s="2">
        <f t="shared" si="256"/>
        <v>0</v>
      </c>
      <c r="AN195" s="2">
        <f t="shared" si="256"/>
        <v>0</v>
      </c>
      <c r="AO195" s="2">
        <f t="shared" si="256"/>
        <v>0</v>
      </c>
      <c r="AP195" s="2">
        <f t="shared" si="256"/>
        <v>0</v>
      </c>
      <c r="AQ195" s="2">
        <f t="shared" si="256"/>
        <v>0</v>
      </c>
      <c r="AR195" s="2">
        <f t="shared" si="256"/>
        <v>0</v>
      </c>
      <c r="AS195" s="2">
        <f t="shared" si="256"/>
        <v>0</v>
      </c>
      <c r="AT195" s="2">
        <f t="shared" si="256"/>
        <v>0</v>
      </c>
      <c r="AU195" s="54">
        <f t="shared" si="256"/>
        <v>0</v>
      </c>
      <c r="AV195" s="2">
        <f t="shared" si="256"/>
        <v>0</v>
      </c>
      <c r="AW195" s="2">
        <f t="shared" si="256"/>
        <v>0</v>
      </c>
      <c r="AX195" s="2">
        <f t="shared" si="256"/>
        <v>0</v>
      </c>
      <c r="AY195" s="2">
        <f t="shared" si="256"/>
        <v>0</v>
      </c>
      <c r="AZ195" s="2">
        <f t="shared" si="256"/>
        <v>0</v>
      </c>
      <c r="BA195" s="2">
        <f t="shared" si="256"/>
        <v>0</v>
      </c>
      <c r="BB195" s="2">
        <f t="shared" si="256"/>
        <v>0</v>
      </c>
      <c r="BC195" s="2">
        <f t="shared" si="256"/>
        <v>0</v>
      </c>
      <c r="BD195" s="2">
        <f t="shared" si="256"/>
        <v>0</v>
      </c>
      <c r="BE195" s="2">
        <f t="shared" si="256"/>
        <v>0</v>
      </c>
      <c r="BF195" s="2">
        <f t="shared" si="256"/>
        <v>0</v>
      </c>
      <c r="BG195" s="2">
        <f t="shared" si="256"/>
        <v>0</v>
      </c>
      <c r="BH195" s="2">
        <f t="shared" si="256"/>
        <v>0</v>
      </c>
      <c r="BI195" s="2">
        <f t="shared" si="256"/>
        <v>0</v>
      </c>
      <c r="BJ195" s="2">
        <f t="shared" si="256"/>
        <v>0</v>
      </c>
      <c r="BK195" s="2" t="e">
        <f t="shared" si="256"/>
        <v>#DIV/0!</v>
      </c>
      <c r="BM195" s="2">
        <f t="shared" si="255"/>
        <v>0</v>
      </c>
    </row>
    <row r="196" spans="1:65">
      <c r="A196" s="38" t="s">
        <v>256</v>
      </c>
      <c r="B196" s="54">
        <f>IF(B193=1, IF(B194=0, IF(B181&lt;0.5, 1, 0), 0), 0)</f>
        <v>1</v>
      </c>
      <c r="C196" s="2">
        <f t="shared" ref="C196:BM196" si="257">IF(C193=1, IF(C194=0, IF(C181&lt;0.5, 1, 0), 0), 0)</f>
        <v>1</v>
      </c>
      <c r="D196" s="2">
        <f t="shared" si="257"/>
        <v>1</v>
      </c>
      <c r="E196" s="2">
        <f t="shared" si="257"/>
        <v>1</v>
      </c>
      <c r="F196" s="2">
        <f t="shared" si="257"/>
        <v>1</v>
      </c>
      <c r="G196" s="2">
        <f t="shared" si="257"/>
        <v>1</v>
      </c>
      <c r="H196" s="2">
        <f t="shared" si="257"/>
        <v>1</v>
      </c>
      <c r="I196" s="2">
        <f t="shared" si="257"/>
        <v>1</v>
      </c>
      <c r="J196" s="2">
        <f t="shared" si="257"/>
        <v>1</v>
      </c>
      <c r="K196" s="54">
        <f t="shared" si="257"/>
        <v>1</v>
      </c>
      <c r="L196" s="2">
        <f t="shared" si="257"/>
        <v>1</v>
      </c>
      <c r="M196" s="2">
        <f t="shared" si="257"/>
        <v>1</v>
      </c>
      <c r="N196" s="2">
        <f t="shared" si="257"/>
        <v>1</v>
      </c>
      <c r="O196" s="2">
        <f t="shared" si="257"/>
        <v>1</v>
      </c>
      <c r="P196" s="2">
        <f t="shared" si="257"/>
        <v>1</v>
      </c>
      <c r="Q196" s="54">
        <f t="shared" si="257"/>
        <v>1</v>
      </c>
      <c r="R196" s="2">
        <f t="shared" si="257"/>
        <v>0</v>
      </c>
      <c r="S196" s="2">
        <f t="shared" si="257"/>
        <v>0</v>
      </c>
      <c r="T196" s="2">
        <f t="shared" si="257"/>
        <v>0</v>
      </c>
      <c r="U196" s="2">
        <f t="shared" ref="U196:BK196" si="258">IF(U193=1, IF(U194=0, IF(U181&lt;0.5, 1, 0), 0), 0)</f>
        <v>0</v>
      </c>
      <c r="V196" s="2">
        <f t="shared" si="258"/>
        <v>0</v>
      </c>
      <c r="W196" s="2">
        <f t="shared" si="258"/>
        <v>1</v>
      </c>
      <c r="X196" s="2">
        <f t="shared" si="258"/>
        <v>0</v>
      </c>
      <c r="Y196" s="54">
        <f t="shared" si="258"/>
        <v>1</v>
      </c>
      <c r="Z196" s="2">
        <f t="shared" si="258"/>
        <v>1</v>
      </c>
      <c r="AA196" s="54">
        <f t="shared" si="258"/>
        <v>1</v>
      </c>
      <c r="AB196" s="2">
        <f t="shared" si="258"/>
        <v>1</v>
      </c>
      <c r="AC196" s="2">
        <f t="shared" si="258"/>
        <v>0</v>
      </c>
      <c r="AD196" s="2">
        <f t="shared" si="258"/>
        <v>0</v>
      </c>
      <c r="AE196" s="2">
        <f t="shared" si="258"/>
        <v>0</v>
      </c>
      <c r="AF196" s="2">
        <f t="shared" si="258"/>
        <v>0</v>
      </c>
      <c r="AG196" s="2">
        <f t="shared" si="258"/>
        <v>0</v>
      </c>
      <c r="AH196" s="2">
        <f t="shared" si="258"/>
        <v>0</v>
      </c>
      <c r="AI196" s="2">
        <f t="shared" si="258"/>
        <v>0</v>
      </c>
      <c r="AJ196" s="2">
        <f t="shared" si="258"/>
        <v>0</v>
      </c>
      <c r="AK196" s="2">
        <f t="shared" si="258"/>
        <v>0</v>
      </c>
      <c r="AL196" s="2">
        <f t="shared" si="258"/>
        <v>0</v>
      </c>
      <c r="AM196" s="2">
        <f t="shared" si="258"/>
        <v>0</v>
      </c>
      <c r="AN196" s="2">
        <f t="shared" si="258"/>
        <v>0</v>
      </c>
      <c r="AO196" s="2">
        <f t="shared" si="258"/>
        <v>0</v>
      </c>
      <c r="AP196" s="2">
        <f t="shared" si="258"/>
        <v>1</v>
      </c>
      <c r="AQ196" s="2">
        <f t="shared" si="258"/>
        <v>1</v>
      </c>
      <c r="AR196" s="2">
        <f t="shared" si="258"/>
        <v>1</v>
      </c>
      <c r="AS196" s="2">
        <f t="shared" si="258"/>
        <v>1</v>
      </c>
      <c r="AT196" s="2">
        <f t="shared" si="258"/>
        <v>1</v>
      </c>
      <c r="AU196" s="54">
        <f t="shared" si="258"/>
        <v>1</v>
      </c>
      <c r="AV196" s="2">
        <f t="shared" si="258"/>
        <v>1</v>
      </c>
      <c r="AW196" s="2">
        <f t="shared" si="258"/>
        <v>1</v>
      </c>
      <c r="AX196" s="2">
        <f t="shared" si="258"/>
        <v>1</v>
      </c>
      <c r="AY196" s="2">
        <f t="shared" si="258"/>
        <v>1</v>
      </c>
      <c r="AZ196" s="2">
        <f t="shared" si="258"/>
        <v>1</v>
      </c>
      <c r="BA196" s="2">
        <f t="shared" si="258"/>
        <v>1</v>
      </c>
      <c r="BB196" s="2">
        <f t="shared" si="258"/>
        <v>1</v>
      </c>
      <c r="BC196" s="2">
        <f t="shared" si="258"/>
        <v>0</v>
      </c>
      <c r="BD196" s="2">
        <f t="shared" si="258"/>
        <v>1</v>
      </c>
      <c r="BE196" s="2">
        <f t="shared" si="258"/>
        <v>0</v>
      </c>
      <c r="BF196" s="2">
        <f t="shared" si="258"/>
        <v>0</v>
      </c>
      <c r="BG196" s="2">
        <f t="shared" si="258"/>
        <v>0</v>
      </c>
      <c r="BH196" s="2">
        <f t="shared" si="258"/>
        <v>0</v>
      </c>
      <c r="BI196" s="2">
        <f t="shared" si="258"/>
        <v>0</v>
      </c>
      <c r="BJ196" s="2">
        <f t="shared" si="258"/>
        <v>0</v>
      </c>
      <c r="BK196" s="2" t="e">
        <f t="shared" si="258"/>
        <v>#DIV/0!</v>
      </c>
      <c r="BM196" s="2">
        <f t="shared" si="257"/>
        <v>1</v>
      </c>
    </row>
    <row r="197" spans="1:65">
      <c r="A197" s="47" t="s">
        <v>257</v>
      </c>
      <c r="B197" s="54">
        <f>IF(B196=1, IF(B183&gt;7.5, 1, 0), 0)</f>
        <v>0</v>
      </c>
      <c r="C197" s="2">
        <f t="shared" ref="C197:BM197" si="259">IF(C196=1, IF(C183&gt;7.5, 1, 0), 0)</f>
        <v>0</v>
      </c>
      <c r="D197" s="2">
        <f t="shared" si="259"/>
        <v>0</v>
      </c>
      <c r="E197" s="2">
        <f t="shared" si="259"/>
        <v>0</v>
      </c>
      <c r="F197" s="2">
        <f t="shared" si="259"/>
        <v>0</v>
      </c>
      <c r="G197" s="2">
        <f t="shared" si="259"/>
        <v>0</v>
      </c>
      <c r="H197" s="2">
        <f t="shared" si="259"/>
        <v>0</v>
      </c>
      <c r="I197" s="2">
        <f t="shared" si="259"/>
        <v>0</v>
      </c>
      <c r="J197" s="2">
        <f t="shared" si="259"/>
        <v>0</v>
      </c>
      <c r="K197" s="54">
        <f t="shared" si="259"/>
        <v>0</v>
      </c>
      <c r="L197" s="2">
        <f t="shared" si="259"/>
        <v>0</v>
      </c>
      <c r="M197" s="2">
        <f t="shared" si="259"/>
        <v>0</v>
      </c>
      <c r="N197" s="2">
        <f t="shared" si="259"/>
        <v>0</v>
      </c>
      <c r="O197" s="2">
        <f t="shared" si="259"/>
        <v>0</v>
      </c>
      <c r="P197" s="2">
        <f t="shared" si="259"/>
        <v>0</v>
      </c>
      <c r="Q197" s="54">
        <f t="shared" si="259"/>
        <v>0</v>
      </c>
      <c r="R197" s="2">
        <f t="shared" si="259"/>
        <v>0</v>
      </c>
      <c r="S197" s="2">
        <f t="shared" si="259"/>
        <v>0</v>
      </c>
      <c r="T197" s="2">
        <f t="shared" si="259"/>
        <v>0</v>
      </c>
      <c r="U197" s="2">
        <f t="shared" ref="U197:BK197" si="260">IF(U196=1, IF(U183&gt;7.5, 1, 0), 0)</f>
        <v>0</v>
      </c>
      <c r="V197" s="2">
        <f t="shared" si="260"/>
        <v>0</v>
      </c>
      <c r="W197" s="2">
        <f t="shared" si="260"/>
        <v>0</v>
      </c>
      <c r="X197" s="2">
        <f t="shared" si="260"/>
        <v>0</v>
      </c>
      <c r="Y197" s="54">
        <f t="shared" si="260"/>
        <v>0</v>
      </c>
      <c r="Z197" s="2">
        <f t="shared" si="260"/>
        <v>0</v>
      </c>
      <c r="AA197" s="54">
        <f t="shared" si="260"/>
        <v>0</v>
      </c>
      <c r="AB197" s="2">
        <f t="shared" si="260"/>
        <v>0</v>
      </c>
      <c r="AC197" s="2">
        <f t="shared" si="260"/>
        <v>0</v>
      </c>
      <c r="AD197" s="2">
        <f t="shared" si="260"/>
        <v>0</v>
      </c>
      <c r="AE197" s="2">
        <f t="shared" si="260"/>
        <v>0</v>
      </c>
      <c r="AF197" s="2">
        <f t="shared" si="260"/>
        <v>0</v>
      </c>
      <c r="AG197" s="2">
        <f t="shared" si="260"/>
        <v>0</v>
      </c>
      <c r="AH197" s="2">
        <f t="shared" si="260"/>
        <v>0</v>
      </c>
      <c r="AI197" s="2">
        <f t="shared" si="260"/>
        <v>0</v>
      </c>
      <c r="AJ197" s="2">
        <f t="shared" si="260"/>
        <v>0</v>
      </c>
      <c r="AK197" s="2">
        <f t="shared" si="260"/>
        <v>0</v>
      </c>
      <c r="AL197" s="2">
        <f t="shared" si="260"/>
        <v>0</v>
      </c>
      <c r="AM197" s="2">
        <f t="shared" si="260"/>
        <v>0</v>
      </c>
      <c r="AN197" s="2">
        <f t="shared" si="260"/>
        <v>0</v>
      </c>
      <c r="AO197" s="2">
        <f t="shared" si="260"/>
        <v>0</v>
      </c>
      <c r="AP197" s="2">
        <f t="shared" si="260"/>
        <v>0</v>
      </c>
      <c r="AQ197" s="2">
        <f t="shared" si="260"/>
        <v>0</v>
      </c>
      <c r="AR197" s="2">
        <f t="shared" si="260"/>
        <v>0</v>
      </c>
      <c r="AS197" s="2">
        <f t="shared" si="260"/>
        <v>0</v>
      </c>
      <c r="AT197" s="2">
        <f t="shared" si="260"/>
        <v>0</v>
      </c>
      <c r="AU197" s="54">
        <f t="shared" si="260"/>
        <v>0</v>
      </c>
      <c r="AV197" s="2">
        <f t="shared" si="260"/>
        <v>0</v>
      </c>
      <c r="AW197" s="2">
        <f t="shared" si="260"/>
        <v>0</v>
      </c>
      <c r="AX197" s="2">
        <f t="shared" si="260"/>
        <v>0</v>
      </c>
      <c r="AY197" s="2">
        <f t="shared" si="260"/>
        <v>0</v>
      </c>
      <c r="AZ197" s="2">
        <f t="shared" si="260"/>
        <v>0</v>
      </c>
      <c r="BA197" s="2">
        <f t="shared" si="260"/>
        <v>0</v>
      </c>
      <c r="BB197" s="2">
        <f t="shared" si="260"/>
        <v>0</v>
      </c>
      <c r="BC197" s="2">
        <f t="shared" si="260"/>
        <v>0</v>
      </c>
      <c r="BD197" s="2">
        <f t="shared" si="260"/>
        <v>0</v>
      </c>
      <c r="BE197" s="2">
        <f t="shared" si="260"/>
        <v>0</v>
      </c>
      <c r="BF197" s="2">
        <f t="shared" si="260"/>
        <v>0</v>
      </c>
      <c r="BG197" s="2">
        <f t="shared" si="260"/>
        <v>0</v>
      </c>
      <c r="BH197" s="2">
        <f t="shared" si="260"/>
        <v>0</v>
      </c>
      <c r="BI197" s="2">
        <f t="shared" si="260"/>
        <v>0</v>
      </c>
      <c r="BJ197" s="2">
        <f t="shared" si="260"/>
        <v>0</v>
      </c>
      <c r="BK197" s="2" t="e">
        <f t="shared" si="260"/>
        <v>#DIV/0!</v>
      </c>
      <c r="BM197" s="2">
        <f t="shared" si="259"/>
        <v>0</v>
      </c>
    </row>
    <row r="198" spans="1:65">
      <c r="A198" s="37" t="s">
        <v>47</v>
      </c>
      <c r="B198" s="54">
        <f>IF(B197=1, IF(B182&gt;0.9, 11, IF(B182&gt;0.5, 12, 13)), 0)</f>
        <v>0</v>
      </c>
      <c r="C198" s="2">
        <f t="shared" ref="C198:BM198" si="261">IF(C197=1, IF(C182&gt;0.9, 11, IF(C182&gt;0.5, 12, 13)), 0)</f>
        <v>0</v>
      </c>
      <c r="D198" s="2">
        <f t="shared" si="261"/>
        <v>0</v>
      </c>
      <c r="E198" s="2">
        <f t="shared" si="261"/>
        <v>0</v>
      </c>
      <c r="F198" s="2">
        <f t="shared" si="261"/>
        <v>0</v>
      </c>
      <c r="G198" s="2">
        <f t="shared" si="261"/>
        <v>0</v>
      </c>
      <c r="H198" s="2">
        <f t="shared" si="261"/>
        <v>0</v>
      </c>
      <c r="I198" s="2">
        <f t="shared" si="261"/>
        <v>0</v>
      </c>
      <c r="J198" s="2">
        <f t="shared" si="261"/>
        <v>0</v>
      </c>
      <c r="K198" s="54">
        <f t="shared" si="261"/>
        <v>0</v>
      </c>
      <c r="L198" s="2">
        <f t="shared" si="261"/>
        <v>0</v>
      </c>
      <c r="M198" s="2">
        <f t="shared" si="261"/>
        <v>0</v>
      </c>
      <c r="N198" s="2">
        <f t="shared" si="261"/>
        <v>0</v>
      </c>
      <c r="O198" s="2">
        <f t="shared" si="261"/>
        <v>0</v>
      </c>
      <c r="P198" s="2">
        <f t="shared" si="261"/>
        <v>0</v>
      </c>
      <c r="Q198" s="54">
        <f t="shared" si="261"/>
        <v>0</v>
      </c>
      <c r="R198" s="2">
        <f t="shared" si="261"/>
        <v>0</v>
      </c>
      <c r="S198" s="2">
        <f t="shared" si="261"/>
        <v>0</v>
      </c>
      <c r="T198" s="2">
        <f t="shared" si="261"/>
        <v>0</v>
      </c>
      <c r="U198" s="2">
        <f t="shared" ref="U198:BK198" si="262">IF(U197=1, IF(U182&gt;0.9, 11, IF(U182&gt;0.5, 12, 13)), 0)</f>
        <v>0</v>
      </c>
      <c r="V198" s="2">
        <f t="shared" si="262"/>
        <v>0</v>
      </c>
      <c r="W198" s="2">
        <f t="shared" si="262"/>
        <v>0</v>
      </c>
      <c r="X198" s="2">
        <f t="shared" si="262"/>
        <v>0</v>
      </c>
      <c r="Y198" s="54">
        <f t="shared" si="262"/>
        <v>0</v>
      </c>
      <c r="Z198" s="2">
        <f t="shared" si="262"/>
        <v>0</v>
      </c>
      <c r="AA198" s="54">
        <f t="shared" si="262"/>
        <v>0</v>
      </c>
      <c r="AB198" s="2">
        <f t="shared" si="262"/>
        <v>0</v>
      </c>
      <c r="AC198" s="2">
        <f t="shared" si="262"/>
        <v>0</v>
      </c>
      <c r="AD198" s="2">
        <f t="shared" si="262"/>
        <v>0</v>
      </c>
      <c r="AE198" s="2">
        <f t="shared" si="262"/>
        <v>0</v>
      </c>
      <c r="AF198" s="2">
        <f t="shared" si="262"/>
        <v>0</v>
      </c>
      <c r="AG198" s="2">
        <f t="shared" si="262"/>
        <v>0</v>
      </c>
      <c r="AH198" s="2">
        <f t="shared" si="262"/>
        <v>0</v>
      </c>
      <c r="AI198" s="2">
        <f t="shared" si="262"/>
        <v>0</v>
      </c>
      <c r="AJ198" s="2">
        <f t="shared" si="262"/>
        <v>0</v>
      </c>
      <c r="AK198" s="2">
        <f t="shared" si="262"/>
        <v>0</v>
      </c>
      <c r="AL198" s="2">
        <f t="shared" si="262"/>
        <v>0</v>
      </c>
      <c r="AM198" s="2">
        <f t="shared" si="262"/>
        <v>0</v>
      </c>
      <c r="AN198" s="2">
        <f t="shared" si="262"/>
        <v>0</v>
      </c>
      <c r="AO198" s="2">
        <f t="shared" si="262"/>
        <v>0</v>
      </c>
      <c r="AP198" s="2">
        <f t="shared" si="262"/>
        <v>0</v>
      </c>
      <c r="AQ198" s="2">
        <f t="shared" si="262"/>
        <v>0</v>
      </c>
      <c r="AR198" s="2">
        <f t="shared" si="262"/>
        <v>0</v>
      </c>
      <c r="AS198" s="2">
        <f t="shared" si="262"/>
        <v>0</v>
      </c>
      <c r="AT198" s="2">
        <f t="shared" si="262"/>
        <v>0</v>
      </c>
      <c r="AU198" s="54">
        <f t="shared" si="262"/>
        <v>0</v>
      </c>
      <c r="AV198" s="2">
        <f t="shared" si="262"/>
        <v>0</v>
      </c>
      <c r="AW198" s="2">
        <f t="shared" si="262"/>
        <v>0</v>
      </c>
      <c r="AX198" s="2">
        <f t="shared" si="262"/>
        <v>0</v>
      </c>
      <c r="AY198" s="2">
        <f t="shared" si="262"/>
        <v>0</v>
      </c>
      <c r="AZ198" s="2">
        <f t="shared" si="262"/>
        <v>0</v>
      </c>
      <c r="BA198" s="2">
        <f t="shared" si="262"/>
        <v>0</v>
      </c>
      <c r="BB198" s="2">
        <f t="shared" si="262"/>
        <v>0</v>
      </c>
      <c r="BC198" s="2">
        <f t="shared" si="262"/>
        <v>0</v>
      </c>
      <c r="BD198" s="2">
        <f t="shared" si="262"/>
        <v>0</v>
      </c>
      <c r="BE198" s="2">
        <f t="shared" si="262"/>
        <v>0</v>
      </c>
      <c r="BF198" s="2">
        <f t="shared" si="262"/>
        <v>0</v>
      </c>
      <c r="BG198" s="2">
        <f t="shared" si="262"/>
        <v>0</v>
      </c>
      <c r="BH198" s="2">
        <f t="shared" si="262"/>
        <v>0</v>
      </c>
      <c r="BI198" s="2">
        <f t="shared" si="262"/>
        <v>0</v>
      </c>
      <c r="BJ198" s="2">
        <f t="shared" si="262"/>
        <v>0</v>
      </c>
      <c r="BK198" s="2" t="e">
        <f t="shared" si="262"/>
        <v>#DIV/0!</v>
      </c>
      <c r="BM198" s="2">
        <f t="shared" si="261"/>
        <v>0</v>
      </c>
    </row>
    <row r="199" spans="1:65">
      <c r="A199" s="47" t="s">
        <v>48</v>
      </c>
      <c r="B199" s="54">
        <f>IF(B196=1, IF(B183&gt;7.25, IF(B183&lt;7.5, 1, 0), 0), 0)</f>
        <v>0</v>
      </c>
      <c r="C199" s="2">
        <f t="shared" ref="C199:BM199" si="263">IF(C196=1, IF(C183&gt;7.25, IF(C183&lt;7.5, 1, 0), 0), 0)</f>
        <v>0</v>
      </c>
      <c r="D199" s="2">
        <f t="shared" si="263"/>
        <v>0</v>
      </c>
      <c r="E199" s="2">
        <f t="shared" si="263"/>
        <v>0</v>
      </c>
      <c r="F199" s="2">
        <f t="shared" si="263"/>
        <v>0</v>
      </c>
      <c r="G199" s="2">
        <f t="shared" si="263"/>
        <v>0</v>
      </c>
      <c r="H199" s="2">
        <f t="shared" si="263"/>
        <v>0</v>
      </c>
      <c r="I199" s="2">
        <f t="shared" si="263"/>
        <v>0</v>
      </c>
      <c r="J199" s="2">
        <f t="shared" si="263"/>
        <v>0</v>
      </c>
      <c r="K199" s="54">
        <f t="shared" si="263"/>
        <v>0</v>
      </c>
      <c r="L199" s="2">
        <f t="shared" si="263"/>
        <v>0</v>
      </c>
      <c r="M199" s="2">
        <f t="shared" si="263"/>
        <v>0</v>
      </c>
      <c r="N199" s="2">
        <f t="shared" si="263"/>
        <v>0</v>
      </c>
      <c r="O199" s="2">
        <f t="shared" si="263"/>
        <v>0</v>
      </c>
      <c r="P199" s="2">
        <f t="shared" si="263"/>
        <v>0</v>
      </c>
      <c r="Q199" s="54">
        <f t="shared" si="263"/>
        <v>1</v>
      </c>
      <c r="R199" s="2">
        <f t="shared" si="263"/>
        <v>0</v>
      </c>
      <c r="S199" s="2">
        <f t="shared" si="263"/>
        <v>0</v>
      </c>
      <c r="T199" s="2">
        <f t="shared" si="263"/>
        <v>0</v>
      </c>
      <c r="U199" s="2">
        <f t="shared" ref="U199:BK199" si="264">IF(U196=1, IF(U183&gt;7.25, IF(U183&lt;7.5, 1, 0), 0), 0)</f>
        <v>0</v>
      </c>
      <c r="V199" s="2">
        <f t="shared" si="264"/>
        <v>0</v>
      </c>
      <c r="W199" s="2">
        <f t="shared" si="264"/>
        <v>0</v>
      </c>
      <c r="X199" s="2">
        <f t="shared" si="264"/>
        <v>0</v>
      </c>
      <c r="Y199" s="54">
        <f t="shared" si="264"/>
        <v>0</v>
      </c>
      <c r="Z199" s="2">
        <f t="shared" si="264"/>
        <v>0</v>
      </c>
      <c r="AA199" s="54">
        <f t="shared" si="264"/>
        <v>0</v>
      </c>
      <c r="AB199" s="2">
        <f t="shared" si="264"/>
        <v>0</v>
      </c>
      <c r="AC199" s="2">
        <f t="shared" si="264"/>
        <v>0</v>
      </c>
      <c r="AD199" s="2">
        <f t="shared" si="264"/>
        <v>0</v>
      </c>
      <c r="AE199" s="2">
        <f t="shared" si="264"/>
        <v>0</v>
      </c>
      <c r="AF199" s="2">
        <f t="shared" si="264"/>
        <v>0</v>
      </c>
      <c r="AG199" s="2">
        <f t="shared" si="264"/>
        <v>0</v>
      </c>
      <c r="AH199" s="2">
        <f t="shared" si="264"/>
        <v>0</v>
      </c>
      <c r="AI199" s="2">
        <f t="shared" si="264"/>
        <v>0</v>
      </c>
      <c r="AJ199" s="2">
        <f t="shared" si="264"/>
        <v>0</v>
      </c>
      <c r="AK199" s="2">
        <f t="shared" si="264"/>
        <v>0</v>
      </c>
      <c r="AL199" s="2">
        <f t="shared" si="264"/>
        <v>0</v>
      </c>
      <c r="AM199" s="2">
        <f t="shared" si="264"/>
        <v>0</v>
      </c>
      <c r="AN199" s="2">
        <f t="shared" si="264"/>
        <v>0</v>
      </c>
      <c r="AO199" s="2">
        <f t="shared" si="264"/>
        <v>0</v>
      </c>
      <c r="AP199" s="2">
        <f t="shared" si="264"/>
        <v>0</v>
      </c>
      <c r="AQ199" s="2">
        <f t="shared" si="264"/>
        <v>0</v>
      </c>
      <c r="AR199" s="2">
        <f t="shared" si="264"/>
        <v>0</v>
      </c>
      <c r="AS199" s="2">
        <f t="shared" si="264"/>
        <v>0</v>
      </c>
      <c r="AT199" s="2">
        <f t="shared" si="264"/>
        <v>0</v>
      </c>
      <c r="AU199" s="54">
        <f t="shared" si="264"/>
        <v>0</v>
      </c>
      <c r="AV199" s="2">
        <f t="shared" si="264"/>
        <v>0</v>
      </c>
      <c r="AW199" s="2">
        <f t="shared" si="264"/>
        <v>0</v>
      </c>
      <c r="AX199" s="2">
        <f t="shared" si="264"/>
        <v>0</v>
      </c>
      <c r="AY199" s="2">
        <f t="shared" si="264"/>
        <v>0</v>
      </c>
      <c r="AZ199" s="2">
        <f t="shared" si="264"/>
        <v>0</v>
      </c>
      <c r="BA199" s="2">
        <f t="shared" si="264"/>
        <v>0</v>
      </c>
      <c r="BB199" s="2">
        <f t="shared" si="264"/>
        <v>0</v>
      </c>
      <c r="BC199" s="2">
        <f t="shared" si="264"/>
        <v>0</v>
      </c>
      <c r="BD199" s="2">
        <f t="shared" si="264"/>
        <v>0</v>
      </c>
      <c r="BE199" s="2">
        <f t="shared" si="264"/>
        <v>0</v>
      </c>
      <c r="BF199" s="2">
        <f t="shared" si="264"/>
        <v>0</v>
      </c>
      <c r="BG199" s="2">
        <f t="shared" si="264"/>
        <v>0</v>
      </c>
      <c r="BH199" s="2">
        <f t="shared" si="264"/>
        <v>0</v>
      </c>
      <c r="BI199" s="2">
        <f t="shared" si="264"/>
        <v>0</v>
      </c>
      <c r="BJ199" s="2">
        <f t="shared" si="264"/>
        <v>0</v>
      </c>
      <c r="BK199" s="2" t="e">
        <f t="shared" si="264"/>
        <v>#DIV/0!</v>
      </c>
      <c r="BM199" s="2">
        <f t="shared" si="263"/>
        <v>0</v>
      </c>
    </row>
    <row r="200" spans="1:65">
      <c r="A200" s="37" t="s">
        <v>49</v>
      </c>
      <c r="B200" s="54">
        <f>IF(B199=1, IF(B182&gt;0.9, 14, IF(B182&gt;0.5, 15, 16)), 0)</f>
        <v>0</v>
      </c>
      <c r="C200" s="2">
        <f t="shared" ref="C200:BM200" si="265">IF(C199=1, IF(C182&gt;0.9, 14, IF(C182&gt;0.5, 15, 16)), 0)</f>
        <v>0</v>
      </c>
      <c r="D200" s="2">
        <f t="shared" si="265"/>
        <v>0</v>
      </c>
      <c r="E200" s="2">
        <f t="shared" si="265"/>
        <v>0</v>
      </c>
      <c r="F200" s="2">
        <f t="shared" si="265"/>
        <v>0</v>
      </c>
      <c r="G200" s="2">
        <f t="shared" si="265"/>
        <v>0</v>
      </c>
      <c r="H200" s="2">
        <f t="shared" si="265"/>
        <v>0</v>
      </c>
      <c r="I200" s="2">
        <f t="shared" si="265"/>
        <v>0</v>
      </c>
      <c r="J200" s="2">
        <f t="shared" si="265"/>
        <v>0</v>
      </c>
      <c r="K200" s="54">
        <f t="shared" si="265"/>
        <v>0</v>
      </c>
      <c r="L200" s="2">
        <f t="shared" si="265"/>
        <v>0</v>
      </c>
      <c r="M200" s="2">
        <f t="shared" si="265"/>
        <v>0</v>
      </c>
      <c r="N200" s="2">
        <f t="shared" si="265"/>
        <v>0</v>
      </c>
      <c r="O200" s="2">
        <f t="shared" si="265"/>
        <v>0</v>
      </c>
      <c r="P200" s="2">
        <f t="shared" si="265"/>
        <v>0</v>
      </c>
      <c r="Q200" s="54">
        <f t="shared" si="265"/>
        <v>15</v>
      </c>
      <c r="R200" s="2">
        <f t="shared" si="265"/>
        <v>0</v>
      </c>
      <c r="S200" s="2">
        <f t="shared" si="265"/>
        <v>0</v>
      </c>
      <c r="T200" s="2">
        <f t="shared" si="265"/>
        <v>0</v>
      </c>
      <c r="U200" s="2">
        <f t="shared" ref="U200:BK200" si="266">IF(U199=1, IF(U182&gt;0.9, 14, IF(U182&gt;0.5, 15, 16)), 0)</f>
        <v>0</v>
      </c>
      <c r="V200" s="2">
        <f t="shared" si="266"/>
        <v>0</v>
      </c>
      <c r="W200" s="2">
        <f t="shared" si="266"/>
        <v>0</v>
      </c>
      <c r="X200" s="2">
        <f t="shared" si="266"/>
        <v>0</v>
      </c>
      <c r="Y200" s="54">
        <f t="shared" si="266"/>
        <v>0</v>
      </c>
      <c r="Z200" s="2">
        <f t="shared" si="266"/>
        <v>0</v>
      </c>
      <c r="AA200" s="54">
        <f t="shared" si="266"/>
        <v>0</v>
      </c>
      <c r="AB200" s="2">
        <f t="shared" si="266"/>
        <v>0</v>
      </c>
      <c r="AC200" s="2">
        <f t="shared" si="266"/>
        <v>0</v>
      </c>
      <c r="AD200" s="2">
        <f t="shared" si="266"/>
        <v>0</v>
      </c>
      <c r="AE200" s="2">
        <f t="shared" si="266"/>
        <v>0</v>
      </c>
      <c r="AF200" s="2">
        <f t="shared" si="266"/>
        <v>0</v>
      </c>
      <c r="AG200" s="2">
        <f t="shared" si="266"/>
        <v>0</v>
      </c>
      <c r="AH200" s="2">
        <f t="shared" si="266"/>
        <v>0</v>
      </c>
      <c r="AI200" s="2">
        <f t="shared" si="266"/>
        <v>0</v>
      </c>
      <c r="AJ200" s="2">
        <f t="shared" si="266"/>
        <v>0</v>
      </c>
      <c r="AK200" s="2">
        <f t="shared" si="266"/>
        <v>0</v>
      </c>
      <c r="AL200" s="2">
        <f t="shared" si="266"/>
        <v>0</v>
      </c>
      <c r="AM200" s="2">
        <f t="shared" si="266"/>
        <v>0</v>
      </c>
      <c r="AN200" s="2">
        <f t="shared" si="266"/>
        <v>0</v>
      </c>
      <c r="AO200" s="2">
        <f t="shared" si="266"/>
        <v>0</v>
      </c>
      <c r="AP200" s="2">
        <f t="shared" si="266"/>
        <v>0</v>
      </c>
      <c r="AQ200" s="2">
        <f t="shared" si="266"/>
        <v>0</v>
      </c>
      <c r="AR200" s="2">
        <f t="shared" si="266"/>
        <v>0</v>
      </c>
      <c r="AS200" s="2">
        <f t="shared" si="266"/>
        <v>0</v>
      </c>
      <c r="AT200" s="2">
        <f t="shared" si="266"/>
        <v>0</v>
      </c>
      <c r="AU200" s="54">
        <f t="shared" si="266"/>
        <v>0</v>
      </c>
      <c r="AV200" s="2">
        <f t="shared" si="266"/>
        <v>0</v>
      </c>
      <c r="AW200" s="2">
        <f t="shared" si="266"/>
        <v>0</v>
      </c>
      <c r="AX200" s="2">
        <f t="shared" si="266"/>
        <v>0</v>
      </c>
      <c r="AY200" s="2">
        <f t="shared" si="266"/>
        <v>0</v>
      </c>
      <c r="AZ200" s="2">
        <f t="shared" si="266"/>
        <v>0</v>
      </c>
      <c r="BA200" s="2">
        <f t="shared" si="266"/>
        <v>0</v>
      </c>
      <c r="BB200" s="2">
        <f t="shared" si="266"/>
        <v>0</v>
      </c>
      <c r="BC200" s="2">
        <f t="shared" si="266"/>
        <v>0</v>
      </c>
      <c r="BD200" s="2">
        <f t="shared" si="266"/>
        <v>0</v>
      </c>
      <c r="BE200" s="2">
        <f t="shared" si="266"/>
        <v>0</v>
      </c>
      <c r="BF200" s="2">
        <f t="shared" si="266"/>
        <v>0</v>
      </c>
      <c r="BG200" s="2">
        <f t="shared" si="266"/>
        <v>0</v>
      </c>
      <c r="BH200" s="2">
        <f t="shared" si="266"/>
        <v>0</v>
      </c>
      <c r="BI200" s="2">
        <f t="shared" si="266"/>
        <v>0</v>
      </c>
      <c r="BJ200" s="2">
        <f t="shared" si="266"/>
        <v>0</v>
      </c>
      <c r="BK200" s="2" t="e">
        <f t="shared" si="266"/>
        <v>#DIV/0!</v>
      </c>
      <c r="BM200" s="2">
        <f t="shared" si="265"/>
        <v>0</v>
      </c>
    </row>
    <row r="201" spans="1:65">
      <c r="A201" s="47" t="s">
        <v>50</v>
      </c>
      <c r="B201" s="54">
        <f>IF(B196=1, IF(B183&gt;6.5, IF(B183&lt;=7.25, 1, 0), 0), 0)</f>
        <v>1</v>
      </c>
      <c r="C201" s="2">
        <f t="shared" ref="C201:BM201" si="267">IF(C196=1, IF(C183&gt;6.5, IF(C183&lt;=7.25, 1, 0), 0), 0)</f>
        <v>1</v>
      </c>
      <c r="D201" s="2">
        <f t="shared" si="267"/>
        <v>1</v>
      </c>
      <c r="E201" s="2">
        <f t="shared" si="267"/>
        <v>1</v>
      </c>
      <c r="F201" s="2">
        <f t="shared" si="267"/>
        <v>1</v>
      </c>
      <c r="G201" s="2">
        <f t="shared" si="267"/>
        <v>1</v>
      </c>
      <c r="H201" s="2">
        <f t="shared" si="267"/>
        <v>1</v>
      </c>
      <c r="I201" s="2">
        <f t="shared" si="267"/>
        <v>1</v>
      </c>
      <c r="J201" s="2">
        <f t="shared" si="267"/>
        <v>1</v>
      </c>
      <c r="K201" s="54">
        <f t="shared" si="267"/>
        <v>1</v>
      </c>
      <c r="L201" s="2">
        <f t="shared" si="267"/>
        <v>1</v>
      </c>
      <c r="M201" s="2">
        <f t="shared" si="267"/>
        <v>1</v>
      </c>
      <c r="N201" s="2">
        <f t="shared" si="267"/>
        <v>1</v>
      </c>
      <c r="O201" s="2">
        <f t="shared" si="267"/>
        <v>1</v>
      </c>
      <c r="P201" s="2">
        <f t="shared" si="267"/>
        <v>1</v>
      </c>
      <c r="Q201" s="54">
        <f t="shared" si="267"/>
        <v>0</v>
      </c>
      <c r="R201" s="2">
        <f t="shared" si="267"/>
        <v>0</v>
      </c>
      <c r="S201" s="2">
        <f t="shared" si="267"/>
        <v>0</v>
      </c>
      <c r="T201" s="2">
        <f t="shared" si="267"/>
        <v>0</v>
      </c>
      <c r="U201" s="2">
        <f t="shared" ref="U201:BK201" si="268">IF(U196=1, IF(U183&gt;6.5, IF(U183&lt;=7.25, 1, 0), 0), 0)</f>
        <v>0</v>
      </c>
      <c r="V201" s="2">
        <f t="shared" si="268"/>
        <v>0</v>
      </c>
      <c r="W201" s="2">
        <f t="shared" si="268"/>
        <v>1</v>
      </c>
      <c r="X201" s="2">
        <f t="shared" si="268"/>
        <v>0</v>
      </c>
      <c r="Y201" s="54">
        <f t="shared" si="268"/>
        <v>0</v>
      </c>
      <c r="Z201" s="2">
        <f t="shared" si="268"/>
        <v>1</v>
      </c>
      <c r="AA201" s="54">
        <f t="shared" si="268"/>
        <v>1</v>
      </c>
      <c r="AB201" s="2">
        <f t="shared" si="268"/>
        <v>0</v>
      </c>
      <c r="AC201" s="2">
        <f t="shared" si="268"/>
        <v>0</v>
      </c>
      <c r="AD201" s="2">
        <f t="shared" si="268"/>
        <v>0</v>
      </c>
      <c r="AE201" s="2">
        <f t="shared" si="268"/>
        <v>0</v>
      </c>
      <c r="AF201" s="2">
        <f t="shared" si="268"/>
        <v>0</v>
      </c>
      <c r="AG201" s="2">
        <f t="shared" si="268"/>
        <v>0</v>
      </c>
      <c r="AH201" s="2">
        <f t="shared" si="268"/>
        <v>0</v>
      </c>
      <c r="AI201" s="2">
        <f t="shared" si="268"/>
        <v>0</v>
      </c>
      <c r="AJ201" s="2">
        <f t="shared" si="268"/>
        <v>0</v>
      </c>
      <c r="AK201" s="2">
        <f t="shared" si="268"/>
        <v>0</v>
      </c>
      <c r="AL201" s="2">
        <f t="shared" si="268"/>
        <v>0</v>
      </c>
      <c r="AM201" s="2">
        <f t="shared" si="268"/>
        <v>0</v>
      </c>
      <c r="AN201" s="2">
        <f t="shared" si="268"/>
        <v>0</v>
      </c>
      <c r="AO201" s="2">
        <f t="shared" si="268"/>
        <v>0</v>
      </c>
      <c r="AP201" s="2">
        <f t="shared" si="268"/>
        <v>1</v>
      </c>
      <c r="AQ201" s="2">
        <f t="shared" si="268"/>
        <v>1</v>
      </c>
      <c r="AR201" s="2">
        <f t="shared" si="268"/>
        <v>1</v>
      </c>
      <c r="AS201" s="2">
        <f t="shared" si="268"/>
        <v>1</v>
      </c>
      <c r="AT201" s="2">
        <f t="shared" si="268"/>
        <v>1</v>
      </c>
      <c r="AU201" s="54">
        <f t="shared" si="268"/>
        <v>1</v>
      </c>
      <c r="AV201" s="2">
        <f t="shared" si="268"/>
        <v>1</v>
      </c>
      <c r="AW201" s="2">
        <f t="shared" si="268"/>
        <v>1</v>
      </c>
      <c r="AX201" s="2">
        <f t="shared" si="268"/>
        <v>1</v>
      </c>
      <c r="AY201" s="2">
        <f t="shared" si="268"/>
        <v>1</v>
      </c>
      <c r="AZ201" s="2">
        <f t="shared" si="268"/>
        <v>1</v>
      </c>
      <c r="BA201" s="2">
        <f t="shared" si="268"/>
        <v>0</v>
      </c>
      <c r="BB201" s="2">
        <f t="shared" si="268"/>
        <v>0</v>
      </c>
      <c r="BC201" s="2">
        <f t="shared" si="268"/>
        <v>0</v>
      </c>
      <c r="BD201" s="2">
        <f t="shared" si="268"/>
        <v>0</v>
      </c>
      <c r="BE201" s="2">
        <f t="shared" si="268"/>
        <v>0</v>
      </c>
      <c r="BF201" s="2">
        <f t="shared" si="268"/>
        <v>0</v>
      </c>
      <c r="BG201" s="2">
        <f t="shared" si="268"/>
        <v>0</v>
      </c>
      <c r="BH201" s="2">
        <f t="shared" si="268"/>
        <v>0</v>
      </c>
      <c r="BI201" s="2">
        <f t="shared" si="268"/>
        <v>0</v>
      </c>
      <c r="BJ201" s="2">
        <f t="shared" si="268"/>
        <v>0</v>
      </c>
      <c r="BK201" s="2" t="e">
        <f t="shared" si="268"/>
        <v>#DIV/0!</v>
      </c>
      <c r="BM201" s="2">
        <f t="shared" si="267"/>
        <v>1</v>
      </c>
    </row>
    <row r="202" spans="1:65">
      <c r="A202" s="37" t="s">
        <v>27</v>
      </c>
      <c r="B202" s="54">
        <f>IF(B201=1, IF(B182&gt;0.5, 17, 18), 0)</f>
        <v>17</v>
      </c>
      <c r="C202" s="2">
        <f t="shared" ref="C202:BM202" si="269">IF(C201=1, IF(C182&gt;0.5, 17, 18), 0)</f>
        <v>17</v>
      </c>
      <c r="D202" s="2">
        <f t="shared" si="269"/>
        <v>17</v>
      </c>
      <c r="E202" s="2">
        <f t="shared" si="269"/>
        <v>17</v>
      </c>
      <c r="F202" s="2">
        <f t="shared" si="269"/>
        <v>17</v>
      </c>
      <c r="G202" s="2">
        <f t="shared" si="269"/>
        <v>17</v>
      </c>
      <c r="H202" s="2">
        <f t="shared" si="269"/>
        <v>17</v>
      </c>
      <c r="I202" s="2">
        <f t="shared" si="269"/>
        <v>17</v>
      </c>
      <c r="J202" s="2">
        <f t="shared" si="269"/>
        <v>17</v>
      </c>
      <c r="K202" s="54">
        <f t="shared" si="269"/>
        <v>17</v>
      </c>
      <c r="L202" s="2">
        <f t="shared" si="269"/>
        <v>17</v>
      </c>
      <c r="M202" s="2">
        <f t="shared" si="269"/>
        <v>17</v>
      </c>
      <c r="N202" s="2">
        <f t="shared" si="269"/>
        <v>17</v>
      </c>
      <c r="O202" s="2">
        <f t="shared" si="269"/>
        <v>17</v>
      </c>
      <c r="P202" s="2">
        <f t="shared" si="269"/>
        <v>17</v>
      </c>
      <c r="Q202" s="54">
        <f t="shared" si="269"/>
        <v>0</v>
      </c>
      <c r="R202" s="2">
        <f t="shared" si="269"/>
        <v>0</v>
      </c>
      <c r="S202" s="2">
        <f t="shared" si="269"/>
        <v>0</v>
      </c>
      <c r="T202" s="2">
        <f t="shared" si="269"/>
        <v>0</v>
      </c>
      <c r="U202" s="2">
        <f t="shared" ref="U202:BK202" si="270">IF(U201=1, IF(U182&gt;0.5, 17, 18), 0)</f>
        <v>0</v>
      </c>
      <c r="V202" s="2">
        <f t="shared" si="270"/>
        <v>0</v>
      </c>
      <c r="W202" s="2">
        <f t="shared" si="270"/>
        <v>17</v>
      </c>
      <c r="X202" s="2">
        <f t="shared" si="270"/>
        <v>0</v>
      </c>
      <c r="Y202" s="54">
        <f t="shared" si="270"/>
        <v>0</v>
      </c>
      <c r="Z202" s="2">
        <f t="shared" si="270"/>
        <v>17</v>
      </c>
      <c r="AA202" s="54">
        <f t="shared" si="270"/>
        <v>17</v>
      </c>
      <c r="AB202" s="2">
        <f t="shared" si="270"/>
        <v>0</v>
      </c>
      <c r="AC202" s="2">
        <f t="shared" si="270"/>
        <v>0</v>
      </c>
      <c r="AD202" s="2">
        <f t="shared" si="270"/>
        <v>0</v>
      </c>
      <c r="AE202" s="2">
        <f t="shared" si="270"/>
        <v>0</v>
      </c>
      <c r="AF202" s="2">
        <f t="shared" si="270"/>
        <v>0</v>
      </c>
      <c r="AG202" s="2">
        <f t="shared" si="270"/>
        <v>0</v>
      </c>
      <c r="AH202" s="2">
        <f t="shared" si="270"/>
        <v>0</v>
      </c>
      <c r="AI202" s="2">
        <f t="shared" si="270"/>
        <v>0</v>
      </c>
      <c r="AJ202" s="2">
        <f t="shared" si="270"/>
        <v>0</v>
      </c>
      <c r="AK202" s="2">
        <f t="shared" si="270"/>
        <v>0</v>
      </c>
      <c r="AL202" s="2">
        <f t="shared" si="270"/>
        <v>0</v>
      </c>
      <c r="AM202" s="2">
        <f t="shared" si="270"/>
        <v>0</v>
      </c>
      <c r="AN202" s="2">
        <f t="shared" si="270"/>
        <v>0</v>
      </c>
      <c r="AO202" s="2">
        <f t="shared" si="270"/>
        <v>0</v>
      </c>
      <c r="AP202" s="2">
        <f t="shared" si="270"/>
        <v>17</v>
      </c>
      <c r="AQ202" s="2">
        <f t="shared" si="270"/>
        <v>17</v>
      </c>
      <c r="AR202" s="2">
        <f t="shared" si="270"/>
        <v>17</v>
      </c>
      <c r="AS202" s="2">
        <f t="shared" si="270"/>
        <v>17</v>
      </c>
      <c r="AT202" s="2">
        <f t="shared" si="270"/>
        <v>17</v>
      </c>
      <c r="AU202" s="54">
        <f t="shared" si="270"/>
        <v>17</v>
      </c>
      <c r="AV202" s="2">
        <f t="shared" si="270"/>
        <v>17</v>
      </c>
      <c r="AW202" s="2">
        <f t="shared" si="270"/>
        <v>17</v>
      </c>
      <c r="AX202" s="2">
        <f t="shared" si="270"/>
        <v>17</v>
      </c>
      <c r="AY202" s="2">
        <f t="shared" si="270"/>
        <v>17</v>
      </c>
      <c r="AZ202" s="2">
        <f t="shared" si="270"/>
        <v>17</v>
      </c>
      <c r="BA202" s="2">
        <f t="shared" si="270"/>
        <v>0</v>
      </c>
      <c r="BB202" s="2">
        <f t="shared" si="270"/>
        <v>0</v>
      </c>
      <c r="BC202" s="2">
        <f t="shared" si="270"/>
        <v>0</v>
      </c>
      <c r="BD202" s="2">
        <f t="shared" si="270"/>
        <v>0</v>
      </c>
      <c r="BE202" s="2">
        <f t="shared" si="270"/>
        <v>0</v>
      </c>
      <c r="BF202" s="2">
        <f t="shared" si="270"/>
        <v>0</v>
      </c>
      <c r="BG202" s="2">
        <f t="shared" si="270"/>
        <v>0</v>
      </c>
      <c r="BH202" s="2">
        <f t="shared" si="270"/>
        <v>0</v>
      </c>
      <c r="BI202" s="2">
        <f t="shared" si="270"/>
        <v>0</v>
      </c>
      <c r="BJ202" s="2">
        <f t="shared" si="270"/>
        <v>0</v>
      </c>
      <c r="BK202" s="2" t="e">
        <f t="shared" si="270"/>
        <v>#DIV/0!</v>
      </c>
      <c r="BM202" s="2">
        <f t="shared" si="269"/>
        <v>17</v>
      </c>
    </row>
    <row r="203" spans="1:65">
      <c r="A203" s="47" t="s">
        <v>28</v>
      </c>
      <c r="B203" s="54">
        <f>IF(B196=1, IF(B183&gt;6.25, IF(B183&lt;=6.5, 1, 0), 0), 0)</f>
        <v>0</v>
      </c>
      <c r="C203" s="2">
        <f t="shared" ref="C203:BM203" si="271">IF(C196=1, IF(C183&gt;6.25, IF(C183&lt;=6.5, 1, 0), 0), 0)</f>
        <v>0</v>
      </c>
      <c r="D203" s="2">
        <f t="shared" si="271"/>
        <v>0</v>
      </c>
      <c r="E203" s="2">
        <f t="shared" si="271"/>
        <v>0</v>
      </c>
      <c r="F203" s="2">
        <f t="shared" si="271"/>
        <v>0</v>
      </c>
      <c r="G203" s="2">
        <f t="shared" si="271"/>
        <v>0</v>
      </c>
      <c r="H203" s="2">
        <f t="shared" si="271"/>
        <v>0</v>
      </c>
      <c r="I203" s="2">
        <f t="shared" si="271"/>
        <v>0</v>
      </c>
      <c r="J203" s="2">
        <f t="shared" si="271"/>
        <v>0</v>
      </c>
      <c r="K203" s="54">
        <f t="shared" si="271"/>
        <v>0</v>
      </c>
      <c r="L203" s="2">
        <f t="shared" si="271"/>
        <v>0</v>
      </c>
      <c r="M203" s="2">
        <f t="shared" si="271"/>
        <v>0</v>
      </c>
      <c r="N203" s="2">
        <f t="shared" si="271"/>
        <v>0</v>
      </c>
      <c r="O203" s="2">
        <f t="shared" si="271"/>
        <v>0</v>
      </c>
      <c r="P203" s="2">
        <f t="shared" si="271"/>
        <v>0</v>
      </c>
      <c r="Q203" s="54">
        <f t="shared" si="271"/>
        <v>0</v>
      </c>
      <c r="R203" s="2">
        <f t="shared" si="271"/>
        <v>0</v>
      </c>
      <c r="S203" s="2">
        <f t="shared" si="271"/>
        <v>0</v>
      </c>
      <c r="T203" s="2">
        <f t="shared" si="271"/>
        <v>0</v>
      </c>
      <c r="U203" s="2">
        <f t="shared" ref="U203:BK203" si="272">IF(U196=1, IF(U183&gt;6.25, IF(U183&lt;=6.5, 1, 0), 0), 0)</f>
        <v>0</v>
      </c>
      <c r="V203" s="2">
        <f t="shared" si="272"/>
        <v>0</v>
      </c>
      <c r="W203" s="2">
        <f t="shared" si="272"/>
        <v>0</v>
      </c>
      <c r="X203" s="2">
        <f t="shared" si="272"/>
        <v>0</v>
      </c>
      <c r="Y203" s="54">
        <f t="shared" si="272"/>
        <v>0</v>
      </c>
      <c r="Z203" s="2">
        <f t="shared" si="272"/>
        <v>0</v>
      </c>
      <c r="AA203" s="54">
        <f t="shared" si="272"/>
        <v>0</v>
      </c>
      <c r="AB203" s="2">
        <f t="shared" si="272"/>
        <v>1</v>
      </c>
      <c r="AC203" s="2">
        <f t="shared" si="272"/>
        <v>0</v>
      </c>
      <c r="AD203" s="2">
        <f t="shared" si="272"/>
        <v>0</v>
      </c>
      <c r="AE203" s="2">
        <f t="shared" si="272"/>
        <v>0</v>
      </c>
      <c r="AF203" s="2">
        <f t="shared" si="272"/>
        <v>0</v>
      </c>
      <c r="AG203" s="2">
        <f t="shared" si="272"/>
        <v>0</v>
      </c>
      <c r="AH203" s="2">
        <f t="shared" si="272"/>
        <v>0</v>
      </c>
      <c r="AI203" s="2">
        <f t="shared" si="272"/>
        <v>0</v>
      </c>
      <c r="AJ203" s="2">
        <f t="shared" si="272"/>
        <v>0</v>
      </c>
      <c r="AK203" s="2">
        <f t="shared" si="272"/>
        <v>0</v>
      </c>
      <c r="AL203" s="2">
        <f t="shared" si="272"/>
        <v>0</v>
      </c>
      <c r="AM203" s="2">
        <f t="shared" si="272"/>
        <v>0</v>
      </c>
      <c r="AN203" s="2">
        <f t="shared" si="272"/>
        <v>0</v>
      </c>
      <c r="AO203" s="2">
        <f t="shared" si="272"/>
        <v>0</v>
      </c>
      <c r="AP203" s="2">
        <f t="shared" si="272"/>
        <v>0</v>
      </c>
      <c r="AQ203" s="2">
        <f t="shared" si="272"/>
        <v>0</v>
      </c>
      <c r="AR203" s="2">
        <f t="shared" si="272"/>
        <v>0</v>
      </c>
      <c r="AS203" s="2">
        <f t="shared" si="272"/>
        <v>0</v>
      </c>
      <c r="AT203" s="2">
        <f t="shared" si="272"/>
        <v>0</v>
      </c>
      <c r="AU203" s="54">
        <f t="shared" si="272"/>
        <v>0</v>
      </c>
      <c r="AV203" s="2">
        <f t="shared" si="272"/>
        <v>0</v>
      </c>
      <c r="AW203" s="2">
        <f t="shared" si="272"/>
        <v>0</v>
      </c>
      <c r="AX203" s="2">
        <f t="shared" si="272"/>
        <v>0</v>
      </c>
      <c r="AY203" s="2">
        <f t="shared" si="272"/>
        <v>0</v>
      </c>
      <c r="AZ203" s="2">
        <f t="shared" si="272"/>
        <v>0</v>
      </c>
      <c r="BA203" s="2">
        <f t="shared" si="272"/>
        <v>1</v>
      </c>
      <c r="BB203" s="2">
        <f t="shared" si="272"/>
        <v>1</v>
      </c>
      <c r="BC203" s="2">
        <f t="shared" si="272"/>
        <v>0</v>
      </c>
      <c r="BD203" s="2">
        <f t="shared" si="272"/>
        <v>1</v>
      </c>
      <c r="BE203" s="2">
        <f t="shared" si="272"/>
        <v>0</v>
      </c>
      <c r="BF203" s="2">
        <f t="shared" si="272"/>
        <v>0</v>
      </c>
      <c r="BG203" s="2">
        <f t="shared" si="272"/>
        <v>0</v>
      </c>
      <c r="BH203" s="2">
        <f t="shared" si="272"/>
        <v>0</v>
      </c>
      <c r="BI203" s="2">
        <f t="shared" si="272"/>
        <v>0</v>
      </c>
      <c r="BJ203" s="2">
        <f t="shared" si="272"/>
        <v>0</v>
      </c>
      <c r="BK203" s="2" t="e">
        <f t="shared" si="272"/>
        <v>#DIV/0!</v>
      </c>
      <c r="BM203" s="2">
        <f t="shared" si="271"/>
        <v>0</v>
      </c>
    </row>
    <row r="204" spans="1:65">
      <c r="A204" s="37" t="s">
        <v>29</v>
      </c>
      <c r="B204" s="54">
        <f>IF(B203=1, IF(B182&gt;0.5, 19, 20), 0)</f>
        <v>0</v>
      </c>
      <c r="C204" s="2">
        <f t="shared" ref="C204:BM204" si="273">IF(C203=1, IF(C182&gt;0.5, 19, 20), 0)</f>
        <v>0</v>
      </c>
      <c r="D204" s="2">
        <f t="shared" si="273"/>
        <v>0</v>
      </c>
      <c r="E204" s="2">
        <f t="shared" si="273"/>
        <v>0</v>
      </c>
      <c r="F204" s="2">
        <f t="shared" si="273"/>
        <v>0</v>
      </c>
      <c r="G204" s="2">
        <f t="shared" si="273"/>
        <v>0</v>
      </c>
      <c r="H204" s="2">
        <f t="shared" si="273"/>
        <v>0</v>
      </c>
      <c r="I204" s="2">
        <f t="shared" si="273"/>
        <v>0</v>
      </c>
      <c r="J204" s="2">
        <f t="shared" si="273"/>
        <v>0</v>
      </c>
      <c r="K204" s="54">
        <f t="shared" si="273"/>
        <v>0</v>
      </c>
      <c r="L204" s="2">
        <f t="shared" si="273"/>
        <v>0</v>
      </c>
      <c r="M204" s="2">
        <f t="shared" si="273"/>
        <v>0</v>
      </c>
      <c r="N204" s="2">
        <f t="shared" si="273"/>
        <v>0</v>
      </c>
      <c r="O204" s="2">
        <f t="shared" si="273"/>
        <v>0</v>
      </c>
      <c r="P204" s="2">
        <f t="shared" si="273"/>
        <v>0</v>
      </c>
      <c r="Q204" s="54">
        <f t="shared" si="273"/>
        <v>0</v>
      </c>
      <c r="R204" s="2">
        <f t="shared" si="273"/>
        <v>0</v>
      </c>
      <c r="S204" s="2">
        <f t="shared" si="273"/>
        <v>0</v>
      </c>
      <c r="T204" s="2">
        <f t="shared" si="273"/>
        <v>0</v>
      </c>
      <c r="U204" s="2">
        <f t="shared" ref="U204:BK204" si="274">IF(U203=1, IF(U182&gt;0.5, 19, 20), 0)</f>
        <v>0</v>
      </c>
      <c r="V204" s="2">
        <f t="shared" si="274"/>
        <v>0</v>
      </c>
      <c r="W204" s="2">
        <f t="shared" si="274"/>
        <v>0</v>
      </c>
      <c r="X204" s="2">
        <f t="shared" si="274"/>
        <v>0</v>
      </c>
      <c r="Y204" s="54">
        <f t="shared" si="274"/>
        <v>0</v>
      </c>
      <c r="Z204" s="2">
        <f t="shared" si="274"/>
        <v>0</v>
      </c>
      <c r="AA204" s="54">
        <f t="shared" si="274"/>
        <v>0</v>
      </c>
      <c r="AB204" s="2">
        <f t="shared" si="274"/>
        <v>19</v>
      </c>
      <c r="AC204" s="2">
        <f t="shared" si="274"/>
        <v>0</v>
      </c>
      <c r="AD204" s="2">
        <f t="shared" si="274"/>
        <v>0</v>
      </c>
      <c r="AE204" s="2">
        <f t="shared" si="274"/>
        <v>0</v>
      </c>
      <c r="AF204" s="2">
        <f t="shared" si="274"/>
        <v>0</v>
      </c>
      <c r="AG204" s="2">
        <f t="shared" si="274"/>
        <v>0</v>
      </c>
      <c r="AH204" s="2">
        <f t="shared" si="274"/>
        <v>0</v>
      </c>
      <c r="AI204" s="2">
        <f t="shared" si="274"/>
        <v>0</v>
      </c>
      <c r="AJ204" s="2">
        <f t="shared" si="274"/>
        <v>0</v>
      </c>
      <c r="AK204" s="2">
        <f t="shared" si="274"/>
        <v>0</v>
      </c>
      <c r="AL204" s="2">
        <f t="shared" si="274"/>
        <v>0</v>
      </c>
      <c r="AM204" s="2">
        <f t="shared" si="274"/>
        <v>0</v>
      </c>
      <c r="AN204" s="2">
        <f t="shared" si="274"/>
        <v>0</v>
      </c>
      <c r="AO204" s="2">
        <f t="shared" si="274"/>
        <v>0</v>
      </c>
      <c r="AP204" s="2">
        <f t="shared" si="274"/>
        <v>0</v>
      </c>
      <c r="AQ204" s="2">
        <f t="shared" si="274"/>
        <v>0</v>
      </c>
      <c r="AR204" s="2">
        <f t="shared" si="274"/>
        <v>0</v>
      </c>
      <c r="AS204" s="2">
        <f t="shared" si="274"/>
        <v>0</v>
      </c>
      <c r="AT204" s="2">
        <f t="shared" si="274"/>
        <v>0</v>
      </c>
      <c r="AU204" s="54">
        <f t="shared" si="274"/>
        <v>0</v>
      </c>
      <c r="AV204" s="2">
        <f t="shared" si="274"/>
        <v>0</v>
      </c>
      <c r="AW204" s="2">
        <f t="shared" si="274"/>
        <v>0</v>
      </c>
      <c r="AX204" s="2">
        <f t="shared" si="274"/>
        <v>0</v>
      </c>
      <c r="AY204" s="2">
        <f t="shared" si="274"/>
        <v>0</v>
      </c>
      <c r="AZ204" s="2">
        <f t="shared" si="274"/>
        <v>0</v>
      </c>
      <c r="BA204" s="2">
        <f t="shared" si="274"/>
        <v>19</v>
      </c>
      <c r="BB204" s="2">
        <f t="shared" si="274"/>
        <v>19</v>
      </c>
      <c r="BC204" s="2">
        <f t="shared" si="274"/>
        <v>0</v>
      </c>
      <c r="BD204" s="2">
        <f t="shared" si="274"/>
        <v>19</v>
      </c>
      <c r="BE204" s="2">
        <f t="shared" si="274"/>
        <v>0</v>
      </c>
      <c r="BF204" s="2">
        <f t="shared" si="274"/>
        <v>0</v>
      </c>
      <c r="BG204" s="2">
        <f t="shared" si="274"/>
        <v>0</v>
      </c>
      <c r="BH204" s="2">
        <f t="shared" si="274"/>
        <v>0</v>
      </c>
      <c r="BI204" s="2">
        <f t="shared" si="274"/>
        <v>0</v>
      </c>
      <c r="BJ204" s="2">
        <f t="shared" si="274"/>
        <v>0</v>
      </c>
      <c r="BK204" s="2" t="e">
        <f t="shared" si="274"/>
        <v>#DIV/0!</v>
      </c>
      <c r="BM204" s="2">
        <f t="shared" si="273"/>
        <v>0</v>
      </c>
    </row>
    <row r="205" spans="1:65">
      <c r="A205" s="47" t="s">
        <v>30</v>
      </c>
      <c r="B205" s="54">
        <f>IF(B196=1, IF(B183&lt;=6.25, 1, 0), 0)</f>
        <v>0</v>
      </c>
      <c r="C205" s="2">
        <f t="shared" ref="C205:BM205" si="275">IF(C196=1, IF(C183&lt;=6.25, 1, 0), 0)</f>
        <v>0</v>
      </c>
      <c r="D205" s="2">
        <f t="shared" si="275"/>
        <v>0</v>
      </c>
      <c r="E205" s="2">
        <f t="shared" si="275"/>
        <v>0</v>
      </c>
      <c r="F205" s="2">
        <f>IF(F196=1, IF(F183&lt;=6.25, 1, 0), 0)</f>
        <v>0</v>
      </c>
      <c r="G205" s="2">
        <f t="shared" si="275"/>
        <v>0</v>
      </c>
      <c r="H205" s="2">
        <f t="shared" si="275"/>
        <v>0</v>
      </c>
      <c r="I205" s="2">
        <f t="shared" si="275"/>
        <v>0</v>
      </c>
      <c r="J205" s="2">
        <f t="shared" si="275"/>
        <v>0</v>
      </c>
      <c r="K205" s="54">
        <f t="shared" si="275"/>
        <v>0</v>
      </c>
      <c r="L205" s="2">
        <f t="shared" si="275"/>
        <v>0</v>
      </c>
      <c r="M205" s="2">
        <f t="shared" si="275"/>
        <v>0</v>
      </c>
      <c r="N205" s="2">
        <f t="shared" si="275"/>
        <v>0</v>
      </c>
      <c r="O205" s="2">
        <f t="shared" si="275"/>
        <v>0</v>
      </c>
      <c r="P205" s="2">
        <f t="shared" si="275"/>
        <v>0</v>
      </c>
      <c r="Q205" s="54">
        <f t="shared" si="275"/>
        <v>0</v>
      </c>
      <c r="R205" s="2">
        <f t="shared" si="275"/>
        <v>0</v>
      </c>
      <c r="S205" s="2">
        <f t="shared" si="275"/>
        <v>0</v>
      </c>
      <c r="T205" s="2">
        <f t="shared" si="275"/>
        <v>0</v>
      </c>
      <c r="U205" s="2">
        <f t="shared" ref="U205:BK205" si="276">IF(U196=1, IF(U183&lt;=6.25, 1, 0), 0)</f>
        <v>0</v>
      </c>
      <c r="V205" s="2">
        <f t="shared" si="276"/>
        <v>0</v>
      </c>
      <c r="W205" s="2">
        <f t="shared" si="276"/>
        <v>0</v>
      </c>
      <c r="X205" s="2">
        <f t="shared" si="276"/>
        <v>0</v>
      </c>
      <c r="Y205" s="54">
        <f t="shared" si="276"/>
        <v>1</v>
      </c>
      <c r="Z205" s="2">
        <f t="shared" si="276"/>
        <v>0</v>
      </c>
      <c r="AA205" s="54">
        <f t="shared" si="276"/>
        <v>0</v>
      </c>
      <c r="AB205" s="2">
        <f t="shared" si="276"/>
        <v>0</v>
      </c>
      <c r="AC205" s="2">
        <f t="shared" si="276"/>
        <v>0</v>
      </c>
      <c r="AD205" s="2">
        <f t="shared" si="276"/>
        <v>0</v>
      </c>
      <c r="AE205" s="2">
        <f t="shared" si="276"/>
        <v>0</v>
      </c>
      <c r="AF205" s="2">
        <f t="shared" si="276"/>
        <v>0</v>
      </c>
      <c r="AG205" s="2">
        <f t="shared" si="276"/>
        <v>0</v>
      </c>
      <c r="AH205" s="2">
        <f t="shared" si="276"/>
        <v>0</v>
      </c>
      <c r="AI205" s="2">
        <f t="shared" si="276"/>
        <v>0</v>
      </c>
      <c r="AJ205" s="2">
        <f t="shared" si="276"/>
        <v>0</v>
      </c>
      <c r="AK205" s="2">
        <f t="shared" si="276"/>
        <v>0</v>
      </c>
      <c r="AL205" s="2">
        <f t="shared" si="276"/>
        <v>0</v>
      </c>
      <c r="AM205" s="2">
        <f t="shared" si="276"/>
        <v>0</v>
      </c>
      <c r="AN205" s="2">
        <f t="shared" si="276"/>
        <v>0</v>
      </c>
      <c r="AO205" s="2">
        <f t="shared" si="276"/>
        <v>0</v>
      </c>
      <c r="AP205" s="2">
        <f t="shared" si="276"/>
        <v>0</v>
      </c>
      <c r="AQ205" s="2">
        <f t="shared" si="276"/>
        <v>0</v>
      </c>
      <c r="AR205" s="2">
        <f t="shared" si="276"/>
        <v>0</v>
      </c>
      <c r="AS205" s="2">
        <f t="shared" si="276"/>
        <v>0</v>
      </c>
      <c r="AT205" s="2">
        <f t="shared" si="276"/>
        <v>0</v>
      </c>
      <c r="AU205" s="54">
        <f t="shared" si="276"/>
        <v>0</v>
      </c>
      <c r="AV205" s="2">
        <f t="shared" si="276"/>
        <v>0</v>
      </c>
      <c r="AW205" s="2">
        <f t="shared" si="276"/>
        <v>0</v>
      </c>
      <c r="AX205" s="2">
        <f t="shared" si="276"/>
        <v>0</v>
      </c>
      <c r="AY205" s="2">
        <f t="shared" si="276"/>
        <v>0</v>
      </c>
      <c r="AZ205" s="2">
        <f t="shared" si="276"/>
        <v>0</v>
      </c>
      <c r="BA205" s="2">
        <f t="shared" si="276"/>
        <v>0</v>
      </c>
      <c r="BB205" s="2">
        <f t="shared" si="276"/>
        <v>0</v>
      </c>
      <c r="BC205" s="2">
        <f t="shared" si="276"/>
        <v>0</v>
      </c>
      <c r="BD205" s="2">
        <f t="shared" si="276"/>
        <v>0</v>
      </c>
      <c r="BE205" s="2">
        <f t="shared" si="276"/>
        <v>0</v>
      </c>
      <c r="BF205" s="2">
        <f t="shared" si="276"/>
        <v>0</v>
      </c>
      <c r="BG205" s="2">
        <f t="shared" si="276"/>
        <v>0</v>
      </c>
      <c r="BH205" s="2">
        <f t="shared" si="276"/>
        <v>0</v>
      </c>
      <c r="BI205" s="2">
        <f t="shared" si="276"/>
        <v>0</v>
      </c>
      <c r="BJ205" s="2">
        <f t="shared" si="276"/>
        <v>0</v>
      </c>
      <c r="BK205" s="2" t="e">
        <f t="shared" si="276"/>
        <v>#DIV/0!</v>
      </c>
      <c r="BM205" s="2">
        <f t="shared" si="275"/>
        <v>0</v>
      </c>
    </row>
    <row r="206" spans="1:65">
      <c r="A206" s="37" t="s">
        <v>31</v>
      </c>
      <c r="B206" s="54">
        <f>IF(B205=1, IF(B182&gt;0.5, 21, 22), 0)</f>
        <v>0</v>
      </c>
      <c r="C206" s="2">
        <f t="shared" ref="C206:BM206" si="277">IF(C205=1, IF(C182&gt;0.5, 21, 22), 0)</f>
        <v>0</v>
      </c>
      <c r="D206" s="2">
        <f t="shared" si="277"/>
        <v>0</v>
      </c>
      <c r="E206" s="2">
        <f t="shared" si="277"/>
        <v>0</v>
      </c>
      <c r="F206" s="2">
        <f t="shared" si="277"/>
        <v>0</v>
      </c>
      <c r="G206" s="2">
        <f t="shared" si="277"/>
        <v>0</v>
      </c>
      <c r="H206" s="2">
        <f t="shared" si="277"/>
        <v>0</v>
      </c>
      <c r="I206" s="2">
        <f t="shared" si="277"/>
        <v>0</v>
      </c>
      <c r="J206" s="2">
        <f t="shared" si="277"/>
        <v>0</v>
      </c>
      <c r="K206" s="54">
        <f t="shared" si="277"/>
        <v>0</v>
      </c>
      <c r="L206" s="2">
        <f t="shared" si="277"/>
        <v>0</v>
      </c>
      <c r="M206" s="2">
        <f t="shared" si="277"/>
        <v>0</v>
      </c>
      <c r="N206" s="2">
        <f t="shared" si="277"/>
        <v>0</v>
      </c>
      <c r="O206" s="2">
        <f t="shared" si="277"/>
        <v>0</v>
      </c>
      <c r="P206" s="2">
        <f t="shared" si="277"/>
        <v>0</v>
      </c>
      <c r="Q206" s="54">
        <f t="shared" si="277"/>
        <v>0</v>
      </c>
      <c r="R206" s="2">
        <f t="shared" si="277"/>
        <v>0</v>
      </c>
      <c r="S206" s="2">
        <f t="shared" si="277"/>
        <v>0</v>
      </c>
      <c r="T206" s="2">
        <f t="shared" si="277"/>
        <v>0</v>
      </c>
      <c r="U206" s="2">
        <f t="shared" ref="U206:BK206" si="278">IF(U205=1, IF(U182&gt;0.5, 21, 22), 0)</f>
        <v>0</v>
      </c>
      <c r="V206" s="2">
        <f t="shared" si="278"/>
        <v>0</v>
      </c>
      <c r="W206" s="2">
        <f t="shared" si="278"/>
        <v>0</v>
      </c>
      <c r="X206" s="2">
        <f t="shared" si="278"/>
        <v>0</v>
      </c>
      <c r="Y206" s="54">
        <f t="shared" si="278"/>
        <v>21</v>
      </c>
      <c r="Z206" s="2">
        <f t="shared" si="278"/>
        <v>0</v>
      </c>
      <c r="AA206" s="54">
        <f t="shared" si="278"/>
        <v>0</v>
      </c>
      <c r="AB206" s="2">
        <f t="shared" si="278"/>
        <v>0</v>
      </c>
      <c r="AC206" s="2">
        <f t="shared" si="278"/>
        <v>0</v>
      </c>
      <c r="AD206" s="2">
        <f t="shared" si="278"/>
        <v>0</v>
      </c>
      <c r="AE206" s="2">
        <f t="shared" si="278"/>
        <v>0</v>
      </c>
      <c r="AF206" s="2">
        <f t="shared" si="278"/>
        <v>0</v>
      </c>
      <c r="AG206" s="2">
        <f t="shared" si="278"/>
        <v>0</v>
      </c>
      <c r="AH206" s="2">
        <f t="shared" si="278"/>
        <v>0</v>
      </c>
      <c r="AI206" s="2">
        <f t="shared" si="278"/>
        <v>0</v>
      </c>
      <c r="AJ206" s="2">
        <f t="shared" si="278"/>
        <v>0</v>
      </c>
      <c r="AK206" s="2">
        <f t="shared" si="278"/>
        <v>0</v>
      </c>
      <c r="AL206" s="2">
        <f t="shared" si="278"/>
        <v>0</v>
      </c>
      <c r="AM206" s="2">
        <f t="shared" si="278"/>
        <v>0</v>
      </c>
      <c r="AN206" s="2">
        <f t="shared" si="278"/>
        <v>0</v>
      </c>
      <c r="AO206" s="2">
        <f t="shared" si="278"/>
        <v>0</v>
      </c>
      <c r="AP206" s="2">
        <f t="shared" si="278"/>
        <v>0</v>
      </c>
      <c r="AQ206" s="2">
        <f t="shared" si="278"/>
        <v>0</v>
      </c>
      <c r="AR206" s="2">
        <f t="shared" si="278"/>
        <v>0</v>
      </c>
      <c r="AS206" s="2">
        <f t="shared" si="278"/>
        <v>0</v>
      </c>
      <c r="AT206" s="2">
        <f t="shared" si="278"/>
        <v>0</v>
      </c>
      <c r="AU206" s="54">
        <f t="shared" si="278"/>
        <v>0</v>
      </c>
      <c r="AV206" s="2">
        <f t="shared" si="278"/>
        <v>0</v>
      </c>
      <c r="AW206" s="2">
        <f t="shared" si="278"/>
        <v>0</v>
      </c>
      <c r="AX206" s="2">
        <f t="shared" si="278"/>
        <v>0</v>
      </c>
      <c r="AY206" s="2">
        <f t="shared" si="278"/>
        <v>0</v>
      </c>
      <c r="AZ206" s="2">
        <f t="shared" si="278"/>
        <v>0</v>
      </c>
      <c r="BA206" s="2">
        <f t="shared" si="278"/>
        <v>0</v>
      </c>
      <c r="BB206" s="2">
        <f t="shared" si="278"/>
        <v>0</v>
      </c>
      <c r="BC206" s="2">
        <f t="shared" si="278"/>
        <v>0</v>
      </c>
      <c r="BD206" s="2">
        <f t="shared" si="278"/>
        <v>0</v>
      </c>
      <c r="BE206" s="2">
        <f t="shared" si="278"/>
        <v>0</v>
      </c>
      <c r="BF206" s="2">
        <f t="shared" si="278"/>
        <v>0</v>
      </c>
      <c r="BG206" s="2">
        <f t="shared" si="278"/>
        <v>0</v>
      </c>
      <c r="BH206" s="2">
        <f t="shared" si="278"/>
        <v>0</v>
      </c>
      <c r="BI206" s="2">
        <f t="shared" si="278"/>
        <v>0</v>
      </c>
      <c r="BJ206" s="2">
        <f t="shared" si="278"/>
        <v>0</v>
      </c>
      <c r="BK206" s="2" t="e">
        <f t="shared" si="278"/>
        <v>#DIV/0!</v>
      </c>
      <c r="BM206" s="2">
        <f t="shared" si="277"/>
        <v>0</v>
      </c>
    </row>
    <row r="207" spans="1:65">
      <c r="A207" s="1" t="s">
        <v>45</v>
      </c>
      <c r="B207" s="54">
        <f>B194+B196</f>
        <v>1</v>
      </c>
      <c r="C207" s="2">
        <f t="shared" ref="C207:BM207" si="279">C194+C196</f>
        <v>1</v>
      </c>
      <c r="D207" s="2">
        <f t="shared" si="279"/>
        <v>1</v>
      </c>
      <c r="E207" s="2">
        <f t="shared" si="279"/>
        <v>1</v>
      </c>
      <c r="F207" s="2">
        <f t="shared" si="279"/>
        <v>1</v>
      </c>
      <c r="G207" s="2">
        <f t="shared" si="279"/>
        <v>1</v>
      </c>
      <c r="H207" s="2">
        <f t="shared" si="279"/>
        <v>1</v>
      </c>
      <c r="I207" s="2">
        <f t="shared" si="279"/>
        <v>1</v>
      </c>
      <c r="J207" s="2">
        <f t="shared" si="279"/>
        <v>1</v>
      </c>
      <c r="K207" s="54">
        <f t="shared" si="279"/>
        <v>1</v>
      </c>
      <c r="L207" s="2">
        <f t="shared" si="279"/>
        <v>1</v>
      </c>
      <c r="M207" s="2">
        <f t="shared" si="279"/>
        <v>1</v>
      </c>
      <c r="N207" s="2">
        <f t="shared" si="279"/>
        <v>1</v>
      </c>
      <c r="O207" s="2">
        <f t="shared" si="279"/>
        <v>1</v>
      </c>
      <c r="P207" s="2">
        <f t="shared" si="279"/>
        <v>1</v>
      </c>
      <c r="Q207" s="54">
        <f t="shared" si="279"/>
        <v>1</v>
      </c>
      <c r="R207" s="2">
        <f t="shared" si="279"/>
        <v>0</v>
      </c>
      <c r="S207" s="2">
        <f t="shared" si="279"/>
        <v>0</v>
      </c>
      <c r="T207" s="2">
        <f t="shared" si="279"/>
        <v>0</v>
      </c>
      <c r="U207" s="2">
        <f t="shared" ref="U207:BK207" si="280">U194+U196</f>
        <v>0</v>
      </c>
      <c r="V207" s="2">
        <f t="shared" si="280"/>
        <v>0</v>
      </c>
      <c r="W207" s="2">
        <f t="shared" si="280"/>
        <v>1</v>
      </c>
      <c r="X207" s="2">
        <f t="shared" si="280"/>
        <v>0</v>
      </c>
      <c r="Y207" s="54">
        <f t="shared" si="280"/>
        <v>1</v>
      </c>
      <c r="Z207" s="2">
        <f t="shared" si="280"/>
        <v>1</v>
      </c>
      <c r="AA207" s="54">
        <f t="shared" si="280"/>
        <v>1</v>
      </c>
      <c r="AB207" s="2">
        <f t="shared" si="280"/>
        <v>1</v>
      </c>
      <c r="AC207" s="2">
        <f t="shared" si="280"/>
        <v>0</v>
      </c>
      <c r="AD207" s="2">
        <f t="shared" si="280"/>
        <v>0</v>
      </c>
      <c r="AE207" s="2">
        <f t="shared" si="280"/>
        <v>0</v>
      </c>
      <c r="AF207" s="2">
        <f t="shared" si="280"/>
        <v>0</v>
      </c>
      <c r="AG207" s="2">
        <f t="shared" si="280"/>
        <v>0</v>
      </c>
      <c r="AH207" s="2">
        <f t="shared" si="280"/>
        <v>0</v>
      </c>
      <c r="AI207" s="2">
        <f t="shared" si="280"/>
        <v>0</v>
      </c>
      <c r="AJ207" s="2">
        <f t="shared" si="280"/>
        <v>0</v>
      </c>
      <c r="AK207" s="2">
        <f t="shared" si="280"/>
        <v>0</v>
      </c>
      <c r="AL207" s="2">
        <f t="shared" si="280"/>
        <v>0</v>
      </c>
      <c r="AM207" s="2">
        <f t="shared" si="280"/>
        <v>0</v>
      </c>
      <c r="AN207" s="2">
        <f t="shared" si="280"/>
        <v>0</v>
      </c>
      <c r="AO207" s="2">
        <f t="shared" si="280"/>
        <v>0</v>
      </c>
      <c r="AP207" s="2">
        <f t="shared" si="280"/>
        <v>1</v>
      </c>
      <c r="AQ207" s="2">
        <f t="shared" si="280"/>
        <v>1</v>
      </c>
      <c r="AR207" s="2">
        <f t="shared" si="280"/>
        <v>1</v>
      </c>
      <c r="AS207" s="2">
        <f t="shared" si="280"/>
        <v>1</v>
      </c>
      <c r="AT207" s="2">
        <f t="shared" si="280"/>
        <v>1</v>
      </c>
      <c r="AU207" s="54">
        <f t="shared" si="280"/>
        <v>1</v>
      </c>
      <c r="AV207" s="2">
        <f t="shared" si="280"/>
        <v>1</v>
      </c>
      <c r="AW207" s="2">
        <f t="shared" si="280"/>
        <v>1</v>
      </c>
      <c r="AX207" s="2">
        <f t="shared" si="280"/>
        <v>1</v>
      </c>
      <c r="AY207" s="2">
        <f t="shared" si="280"/>
        <v>1</v>
      </c>
      <c r="AZ207" s="2">
        <f t="shared" si="280"/>
        <v>1</v>
      </c>
      <c r="BA207" s="2">
        <f t="shared" si="280"/>
        <v>1</v>
      </c>
      <c r="BB207" s="2">
        <f t="shared" si="280"/>
        <v>1</v>
      </c>
      <c r="BC207" s="2">
        <f t="shared" si="280"/>
        <v>0</v>
      </c>
      <c r="BD207" s="2">
        <f t="shared" si="280"/>
        <v>1</v>
      </c>
      <c r="BE207" s="2">
        <f t="shared" si="280"/>
        <v>0</v>
      </c>
      <c r="BF207" s="2">
        <f t="shared" si="280"/>
        <v>0</v>
      </c>
      <c r="BG207" s="2">
        <f t="shared" si="280"/>
        <v>0</v>
      </c>
      <c r="BH207" s="2">
        <f t="shared" si="280"/>
        <v>0</v>
      </c>
      <c r="BI207" s="2">
        <f t="shared" si="280"/>
        <v>0</v>
      </c>
      <c r="BJ207" s="2">
        <f t="shared" si="280"/>
        <v>0</v>
      </c>
      <c r="BK207" s="2" t="e">
        <f t="shared" si="280"/>
        <v>#DIV/0!</v>
      </c>
      <c r="BM207" s="2">
        <f t="shared" si="279"/>
        <v>1</v>
      </c>
    </row>
    <row r="208" spans="1:65">
      <c r="A208" s="38" t="s">
        <v>33</v>
      </c>
      <c r="B208" s="54">
        <f>IF(B193=1, IF(B207=0, IF(B185&lt;=0.5, 1, 0), 0), 0)</f>
        <v>0</v>
      </c>
      <c r="C208" s="2">
        <f t="shared" ref="C208:BM208" si="281">IF(C193=1, IF(C207=0, IF(C185&lt;=0.5, 1, 0), 0), 0)</f>
        <v>0</v>
      </c>
      <c r="D208" s="2">
        <f t="shared" si="281"/>
        <v>0</v>
      </c>
      <c r="E208" s="2">
        <f t="shared" si="281"/>
        <v>0</v>
      </c>
      <c r="F208" s="2">
        <f t="shared" si="281"/>
        <v>0</v>
      </c>
      <c r="G208" s="2">
        <f t="shared" si="281"/>
        <v>0</v>
      </c>
      <c r="H208" s="2">
        <f t="shared" si="281"/>
        <v>0</v>
      </c>
      <c r="I208" s="2">
        <f t="shared" si="281"/>
        <v>0</v>
      </c>
      <c r="J208" s="2">
        <f t="shared" si="281"/>
        <v>0</v>
      </c>
      <c r="K208" s="54">
        <f t="shared" si="281"/>
        <v>0</v>
      </c>
      <c r="L208" s="2">
        <f t="shared" si="281"/>
        <v>0</v>
      </c>
      <c r="M208" s="2">
        <f t="shared" si="281"/>
        <v>0</v>
      </c>
      <c r="N208" s="2">
        <f t="shared" si="281"/>
        <v>0</v>
      </c>
      <c r="O208" s="2">
        <f t="shared" si="281"/>
        <v>0</v>
      </c>
      <c r="P208" s="2">
        <f t="shared" si="281"/>
        <v>0</v>
      </c>
      <c r="Q208" s="54">
        <f t="shared" si="281"/>
        <v>0</v>
      </c>
      <c r="R208" s="2">
        <f t="shared" si="281"/>
        <v>1</v>
      </c>
      <c r="S208" s="2">
        <f t="shared" si="281"/>
        <v>1</v>
      </c>
      <c r="T208" s="2">
        <f t="shared" si="281"/>
        <v>1</v>
      </c>
      <c r="U208" s="2">
        <f t="shared" ref="U208:BK208" si="282">IF(U193=1, IF(U207=0, IF(U185&lt;=0.5, 1, 0), 0), 0)</f>
        <v>1</v>
      </c>
      <c r="V208" s="2">
        <f t="shared" si="282"/>
        <v>1</v>
      </c>
      <c r="W208" s="2">
        <f t="shared" si="282"/>
        <v>0</v>
      </c>
      <c r="X208" s="2">
        <f t="shared" si="282"/>
        <v>1</v>
      </c>
      <c r="Y208" s="54">
        <f t="shared" si="282"/>
        <v>0</v>
      </c>
      <c r="Z208" s="2">
        <f t="shared" si="282"/>
        <v>0</v>
      </c>
      <c r="AA208" s="54">
        <f t="shared" si="282"/>
        <v>0</v>
      </c>
      <c r="AB208" s="2">
        <f t="shared" si="282"/>
        <v>0</v>
      </c>
      <c r="AC208" s="2">
        <f t="shared" si="282"/>
        <v>1</v>
      </c>
      <c r="AD208" s="2">
        <f t="shared" si="282"/>
        <v>1</v>
      </c>
      <c r="AE208" s="2">
        <f t="shared" si="282"/>
        <v>1</v>
      </c>
      <c r="AF208" s="2">
        <f t="shared" si="282"/>
        <v>1</v>
      </c>
      <c r="AG208" s="2">
        <f t="shared" si="282"/>
        <v>1</v>
      </c>
      <c r="AH208" s="2">
        <f t="shared" si="282"/>
        <v>1</v>
      </c>
      <c r="AI208" s="2">
        <f t="shared" si="282"/>
        <v>1</v>
      </c>
      <c r="AJ208" s="2">
        <f t="shared" si="282"/>
        <v>1</v>
      </c>
      <c r="AK208" s="2">
        <f t="shared" si="282"/>
        <v>1</v>
      </c>
      <c r="AL208" s="2">
        <f t="shared" si="282"/>
        <v>1</v>
      </c>
      <c r="AM208" s="2">
        <f t="shared" si="282"/>
        <v>1</v>
      </c>
      <c r="AN208" s="2">
        <f t="shared" si="282"/>
        <v>1</v>
      </c>
      <c r="AO208" s="2">
        <f t="shared" si="282"/>
        <v>1</v>
      </c>
      <c r="AP208" s="2">
        <f t="shared" si="282"/>
        <v>0</v>
      </c>
      <c r="AQ208" s="2">
        <f t="shared" si="282"/>
        <v>0</v>
      </c>
      <c r="AR208" s="2">
        <f t="shared" si="282"/>
        <v>0</v>
      </c>
      <c r="AS208" s="2">
        <f t="shared" si="282"/>
        <v>0</v>
      </c>
      <c r="AT208" s="2">
        <f t="shared" si="282"/>
        <v>0</v>
      </c>
      <c r="AU208" s="54">
        <f t="shared" si="282"/>
        <v>0</v>
      </c>
      <c r="AV208" s="2">
        <f t="shared" si="282"/>
        <v>0</v>
      </c>
      <c r="AW208" s="2">
        <f t="shared" si="282"/>
        <v>0</v>
      </c>
      <c r="AX208" s="2">
        <f t="shared" si="282"/>
        <v>0</v>
      </c>
      <c r="AY208" s="2">
        <f t="shared" si="282"/>
        <v>0</v>
      </c>
      <c r="AZ208" s="2">
        <f t="shared" si="282"/>
        <v>0</v>
      </c>
      <c r="BA208" s="2">
        <f t="shared" si="282"/>
        <v>0</v>
      </c>
      <c r="BB208" s="2">
        <f t="shared" si="282"/>
        <v>0</v>
      </c>
      <c r="BC208" s="2">
        <f t="shared" si="282"/>
        <v>1</v>
      </c>
      <c r="BD208" s="2">
        <f t="shared" si="282"/>
        <v>0</v>
      </c>
      <c r="BE208" s="2">
        <f t="shared" si="282"/>
        <v>1</v>
      </c>
      <c r="BF208" s="2">
        <f t="shared" si="282"/>
        <v>1</v>
      </c>
      <c r="BG208" s="2">
        <f t="shared" si="282"/>
        <v>1</v>
      </c>
      <c r="BH208" s="2">
        <f t="shared" si="282"/>
        <v>1</v>
      </c>
      <c r="BI208" s="2">
        <f t="shared" si="282"/>
        <v>1</v>
      </c>
      <c r="BJ208" s="2">
        <f t="shared" si="282"/>
        <v>1</v>
      </c>
      <c r="BK208" s="2" t="e">
        <f t="shared" si="282"/>
        <v>#DIV/0!</v>
      </c>
      <c r="BM208" s="2">
        <f t="shared" si="281"/>
        <v>0</v>
      </c>
    </row>
    <row r="209" spans="1:65">
      <c r="A209" s="47" t="s">
        <v>34</v>
      </c>
      <c r="B209" s="54">
        <f>IF(B208=1, IF(B183&gt;7.25, 1, 0), 0)</f>
        <v>0</v>
      </c>
      <c r="C209" s="2">
        <f t="shared" ref="C209:BM209" si="283">IF(C208=1, IF(C183&gt;7.25, 1, 0), 0)</f>
        <v>0</v>
      </c>
      <c r="D209" s="2">
        <f t="shared" si="283"/>
        <v>0</v>
      </c>
      <c r="E209" s="2">
        <f t="shared" si="283"/>
        <v>0</v>
      </c>
      <c r="F209" s="2">
        <f t="shared" si="283"/>
        <v>0</v>
      </c>
      <c r="G209" s="2">
        <f t="shared" si="283"/>
        <v>0</v>
      </c>
      <c r="H209" s="2">
        <f t="shared" si="283"/>
        <v>0</v>
      </c>
      <c r="I209" s="2">
        <f t="shared" si="283"/>
        <v>0</v>
      </c>
      <c r="J209" s="2">
        <f t="shared" si="283"/>
        <v>0</v>
      </c>
      <c r="K209" s="54">
        <f t="shared" si="283"/>
        <v>0</v>
      </c>
      <c r="L209" s="2">
        <f t="shared" si="283"/>
        <v>0</v>
      </c>
      <c r="M209" s="2">
        <f t="shared" si="283"/>
        <v>0</v>
      </c>
      <c r="N209" s="2">
        <f t="shared" si="283"/>
        <v>0</v>
      </c>
      <c r="O209" s="2">
        <f t="shared" si="283"/>
        <v>0</v>
      </c>
      <c r="P209" s="2">
        <f t="shared" si="283"/>
        <v>0</v>
      </c>
      <c r="Q209" s="54">
        <f t="shared" si="283"/>
        <v>0</v>
      </c>
      <c r="R209" s="2">
        <f t="shared" si="283"/>
        <v>0</v>
      </c>
      <c r="S209" s="2">
        <f t="shared" si="283"/>
        <v>0</v>
      </c>
      <c r="T209" s="2">
        <f t="shared" si="283"/>
        <v>0</v>
      </c>
      <c r="U209" s="2">
        <f t="shared" ref="U209:BK209" si="284">IF(U208=1, IF(U183&gt;7.25, 1, 0), 0)</f>
        <v>0</v>
      </c>
      <c r="V209" s="2">
        <f t="shared" si="284"/>
        <v>0</v>
      </c>
      <c r="W209" s="2">
        <f t="shared" si="284"/>
        <v>0</v>
      </c>
      <c r="X209" s="2">
        <f t="shared" si="284"/>
        <v>0</v>
      </c>
      <c r="Y209" s="54">
        <f t="shared" si="284"/>
        <v>0</v>
      </c>
      <c r="Z209" s="2">
        <f t="shared" si="284"/>
        <v>0</v>
      </c>
      <c r="AA209" s="54">
        <f t="shared" si="284"/>
        <v>0</v>
      </c>
      <c r="AB209" s="2">
        <f t="shared" si="284"/>
        <v>0</v>
      </c>
      <c r="AC209" s="2">
        <f t="shared" si="284"/>
        <v>0</v>
      </c>
      <c r="AD209" s="2">
        <f t="shared" si="284"/>
        <v>0</v>
      </c>
      <c r="AE209" s="2">
        <f t="shared" si="284"/>
        <v>0</v>
      </c>
      <c r="AF209" s="2">
        <f t="shared" si="284"/>
        <v>0</v>
      </c>
      <c r="AG209" s="2">
        <f t="shared" si="284"/>
        <v>0</v>
      </c>
      <c r="AH209" s="2">
        <f t="shared" si="284"/>
        <v>0</v>
      </c>
      <c r="AI209" s="2">
        <f t="shared" si="284"/>
        <v>0</v>
      </c>
      <c r="AJ209" s="2">
        <f t="shared" si="284"/>
        <v>0</v>
      </c>
      <c r="AK209" s="2">
        <f t="shared" si="284"/>
        <v>0</v>
      </c>
      <c r="AL209" s="2">
        <f t="shared" si="284"/>
        <v>0</v>
      </c>
      <c r="AM209" s="2">
        <f t="shared" si="284"/>
        <v>0</v>
      </c>
      <c r="AN209" s="2">
        <f t="shared" si="284"/>
        <v>0</v>
      </c>
      <c r="AO209" s="2">
        <f t="shared" si="284"/>
        <v>0</v>
      </c>
      <c r="AP209" s="2">
        <f t="shared" si="284"/>
        <v>0</v>
      </c>
      <c r="AQ209" s="2">
        <f t="shared" si="284"/>
        <v>0</v>
      </c>
      <c r="AR209" s="2">
        <f t="shared" si="284"/>
        <v>0</v>
      </c>
      <c r="AS209" s="2">
        <f t="shared" si="284"/>
        <v>0</v>
      </c>
      <c r="AT209" s="2">
        <f t="shared" si="284"/>
        <v>0</v>
      </c>
      <c r="AU209" s="54">
        <f t="shared" si="284"/>
        <v>0</v>
      </c>
      <c r="AV209" s="2">
        <f t="shared" si="284"/>
        <v>0</v>
      </c>
      <c r="AW209" s="2">
        <f t="shared" si="284"/>
        <v>0</v>
      </c>
      <c r="AX209" s="2">
        <f t="shared" si="284"/>
        <v>0</v>
      </c>
      <c r="AY209" s="2">
        <f t="shared" si="284"/>
        <v>0</v>
      </c>
      <c r="AZ209" s="2">
        <f t="shared" si="284"/>
        <v>0</v>
      </c>
      <c r="BA209" s="2">
        <f t="shared" si="284"/>
        <v>0</v>
      </c>
      <c r="BB209" s="2">
        <f t="shared" si="284"/>
        <v>0</v>
      </c>
      <c r="BC209" s="2">
        <f t="shared" si="284"/>
        <v>0</v>
      </c>
      <c r="BD209" s="2">
        <f t="shared" si="284"/>
        <v>0</v>
      </c>
      <c r="BE209" s="2">
        <f t="shared" si="284"/>
        <v>0</v>
      </c>
      <c r="BF209" s="2">
        <f t="shared" si="284"/>
        <v>0</v>
      </c>
      <c r="BG209" s="2">
        <f t="shared" si="284"/>
        <v>0</v>
      </c>
      <c r="BH209" s="2">
        <f t="shared" si="284"/>
        <v>0</v>
      </c>
      <c r="BI209" s="2">
        <f t="shared" si="284"/>
        <v>0</v>
      </c>
      <c r="BJ209" s="2">
        <f t="shared" si="284"/>
        <v>0</v>
      </c>
      <c r="BK209" s="2" t="e">
        <f t="shared" si="284"/>
        <v>#DIV/0!</v>
      </c>
      <c r="BM209" s="2">
        <f t="shared" si="283"/>
        <v>0</v>
      </c>
    </row>
    <row r="210" spans="1:65">
      <c r="A210" s="37" t="s">
        <v>36</v>
      </c>
      <c r="B210" s="54">
        <f>IF(B209=1, IF(B182&gt;0.5, 23, 24), 0)</f>
        <v>0</v>
      </c>
      <c r="C210" s="2">
        <f t="shared" ref="C210:BM210" si="285">IF(C209=1, IF(C182&gt;0.5, 23, 24), 0)</f>
        <v>0</v>
      </c>
      <c r="D210" s="2">
        <f t="shared" si="285"/>
        <v>0</v>
      </c>
      <c r="E210" s="2">
        <f t="shared" si="285"/>
        <v>0</v>
      </c>
      <c r="F210" s="2">
        <f t="shared" si="285"/>
        <v>0</v>
      </c>
      <c r="G210" s="2">
        <f t="shared" si="285"/>
        <v>0</v>
      </c>
      <c r="H210" s="2">
        <f t="shared" si="285"/>
        <v>0</v>
      </c>
      <c r="I210" s="2">
        <f t="shared" si="285"/>
        <v>0</v>
      </c>
      <c r="J210" s="2">
        <f t="shared" si="285"/>
        <v>0</v>
      </c>
      <c r="K210" s="54">
        <f t="shared" si="285"/>
        <v>0</v>
      </c>
      <c r="L210" s="2">
        <f t="shared" si="285"/>
        <v>0</v>
      </c>
      <c r="M210" s="2">
        <f t="shared" si="285"/>
        <v>0</v>
      </c>
      <c r="N210" s="2">
        <f t="shared" si="285"/>
        <v>0</v>
      </c>
      <c r="O210" s="2">
        <f t="shared" si="285"/>
        <v>0</v>
      </c>
      <c r="P210" s="2">
        <f t="shared" si="285"/>
        <v>0</v>
      </c>
      <c r="Q210" s="54">
        <f t="shared" si="285"/>
        <v>0</v>
      </c>
      <c r="R210" s="2">
        <f t="shared" si="285"/>
        <v>0</v>
      </c>
      <c r="S210" s="2">
        <f t="shared" si="285"/>
        <v>0</v>
      </c>
      <c r="T210" s="2">
        <f t="shared" si="285"/>
        <v>0</v>
      </c>
      <c r="U210" s="2">
        <f t="shared" ref="U210:BK210" si="286">IF(U209=1, IF(U182&gt;0.5, 23, 24), 0)</f>
        <v>0</v>
      </c>
      <c r="V210" s="2">
        <f t="shared" si="286"/>
        <v>0</v>
      </c>
      <c r="W210" s="2">
        <f t="shared" si="286"/>
        <v>0</v>
      </c>
      <c r="X210" s="2">
        <f t="shared" si="286"/>
        <v>0</v>
      </c>
      <c r="Y210" s="54">
        <f t="shared" si="286"/>
        <v>0</v>
      </c>
      <c r="Z210" s="2">
        <f t="shared" si="286"/>
        <v>0</v>
      </c>
      <c r="AA210" s="54">
        <f t="shared" si="286"/>
        <v>0</v>
      </c>
      <c r="AB210" s="2">
        <f t="shared" si="286"/>
        <v>0</v>
      </c>
      <c r="AC210" s="2">
        <f t="shared" si="286"/>
        <v>0</v>
      </c>
      <c r="AD210" s="2">
        <f t="shared" si="286"/>
        <v>0</v>
      </c>
      <c r="AE210" s="2">
        <f t="shared" si="286"/>
        <v>0</v>
      </c>
      <c r="AF210" s="2">
        <f t="shared" si="286"/>
        <v>0</v>
      </c>
      <c r="AG210" s="2">
        <f t="shared" si="286"/>
        <v>0</v>
      </c>
      <c r="AH210" s="2">
        <f t="shared" si="286"/>
        <v>0</v>
      </c>
      <c r="AI210" s="2">
        <f t="shared" si="286"/>
        <v>0</v>
      </c>
      <c r="AJ210" s="2">
        <f t="shared" si="286"/>
        <v>0</v>
      </c>
      <c r="AK210" s="2">
        <f t="shared" si="286"/>
        <v>0</v>
      </c>
      <c r="AL210" s="2">
        <f t="shared" si="286"/>
        <v>0</v>
      </c>
      <c r="AM210" s="2">
        <f t="shared" si="286"/>
        <v>0</v>
      </c>
      <c r="AN210" s="2">
        <f t="shared" si="286"/>
        <v>0</v>
      </c>
      <c r="AO210" s="2">
        <f t="shared" si="286"/>
        <v>0</v>
      </c>
      <c r="AP210" s="2">
        <f t="shared" si="286"/>
        <v>0</v>
      </c>
      <c r="AQ210" s="2">
        <f t="shared" si="286"/>
        <v>0</v>
      </c>
      <c r="AR210" s="2">
        <f t="shared" si="286"/>
        <v>0</v>
      </c>
      <c r="AS210" s="2">
        <f t="shared" si="286"/>
        <v>0</v>
      </c>
      <c r="AT210" s="2">
        <f t="shared" si="286"/>
        <v>0</v>
      </c>
      <c r="AU210" s="54">
        <f t="shared" si="286"/>
        <v>0</v>
      </c>
      <c r="AV210" s="2">
        <f t="shared" si="286"/>
        <v>0</v>
      </c>
      <c r="AW210" s="2">
        <f t="shared" si="286"/>
        <v>0</v>
      </c>
      <c r="AX210" s="2">
        <f t="shared" si="286"/>
        <v>0</v>
      </c>
      <c r="AY210" s="2">
        <f t="shared" si="286"/>
        <v>0</v>
      </c>
      <c r="AZ210" s="2">
        <f t="shared" si="286"/>
        <v>0</v>
      </c>
      <c r="BA210" s="2">
        <f t="shared" si="286"/>
        <v>0</v>
      </c>
      <c r="BB210" s="2">
        <f t="shared" si="286"/>
        <v>0</v>
      </c>
      <c r="BC210" s="2">
        <f t="shared" si="286"/>
        <v>0</v>
      </c>
      <c r="BD210" s="2">
        <f t="shared" si="286"/>
        <v>0</v>
      </c>
      <c r="BE210" s="2">
        <f t="shared" si="286"/>
        <v>0</v>
      </c>
      <c r="BF210" s="2">
        <f t="shared" si="286"/>
        <v>0</v>
      </c>
      <c r="BG210" s="2">
        <f t="shared" si="286"/>
        <v>0</v>
      </c>
      <c r="BH210" s="2">
        <f t="shared" si="286"/>
        <v>0</v>
      </c>
      <c r="BI210" s="2">
        <f t="shared" si="286"/>
        <v>0</v>
      </c>
      <c r="BJ210" s="2">
        <f t="shared" si="286"/>
        <v>0</v>
      </c>
      <c r="BK210" s="2" t="e">
        <f t="shared" si="286"/>
        <v>#DIV/0!</v>
      </c>
      <c r="BM210" s="2">
        <f t="shared" si="285"/>
        <v>0</v>
      </c>
    </row>
    <row r="211" spans="1:65">
      <c r="A211" s="47" t="s">
        <v>35</v>
      </c>
      <c r="B211" s="54">
        <f>IF(B208=1, IF(B183&gt;6.75, IF(B183&lt;=7.25, 1, 0), 0), 0)</f>
        <v>0</v>
      </c>
      <c r="C211" s="2">
        <f t="shared" ref="C211:BM211" si="287">IF(C208=1, IF(C183&gt;6.75, IF(C183&lt;=7.25, 1, 0), 0), 0)</f>
        <v>0</v>
      </c>
      <c r="D211" s="2">
        <f t="shared" si="287"/>
        <v>0</v>
      </c>
      <c r="E211" s="2">
        <f t="shared" si="287"/>
        <v>0</v>
      </c>
      <c r="F211" s="2">
        <f t="shared" si="287"/>
        <v>0</v>
      </c>
      <c r="G211" s="2">
        <f t="shared" si="287"/>
        <v>0</v>
      </c>
      <c r="H211" s="2">
        <f t="shared" si="287"/>
        <v>0</v>
      </c>
      <c r="I211" s="2">
        <f t="shared" si="287"/>
        <v>0</v>
      </c>
      <c r="J211" s="2">
        <f t="shared" si="287"/>
        <v>0</v>
      </c>
      <c r="K211" s="54">
        <f t="shared" si="287"/>
        <v>0</v>
      </c>
      <c r="L211" s="2">
        <f t="shared" si="287"/>
        <v>0</v>
      </c>
      <c r="M211" s="2">
        <f t="shared" si="287"/>
        <v>0</v>
      </c>
      <c r="N211" s="2">
        <f t="shared" si="287"/>
        <v>0</v>
      </c>
      <c r="O211" s="2">
        <f t="shared" si="287"/>
        <v>0</v>
      </c>
      <c r="P211" s="2">
        <f t="shared" si="287"/>
        <v>0</v>
      </c>
      <c r="Q211" s="54">
        <f t="shared" si="287"/>
        <v>0</v>
      </c>
      <c r="R211" s="2">
        <f t="shared" si="287"/>
        <v>0</v>
      </c>
      <c r="S211" s="2">
        <f t="shared" si="287"/>
        <v>0</v>
      </c>
      <c r="T211" s="2">
        <f t="shared" si="287"/>
        <v>0</v>
      </c>
      <c r="U211" s="2">
        <f t="shared" ref="U211:BK211" si="288">IF(U208=1, IF(U183&gt;6.75, IF(U183&lt;=7.25, 1, 0), 0), 0)</f>
        <v>0</v>
      </c>
      <c r="V211" s="2">
        <f t="shared" si="288"/>
        <v>0</v>
      </c>
      <c r="W211" s="2">
        <f t="shared" si="288"/>
        <v>0</v>
      </c>
      <c r="X211" s="2">
        <f t="shared" si="288"/>
        <v>0</v>
      </c>
      <c r="Y211" s="54">
        <f t="shared" si="288"/>
        <v>0</v>
      </c>
      <c r="Z211" s="2">
        <f t="shared" si="288"/>
        <v>0</v>
      </c>
      <c r="AA211" s="54">
        <f t="shared" si="288"/>
        <v>0</v>
      </c>
      <c r="AB211" s="2">
        <f t="shared" si="288"/>
        <v>0</v>
      </c>
      <c r="AC211" s="2">
        <f t="shared" si="288"/>
        <v>0</v>
      </c>
      <c r="AD211" s="2">
        <f t="shared" si="288"/>
        <v>0</v>
      </c>
      <c r="AE211" s="2">
        <f t="shared" si="288"/>
        <v>0</v>
      </c>
      <c r="AF211" s="2">
        <f t="shared" si="288"/>
        <v>0</v>
      </c>
      <c r="AG211" s="2">
        <f t="shared" si="288"/>
        <v>0</v>
      </c>
      <c r="AH211" s="2">
        <f t="shared" si="288"/>
        <v>0</v>
      </c>
      <c r="AI211" s="2">
        <f t="shared" si="288"/>
        <v>0</v>
      </c>
      <c r="AJ211" s="2">
        <f t="shared" si="288"/>
        <v>0</v>
      </c>
      <c r="AK211" s="2">
        <f t="shared" si="288"/>
        <v>0</v>
      </c>
      <c r="AL211" s="2">
        <f t="shared" si="288"/>
        <v>0</v>
      </c>
      <c r="AM211" s="2">
        <f t="shared" si="288"/>
        <v>0</v>
      </c>
      <c r="AN211" s="2">
        <f t="shared" si="288"/>
        <v>0</v>
      </c>
      <c r="AO211" s="2">
        <f t="shared" si="288"/>
        <v>0</v>
      </c>
      <c r="AP211" s="2">
        <f t="shared" si="288"/>
        <v>0</v>
      </c>
      <c r="AQ211" s="2">
        <f t="shared" si="288"/>
        <v>0</v>
      </c>
      <c r="AR211" s="2">
        <f t="shared" si="288"/>
        <v>0</v>
      </c>
      <c r="AS211" s="2">
        <f t="shared" si="288"/>
        <v>0</v>
      </c>
      <c r="AT211" s="2">
        <f t="shared" si="288"/>
        <v>0</v>
      </c>
      <c r="AU211" s="54">
        <f t="shared" si="288"/>
        <v>0</v>
      </c>
      <c r="AV211" s="2">
        <f t="shared" si="288"/>
        <v>0</v>
      </c>
      <c r="AW211" s="2">
        <f t="shared" si="288"/>
        <v>0</v>
      </c>
      <c r="AX211" s="2">
        <f t="shared" si="288"/>
        <v>0</v>
      </c>
      <c r="AY211" s="2">
        <f t="shared" si="288"/>
        <v>0</v>
      </c>
      <c r="AZ211" s="2">
        <f t="shared" si="288"/>
        <v>0</v>
      </c>
      <c r="BA211" s="2">
        <f t="shared" si="288"/>
        <v>0</v>
      </c>
      <c r="BB211" s="2">
        <f t="shared" si="288"/>
        <v>0</v>
      </c>
      <c r="BC211" s="2">
        <f t="shared" si="288"/>
        <v>0</v>
      </c>
      <c r="BD211" s="2">
        <f t="shared" si="288"/>
        <v>0</v>
      </c>
      <c r="BE211" s="2">
        <f t="shared" si="288"/>
        <v>0</v>
      </c>
      <c r="BF211" s="2">
        <f t="shared" si="288"/>
        <v>0</v>
      </c>
      <c r="BG211" s="2">
        <f t="shared" si="288"/>
        <v>0</v>
      </c>
      <c r="BH211" s="2">
        <f t="shared" si="288"/>
        <v>0</v>
      </c>
      <c r="BI211" s="2">
        <f t="shared" si="288"/>
        <v>0</v>
      </c>
      <c r="BJ211" s="2">
        <f t="shared" si="288"/>
        <v>0</v>
      </c>
      <c r="BK211" s="2" t="e">
        <f t="shared" si="288"/>
        <v>#DIV/0!</v>
      </c>
      <c r="BM211" s="2">
        <f t="shared" si="287"/>
        <v>0</v>
      </c>
    </row>
    <row r="212" spans="1:65">
      <c r="A212" s="37" t="s">
        <v>37</v>
      </c>
      <c r="B212" s="54">
        <f>IF(B211=1, IF(B182&gt;0.5, 25, 26), 0)</f>
        <v>0</v>
      </c>
      <c r="C212" s="2">
        <f t="shared" ref="C212:BM212" si="289">IF(C211=1, IF(C182&gt;0.5, 25, 26), 0)</f>
        <v>0</v>
      </c>
      <c r="D212" s="2">
        <f t="shared" si="289"/>
        <v>0</v>
      </c>
      <c r="E212" s="2">
        <f t="shared" si="289"/>
        <v>0</v>
      </c>
      <c r="F212" s="2">
        <f t="shared" si="289"/>
        <v>0</v>
      </c>
      <c r="G212" s="2">
        <f t="shared" si="289"/>
        <v>0</v>
      </c>
      <c r="H212" s="2">
        <f t="shared" si="289"/>
        <v>0</v>
      </c>
      <c r="I212" s="2">
        <f t="shared" si="289"/>
        <v>0</v>
      </c>
      <c r="J212" s="2">
        <f t="shared" si="289"/>
        <v>0</v>
      </c>
      <c r="K212" s="54">
        <f t="shared" si="289"/>
        <v>0</v>
      </c>
      <c r="L212" s="2">
        <f t="shared" si="289"/>
        <v>0</v>
      </c>
      <c r="M212" s="2">
        <f t="shared" si="289"/>
        <v>0</v>
      </c>
      <c r="N212" s="2">
        <f t="shared" si="289"/>
        <v>0</v>
      </c>
      <c r="O212" s="2">
        <f t="shared" si="289"/>
        <v>0</v>
      </c>
      <c r="P212" s="2">
        <f t="shared" si="289"/>
        <v>0</v>
      </c>
      <c r="Q212" s="54">
        <f t="shared" si="289"/>
        <v>0</v>
      </c>
      <c r="R212" s="2">
        <f t="shared" si="289"/>
        <v>0</v>
      </c>
      <c r="S212" s="2">
        <f t="shared" si="289"/>
        <v>0</v>
      </c>
      <c r="T212" s="2">
        <f t="shared" si="289"/>
        <v>0</v>
      </c>
      <c r="U212" s="2">
        <f t="shared" ref="U212:BK212" si="290">IF(U211=1, IF(U182&gt;0.5, 25, 26), 0)</f>
        <v>0</v>
      </c>
      <c r="V212" s="2">
        <f t="shared" si="290"/>
        <v>0</v>
      </c>
      <c r="W212" s="2">
        <f t="shared" si="290"/>
        <v>0</v>
      </c>
      <c r="X212" s="2">
        <f t="shared" si="290"/>
        <v>0</v>
      </c>
      <c r="Y212" s="54">
        <f t="shared" si="290"/>
        <v>0</v>
      </c>
      <c r="Z212" s="2">
        <f t="shared" si="290"/>
        <v>0</v>
      </c>
      <c r="AA212" s="54">
        <f t="shared" si="290"/>
        <v>0</v>
      </c>
      <c r="AB212" s="2">
        <f t="shared" si="290"/>
        <v>0</v>
      </c>
      <c r="AC212" s="2">
        <f t="shared" si="290"/>
        <v>0</v>
      </c>
      <c r="AD212" s="2">
        <f t="shared" si="290"/>
        <v>0</v>
      </c>
      <c r="AE212" s="2">
        <f t="shared" si="290"/>
        <v>0</v>
      </c>
      <c r="AF212" s="2">
        <f t="shared" si="290"/>
        <v>0</v>
      </c>
      <c r="AG212" s="2">
        <f t="shared" si="290"/>
        <v>0</v>
      </c>
      <c r="AH212" s="2">
        <f t="shared" si="290"/>
        <v>0</v>
      </c>
      <c r="AI212" s="2">
        <f t="shared" si="290"/>
        <v>0</v>
      </c>
      <c r="AJ212" s="2">
        <f t="shared" si="290"/>
        <v>0</v>
      </c>
      <c r="AK212" s="2">
        <f t="shared" si="290"/>
        <v>0</v>
      </c>
      <c r="AL212" s="2">
        <f t="shared" si="290"/>
        <v>0</v>
      </c>
      <c r="AM212" s="2">
        <f t="shared" si="290"/>
        <v>0</v>
      </c>
      <c r="AN212" s="2">
        <f t="shared" si="290"/>
        <v>0</v>
      </c>
      <c r="AO212" s="2">
        <f t="shared" si="290"/>
        <v>0</v>
      </c>
      <c r="AP212" s="2">
        <f t="shared" si="290"/>
        <v>0</v>
      </c>
      <c r="AQ212" s="2">
        <f t="shared" si="290"/>
        <v>0</v>
      </c>
      <c r="AR212" s="2">
        <f t="shared" si="290"/>
        <v>0</v>
      </c>
      <c r="AS212" s="2">
        <f t="shared" si="290"/>
        <v>0</v>
      </c>
      <c r="AT212" s="2">
        <f t="shared" si="290"/>
        <v>0</v>
      </c>
      <c r="AU212" s="54">
        <f t="shared" si="290"/>
        <v>0</v>
      </c>
      <c r="AV212" s="2">
        <f t="shared" si="290"/>
        <v>0</v>
      </c>
      <c r="AW212" s="2">
        <f t="shared" si="290"/>
        <v>0</v>
      </c>
      <c r="AX212" s="2">
        <f t="shared" si="290"/>
        <v>0</v>
      </c>
      <c r="AY212" s="2">
        <f t="shared" si="290"/>
        <v>0</v>
      </c>
      <c r="AZ212" s="2">
        <f t="shared" si="290"/>
        <v>0</v>
      </c>
      <c r="BA212" s="2">
        <f t="shared" si="290"/>
        <v>0</v>
      </c>
      <c r="BB212" s="2">
        <f t="shared" si="290"/>
        <v>0</v>
      </c>
      <c r="BC212" s="2">
        <f t="shared" si="290"/>
        <v>0</v>
      </c>
      <c r="BD212" s="2">
        <f t="shared" si="290"/>
        <v>0</v>
      </c>
      <c r="BE212" s="2">
        <f t="shared" si="290"/>
        <v>0</v>
      </c>
      <c r="BF212" s="2">
        <f t="shared" si="290"/>
        <v>0</v>
      </c>
      <c r="BG212" s="2">
        <f t="shared" si="290"/>
        <v>0</v>
      </c>
      <c r="BH212" s="2">
        <f t="shared" si="290"/>
        <v>0</v>
      </c>
      <c r="BI212" s="2">
        <f t="shared" si="290"/>
        <v>0</v>
      </c>
      <c r="BJ212" s="2">
        <f t="shared" si="290"/>
        <v>0</v>
      </c>
      <c r="BK212" s="2" t="e">
        <f t="shared" si="290"/>
        <v>#DIV/0!</v>
      </c>
      <c r="BM212" s="2">
        <f t="shared" si="289"/>
        <v>0</v>
      </c>
    </row>
    <row r="213" spans="1:65">
      <c r="A213" s="47" t="s">
        <v>38</v>
      </c>
      <c r="B213" s="54">
        <f>IF(B208=1, IF(B183&gt;6.5, IF(B183&lt;=6.75, 1, 0), 0), 0)</f>
        <v>0</v>
      </c>
      <c r="C213" s="2">
        <f t="shared" ref="C213:BM213" si="291">IF(C208=1, IF(C183&gt;6.5, IF(C183&lt;=6.75, 1, 0), 0), 0)</f>
        <v>0</v>
      </c>
      <c r="D213" s="2">
        <f t="shared" si="291"/>
        <v>0</v>
      </c>
      <c r="E213" s="2">
        <f t="shared" si="291"/>
        <v>0</v>
      </c>
      <c r="F213" s="2">
        <f t="shared" si="291"/>
        <v>0</v>
      </c>
      <c r="G213" s="2">
        <f t="shared" si="291"/>
        <v>0</v>
      </c>
      <c r="H213" s="2">
        <f t="shared" si="291"/>
        <v>0</v>
      </c>
      <c r="I213" s="2">
        <f t="shared" si="291"/>
        <v>0</v>
      </c>
      <c r="J213" s="2">
        <f t="shared" si="291"/>
        <v>0</v>
      </c>
      <c r="K213" s="54">
        <f t="shared" si="291"/>
        <v>0</v>
      </c>
      <c r="L213" s="2">
        <f t="shared" si="291"/>
        <v>0</v>
      </c>
      <c r="M213" s="2">
        <f t="shared" si="291"/>
        <v>0</v>
      </c>
      <c r="N213" s="2">
        <f t="shared" si="291"/>
        <v>0</v>
      </c>
      <c r="O213" s="2">
        <f t="shared" si="291"/>
        <v>0</v>
      </c>
      <c r="P213" s="2">
        <f t="shared" si="291"/>
        <v>0</v>
      </c>
      <c r="Q213" s="54">
        <f t="shared" si="291"/>
        <v>0</v>
      </c>
      <c r="R213" s="2">
        <f t="shared" si="291"/>
        <v>0</v>
      </c>
      <c r="S213" s="2">
        <f t="shared" si="291"/>
        <v>0</v>
      </c>
      <c r="T213" s="2">
        <f t="shared" si="291"/>
        <v>0</v>
      </c>
      <c r="U213" s="2">
        <f t="shared" ref="U213:BK213" si="292">IF(U208=1, IF(U183&gt;6.5, IF(U183&lt;=6.75, 1, 0), 0), 0)</f>
        <v>0</v>
      </c>
      <c r="V213" s="2">
        <f t="shared" si="292"/>
        <v>0</v>
      </c>
      <c r="W213" s="2">
        <f t="shared" si="292"/>
        <v>0</v>
      </c>
      <c r="X213" s="2">
        <f t="shared" si="292"/>
        <v>1</v>
      </c>
      <c r="Y213" s="54">
        <f t="shared" si="292"/>
        <v>0</v>
      </c>
      <c r="Z213" s="2">
        <f t="shared" si="292"/>
        <v>0</v>
      </c>
      <c r="AA213" s="54">
        <f t="shared" si="292"/>
        <v>0</v>
      </c>
      <c r="AB213" s="2">
        <f t="shared" si="292"/>
        <v>0</v>
      </c>
      <c r="AC213" s="2">
        <f t="shared" si="292"/>
        <v>0</v>
      </c>
      <c r="AD213" s="2">
        <f t="shared" si="292"/>
        <v>0</v>
      </c>
      <c r="AE213" s="2">
        <f t="shared" si="292"/>
        <v>0</v>
      </c>
      <c r="AF213" s="2">
        <f t="shared" si="292"/>
        <v>0</v>
      </c>
      <c r="AG213" s="2">
        <f t="shared" si="292"/>
        <v>0</v>
      </c>
      <c r="AH213" s="2">
        <f t="shared" si="292"/>
        <v>0</v>
      </c>
      <c r="AI213" s="2">
        <f t="shared" si="292"/>
        <v>0</v>
      </c>
      <c r="AJ213" s="2">
        <f t="shared" si="292"/>
        <v>0</v>
      </c>
      <c r="AK213" s="2">
        <f t="shared" si="292"/>
        <v>0</v>
      </c>
      <c r="AL213" s="2">
        <f t="shared" si="292"/>
        <v>0</v>
      </c>
      <c r="AM213" s="2">
        <f t="shared" si="292"/>
        <v>0</v>
      </c>
      <c r="AN213" s="2">
        <f t="shared" si="292"/>
        <v>1</v>
      </c>
      <c r="AO213" s="2">
        <f t="shared" si="292"/>
        <v>1</v>
      </c>
      <c r="AP213" s="2">
        <f t="shared" si="292"/>
        <v>0</v>
      </c>
      <c r="AQ213" s="2">
        <f t="shared" si="292"/>
        <v>0</v>
      </c>
      <c r="AR213" s="2">
        <f t="shared" si="292"/>
        <v>0</v>
      </c>
      <c r="AS213" s="2">
        <f t="shared" si="292"/>
        <v>0</v>
      </c>
      <c r="AT213" s="2">
        <f t="shared" si="292"/>
        <v>0</v>
      </c>
      <c r="AU213" s="54">
        <f t="shared" si="292"/>
        <v>0</v>
      </c>
      <c r="AV213" s="2">
        <f t="shared" si="292"/>
        <v>0</v>
      </c>
      <c r="AW213" s="2">
        <f t="shared" si="292"/>
        <v>0</v>
      </c>
      <c r="AX213" s="2">
        <f t="shared" si="292"/>
        <v>0</v>
      </c>
      <c r="AY213" s="2">
        <f t="shared" si="292"/>
        <v>0</v>
      </c>
      <c r="AZ213" s="2">
        <f t="shared" si="292"/>
        <v>0</v>
      </c>
      <c r="BA213" s="2">
        <f t="shared" si="292"/>
        <v>0</v>
      </c>
      <c r="BB213" s="2">
        <f t="shared" si="292"/>
        <v>0</v>
      </c>
      <c r="BC213" s="2">
        <f t="shared" si="292"/>
        <v>0</v>
      </c>
      <c r="BD213" s="2">
        <f t="shared" si="292"/>
        <v>0</v>
      </c>
      <c r="BE213" s="2">
        <f t="shared" si="292"/>
        <v>0</v>
      </c>
      <c r="BF213" s="2">
        <f t="shared" si="292"/>
        <v>0</v>
      </c>
      <c r="BG213" s="2">
        <f t="shared" si="292"/>
        <v>0</v>
      </c>
      <c r="BH213" s="2">
        <f t="shared" si="292"/>
        <v>0</v>
      </c>
      <c r="BI213" s="2">
        <f t="shared" si="292"/>
        <v>0</v>
      </c>
      <c r="BJ213" s="2">
        <f t="shared" si="292"/>
        <v>0</v>
      </c>
      <c r="BK213" s="2" t="e">
        <f t="shared" si="292"/>
        <v>#DIV/0!</v>
      </c>
      <c r="BM213" s="2">
        <f t="shared" si="291"/>
        <v>0</v>
      </c>
    </row>
    <row r="214" spans="1:65">
      <c r="A214" s="37" t="s">
        <v>39</v>
      </c>
      <c r="B214" s="54">
        <f>IF(B213=1, IF(B182&gt;0.5, 27, 28), 0)</f>
        <v>0</v>
      </c>
      <c r="C214" s="2">
        <f t="shared" ref="C214:BM214" si="293">IF(C213=1, IF(C182&gt;0.5, 27, 28), 0)</f>
        <v>0</v>
      </c>
      <c r="D214" s="2">
        <f t="shared" si="293"/>
        <v>0</v>
      </c>
      <c r="E214" s="2">
        <f t="shared" si="293"/>
        <v>0</v>
      </c>
      <c r="F214" s="2">
        <f t="shared" si="293"/>
        <v>0</v>
      </c>
      <c r="G214" s="2">
        <f t="shared" si="293"/>
        <v>0</v>
      </c>
      <c r="H214" s="2">
        <f t="shared" si="293"/>
        <v>0</v>
      </c>
      <c r="I214" s="2">
        <f t="shared" si="293"/>
        <v>0</v>
      </c>
      <c r="J214" s="2">
        <f t="shared" si="293"/>
        <v>0</v>
      </c>
      <c r="K214" s="54">
        <f t="shared" si="293"/>
        <v>0</v>
      </c>
      <c r="L214" s="2">
        <f t="shared" si="293"/>
        <v>0</v>
      </c>
      <c r="M214" s="2">
        <f t="shared" si="293"/>
        <v>0</v>
      </c>
      <c r="N214" s="2">
        <f t="shared" si="293"/>
        <v>0</v>
      </c>
      <c r="O214" s="2">
        <f t="shared" si="293"/>
        <v>0</v>
      </c>
      <c r="P214" s="2">
        <f t="shared" si="293"/>
        <v>0</v>
      </c>
      <c r="Q214" s="54">
        <f t="shared" si="293"/>
        <v>0</v>
      </c>
      <c r="R214" s="2">
        <f t="shared" si="293"/>
        <v>0</v>
      </c>
      <c r="S214" s="2">
        <f t="shared" si="293"/>
        <v>0</v>
      </c>
      <c r="T214" s="2">
        <f t="shared" si="293"/>
        <v>0</v>
      </c>
      <c r="U214" s="2">
        <f t="shared" ref="U214:BK214" si="294">IF(U213=1, IF(U182&gt;0.5, 27, 28), 0)</f>
        <v>0</v>
      </c>
      <c r="V214" s="2">
        <f t="shared" si="294"/>
        <v>0</v>
      </c>
      <c r="W214" s="2">
        <f t="shared" si="294"/>
        <v>0</v>
      </c>
      <c r="X214" s="2">
        <f t="shared" si="294"/>
        <v>27</v>
      </c>
      <c r="Y214" s="54">
        <f t="shared" si="294"/>
        <v>0</v>
      </c>
      <c r="Z214" s="2">
        <f t="shared" si="294"/>
        <v>0</v>
      </c>
      <c r="AA214" s="54">
        <f t="shared" si="294"/>
        <v>0</v>
      </c>
      <c r="AB214" s="2">
        <f t="shared" si="294"/>
        <v>0</v>
      </c>
      <c r="AC214" s="2">
        <f t="shared" si="294"/>
        <v>0</v>
      </c>
      <c r="AD214" s="2">
        <f t="shared" si="294"/>
        <v>0</v>
      </c>
      <c r="AE214" s="2">
        <f t="shared" si="294"/>
        <v>0</v>
      </c>
      <c r="AF214" s="2">
        <f t="shared" si="294"/>
        <v>0</v>
      </c>
      <c r="AG214" s="2">
        <f t="shared" si="294"/>
        <v>0</v>
      </c>
      <c r="AH214" s="2">
        <f t="shared" si="294"/>
        <v>0</v>
      </c>
      <c r="AI214" s="2">
        <f t="shared" si="294"/>
        <v>0</v>
      </c>
      <c r="AJ214" s="2">
        <f t="shared" si="294"/>
        <v>0</v>
      </c>
      <c r="AK214" s="2">
        <f t="shared" si="294"/>
        <v>0</v>
      </c>
      <c r="AL214" s="2">
        <f t="shared" si="294"/>
        <v>0</v>
      </c>
      <c r="AM214" s="2">
        <f t="shared" si="294"/>
        <v>0</v>
      </c>
      <c r="AN214" s="2">
        <f t="shared" si="294"/>
        <v>27</v>
      </c>
      <c r="AO214" s="2">
        <f t="shared" si="294"/>
        <v>27</v>
      </c>
      <c r="AP214" s="2">
        <f t="shared" si="294"/>
        <v>0</v>
      </c>
      <c r="AQ214" s="2">
        <f t="shared" si="294"/>
        <v>0</v>
      </c>
      <c r="AR214" s="2">
        <f t="shared" si="294"/>
        <v>0</v>
      </c>
      <c r="AS214" s="2">
        <f t="shared" si="294"/>
        <v>0</v>
      </c>
      <c r="AT214" s="2">
        <f t="shared" si="294"/>
        <v>0</v>
      </c>
      <c r="AU214" s="54">
        <f t="shared" si="294"/>
        <v>0</v>
      </c>
      <c r="AV214" s="2">
        <f t="shared" si="294"/>
        <v>0</v>
      </c>
      <c r="AW214" s="2">
        <f t="shared" si="294"/>
        <v>0</v>
      </c>
      <c r="AX214" s="2">
        <f t="shared" si="294"/>
        <v>0</v>
      </c>
      <c r="AY214" s="2">
        <f t="shared" si="294"/>
        <v>0</v>
      </c>
      <c r="AZ214" s="2">
        <f t="shared" si="294"/>
        <v>0</v>
      </c>
      <c r="BA214" s="2">
        <f t="shared" si="294"/>
        <v>0</v>
      </c>
      <c r="BB214" s="2">
        <f t="shared" si="294"/>
        <v>0</v>
      </c>
      <c r="BC214" s="2">
        <f t="shared" si="294"/>
        <v>0</v>
      </c>
      <c r="BD214" s="2">
        <f t="shared" si="294"/>
        <v>0</v>
      </c>
      <c r="BE214" s="2">
        <f t="shared" si="294"/>
        <v>0</v>
      </c>
      <c r="BF214" s="2">
        <f t="shared" si="294"/>
        <v>0</v>
      </c>
      <c r="BG214" s="2">
        <f t="shared" si="294"/>
        <v>0</v>
      </c>
      <c r="BH214" s="2">
        <f t="shared" si="294"/>
        <v>0</v>
      </c>
      <c r="BI214" s="2">
        <f t="shared" si="294"/>
        <v>0</v>
      </c>
      <c r="BJ214" s="2">
        <f t="shared" si="294"/>
        <v>0</v>
      </c>
      <c r="BK214" s="2" t="e">
        <f t="shared" si="294"/>
        <v>#DIV/0!</v>
      </c>
      <c r="BM214" s="2">
        <f t="shared" si="293"/>
        <v>0</v>
      </c>
    </row>
    <row r="215" spans="1:65">
      <c r="A215" s="47" t="s">
        <v>40</v>
      </c>
      <c r="B215" s="54">
        <f>IF(B208=1, IF(B183&gt;6.25, IF(B183&lt;=6.5, 1, 0), 0), 0)</f>
        <v>0</v>
      </c>
      <c r="C215" s="2">
        <f t="shared" ref="C215:BM215" si="295">IF(C208=1, IF(C183&gt;6.25, IF(C183&lt;=6.5, 1, 0), 0), 0)</f>
        <v>0</v>
      </c>
      <c r="D215" s="2">
        <f t="shared" si="295"/>
        <v>0</v>
      </c>
      <c r="E215" s="2">
        <f t="shared" si="295"/>
        <v>0</v>
      </c>
      <c r="F215" s="2">
        <f t="shared" si="295"/>
        <v>0</v>
      </c>
      <c r="G215" s="2">
        <f t="shared" si="295"/>
        <v>0</v>
      </c>
      <c r="H215" s="2">
        <f t="shared" si="295"/>
        <v>0</v>
      </c>
      <c r="I215" s="2">
        <f t="shared" si="295"/>
        <v>0</v>
      </c>
      <c r="J215" s="2">
        <f t="shared" si="295"/>
        <v>0</v>
      </c>
      <c r="K215" s="54">
        <f t="shared" si="295"/>
        <v>0</v>
      </c>
      <c r="L215" s="2">
        <f t="shared" si="295"/>
        <v>0</v>
      </c>
      <c r="M215" s="2">
        <f t="shared" si="295"/>
        <v>0</v>
      </c>
      <c r="N215" s="2">
        <f t="shared" si="295"/>
        <v>0</v>
      </c>
      <c r="O215" s="2">
        <f t="shared" si="295"/>
        <v>0</v>
      </c>
      <c r="P215" s="2">
        <f t="shared" si="295"/>
        <v>0</v>
      </c>
      <c r="Q215" s="54">
        <f t="shared" si="295"/>
        <v>0</v>
      </c>
      <c r="R215" s="2">
        <f t="shared" si="295"/>
        <v>1</v>
      </c>
      <c r="S215" s="2">
        <f t="shared" si="295"/>
        <v>1</v>
      </c>
      <c r="T215" s="2">
        <f t="shared" si="295"/>
        <v>1</v>
      </c>
      <c r="U215" s="2">
        <f t="shared" ref="U215:BK215" si="296">IF(U208=1, IF(U183&gt;6.25, IF(U183&lt;=6.5, 1, 0), 0), 0)</f>
        <v>1</v>
      </c>
      <c r="V215" s="2">
        <f t="shared" si="296"/>
        <v>1</v>
      </c>
      <c r="W215" s="2">
        <f t="shared" si="296"/>
        <v>0</v>
      </c>
      <c r="X215" s="2">
        <f t="shared" si="296"/>
        <v>0</v>
      </c>
      <c r="Y215" s="54">
        <f t="shared" si="296"/>
        <v>0</v>
      </c>
      <c r="Z215" s="2">
        <f t="shared" si="296"/>
        <v>0</v>
      </c>
      <c r="AA215" s="54">
        <f t="shared" si="296"/>
        <v>0</v>
      </c>
      <c r="AB215" s="2">
        <f t="shared" si="296"/>
        <v>0</v>
      </c>
      <c r="AC215" s="2">
        <f t="shared" si="296"/>
        <v>1</v>
      </c>
      <c r="AD215" s="2">
        <f t="shared" si="296"/>
        <v>1</v>
      </c>
      <c r="AE215" s="2">
        <f t="shared" si="296"/>
        <v>1</v>
      </c>
      <c r="AF215" s="2">
        <f t="shared" si="296"/>
        <v>1</v>
      </c>
      <c r="AG215" s="2">
        <f t="shared" si="296"/>
        <v>0</v>
      </c>
      <c r="AH215" s="2">
        <f t="shared" si="296"/>
        <v>1</v>
      </c>
      <c r="AI215" s="2">
        <f t="shared" si="296"/>
        <v>1</v>
      </c>
      <c r="AJ215" s="2">
        <f t="shared" si="296"/>
        <v>1</v>
      </c>
      <c r="AK215" s="2">
        <f t="shared" si="296"/>
        <v>1</v>
      </c>
      <c r="AL215" s="2">
        <f t="shared" si="296"/>
        <v>1</v>
      </c>
      <c r="AM215" s="2">
        <f t="shared" si="296"/>
        <v>1</v>
      </c>
      <c r="AN215" s="2">
        <f t="shared" si="296"/>
        <v>0</v>
      </c>
      <c r="AO215" s="2">
        <f t="shared" si="296"/>
        <v>0</v>
      </c>
      <c r="AP215" s="2">
        <f t="shared" si="296"/>
        <v>0</v>
      </c>
      <c r="AQ215" s="2">
        <f t="shared" si="296"/>
        <v>0</v>
      </c>
      <c r="AR215" s="2">
        <f t="shared" si="296"/>
        <v>0</v>
      </c>
      <c r="AS215" s="2">
        <f t="shared" si="296"/>
        <v>0</v>
      </c>
      <c r="AT215" s="2">
        <f t="shared" si="296"/>
        <v>0</v>
      </c>
      <c r="AU215" s="54">
        <f t="shared" si="296"/>
        <v>0</v>
      </c>
      <c r="AV215" s="2">
        <f t="shared" si="296"/>
        <v>0</v>
      </c>
      <c r="AW215" s="2">
        <f t="shared" si="296"/>
        <v>0</v>
      </c>
      <c r="AX215" s="2">
        <f t="shared" si="296"/>
        <v>0</v>
      </c>
      <c r="AY215" s="2">
        <f t="shared" si="296"/>
        <v>0</v>
      </c>
      <c r="AZ215" s="2">
        <f t="shared" si="296"/>
        <v>0</v>
      </c>
      <c r="BA215" s="2">
        <f t="shared" si="296"/>
        <v>0</v>
      </c>
      <c r="BB215" s="2">
        <f t="shared" si="296"/>
        <v>0</v>
      </c>
      <c r="BC215" s="2">
        <f t="shared" si="296"/>
        <v>1</v>
      </c>
      <c r="BD215" s="2">
        <f t="shared" si="296"/>
        <v>0</v>
      </c>
      <c r="BE215" s="2">
        <f t="shared" si="296"/>
        <v>1</v>
      </c>
      <c r="BF215" s="2">
        <f t="shared" si="296"/>
        <v>1</v>
      </c>
      <c r="BG215" s="2">
        <f t="shared" si="296"/>
        <v>1</v>
      </c>
      <c r="BH215" s="2">
        <f t="shared" si="296"/>
        <v>1</v>
      </c>
      <c r="BI215" s="2">
        <f t="shared" si="296"/>
        <v>1</v>
      </c>
      <c r="BJ215" s="2">
        <f t="shared" si="296"/>
        <v>1</v>
      </c>
      <c r="BK215" s="2" t="e">
        <f t="shared" si="296"/>
        <v>#DIV/0!</v>
      </c>
      <c r="BM215" s="2">
        <f t="shared" si="295"/>
        <v>0</v>
      </c>
    </row>
    <row r="216" spans="1:65">
      <c r="A216" s="37" t="s">
        <v>41</v>
      </c>
      <c r="B216" s="54">
        <f>IF(B215=1, IF(B182&gt;0.7, 29, IF(B182&gt;0.3, 30, 31)), 0)</f>
        <v>0</v>
      </c>
      <c r="C216" s="2">
        <f t="shared" ref="C216:BM216" si="297">IF(C215=1, IF(C182&gt;0.7, 29, IF(C182&gt;0.3, 30, 31)), 0)</f>
        <v>0</v>
      </c>
      <c r="D216" s="2">
        <f t="shared" si="297"/>
        <v>0</v>
      </c>
      <c r="E216" s="2">
        <f t="shared" si="297"/>
        <v>0</v>
      </c>
      <c r="F216" s="2">
        <f t="shared" si="297"/>
        <v>0</v>
      </c>
      <c r="G216" s="2">
        <f t="shared" si="297"/>
        <v>0</v>
      </c>
      <c r="H216" s="2">
        <f t="shared" si="297"/>
        <v>0</v>
      </c>
      <c r="I216" s="2">
        <f t="shared" si="297"/>
        <v>0</v>
      </c>
      <c r="J216" s="2">
        <f t="shared" si="297"/>
        <v>0</v>
      </c>
      <c r="K216" s="54">
        <f t="shared" si="297"/>
        <v>0</v>
      </c>
      <c r="L216" s="2">
        <f t="shared" si="297"/>
        <v>0</v>
      </c>
      <c r="M216" s="2">
        <f t="shared" si="297"/>
        <v>0</v>
      </c>
      <c r="N216" s="2">
        <f t="shared" si="297"/>
        <v>0</v>
      </c>
      <c r="O216" s="2">
        <f t="shared" si="297"/>
        <v>0</v>
      </c>
      <c r="P216" s="2">
        <f t="shared" si="297"/>
        <v>0</v>
      </c>
      <c r="Q216" s="54">
        <f t="shared" si="297"/>
        <v>0</v>
      </c>
      <c r="R216" s="2">
        <f t="shared" si="297"/>
        <v>30</v>
      </c>
      <c r="S216" s="2">
        <f t="shared" si="297"/>
        <v>30</v>
      </c>
      <c r="T216" s="2">
        <f t="shared" si="297"/>
        <v>30</v>
      </c>
      <c r="U216" s="2">
        <f t="shared" ref="U216:BK216" si="298">IF(U215=1, IF(U182&gt;0.7, 29, IF(U182&gt;0.3, 30, 31)), 0)</f>
        <v>30</v>
      </c>
      <c r="V216" s="2">
        <f t="shared" si="298"/>
        <v>30</v>
      </c>
      <c r="W216" s="2">
        <f t="shared" si="298"/>
        <v>0</v>
      </c>
      <c r="X216" s="2">
        <f t="shared" si="298"/>
        <v>0</v>
      </c>
      <c r="Y216" s="54">
        <f t="shared" si="298"/>
        <v>0</v>
      </c>
      <c r="Z216" s="2">
        <f t="shared" si="298"/>
        <v>0</v>
      </c>
      <c r="AA216" s="54">
        <f t="shared" si="298"/>
        <v>0</v>
      </c>
      <c r="AB216" s="2">
        <f t="shared" si="298"/>
        <v>0</v>
      </c>
      <c r="AC216" s="2">
        <f t="shared" si="298"/>
        <v>30</v>
      </c>
      <c r="AD216" s="2">
        <f t="shared" si="298"/>
        <v>30</v>
      </c>
      <c r="AE216" s="2">
        <f t="shared" si="298"/>
        <v>30</v>
      </c>
      <c r="AF216" s="2">
        <f t="shared" si="298"/>
        <v>30</v>
      </c>
      <c r="AG216" s="2">
        <f t="shared" si="298"/>
        <v>0</v>
      </c>
      <c r="AH216" s="2">
        <f t="shared" si="298"/>
        <v>30</v>
      </c>
      <c r="AI216" s="2">
        <f t="shared" si="298"/>
        <v>30</v>
      </c>
      <c r="AJ216" s="2">
        <f t="shared" si="298"/>
        <v>30</v>
      </c>
      <c r="AK216" s="2">
        <f t="shared" si="298"/>
        <v>30</v>
      </c>
      <c r="AL216" s="2">
        <f t="shared" si="298"/>
        <v>30</v>
      </c>
      <c r="AM216" s="2">
        <f t="shared" si="298"/>
        <v>30</v>
      </c>
      <c r="AN216" s="2">
        <f t="shared" si="298"/>
        <v>0</v>
      </c>
      <c r="AO216" s="2">
        <f t="shared" si="298"/>
        <v>0</v>
      </c>
      <c r="AP216" s="2">
        <f t="shared" si="298"/>
        <v>0</v>
      </c>
      <c r="AQ216" s="2">
        <f t="shared" si="298"/>
        <v>0</v>
      </c>
      <c r="AR216" s="2">
        <f t="shared" si="298"/>
        <v>0</v>
      </c>
      <c r="AS216" s="2">
        <f t="shared" si="298"/>
        <v>0</v>
      </c>
      <c r="AT216" s="2">
        <f t="shared" si="298"/>
        <v>0</v>
      </c>
      <c r="AU216" s="54">
        <f t="shared" si="298"/>
        <v>0</v>
      </c>
      <c r="AV216" s="2">
        <f t="shared" si="298"/>
        <v>0</v>
      </c>
      <c r="AW216" s="2">
        <f t="shared" si="298"/>
        <v>0</v>
      </c>
      <c r="AX216" s="2">
        <f t="shared" si="298"/>
        <v>0</v>
      </c>
      <c r="AY216" s="2">
        <f t="shared" si="298"/>
        <v>0</v>
      </c>
      <c r="AZ216" s="2">
        <f t="shared" si="298"/>
        <v>0</v>
      </c>
      <c r="BA216" s="2">
        <f t="shared" si="298"/>
        <v>0</v>
      </c>
      <c r="BB216" s="2">
        <f t="shared" si="298"/>
        <v>0</v>
      </c>
      <c r="BC216" s="2">
        <f t="shared" si="298"/>
        <v>30</v>
      </c>
      <c r="BD216" s="2">
        <f t="shared" si="298"/>
        <v>0</v>
      </c>
      <c r="BE216" s="2">
        <f t="shared" si="298"/>
        <v>30</v>
      </c>
      <c r="BF216" s="2">
        <f t="shared" si="298"/>
        <v>30</v>
      </c>
      <c r="BG216" s="2">
        <f t="shared" si="298"/>
        <v>30</v>
      </c>
      <c r="BH216" s="2">
        <f t="shared" si="298"/>
        <v>30</v>
      </c>
      <c r="BI216" s="2">
        <f t="shared" si="298"/>
        <v>30</v>
      </c>
      <c r="BJ216" s="2">
        <f t="shared" si="298"/>
        <v>30</v>
      </c>
      <c r="BK216" s="2" t="e">
        <f t="shared" si="298"/>
        <v>#DIV/0!</v>
      </c>
      <c r="BM216" s="2">
        <f t="shared" si="297"/>
        <v>0</v>
      </c>
    </row>
    <row r="217" spans="1:65">
      <c r="A217" s="47" t="s">
        <v>42</v>
      </c>
      <c r="B217" s="54">
        <f>IF(B208=1, IF(B183&lt;=6.25, 1, 0), 0)</f>
        <v>0</v>
      </c>
      <c r="C217" s="2">
        <f t="shared" ref="C217:BM217" si="299">IF(C208=1, IF(C183&lt;=6.25, 1, 0), 0)</f>
        <v>0</v>
      </c>
      <c r="D217" s="2">
        <f t="shared" si="299"/>
        <v>0</v>
      </c>
      <c r="E217" s="2">
        <f t="shared" si="299"/>
        <v>0</v>
      </c>
      <c r="F217" s="2">
        <f t="shared" si="299"/>
        <v>0</v>
      </c>
      <c r="G217" s="2">
        <f t="shared" si="299"/>
        <v>0</v>
      </c>
      <c r="H217" s="2">
        <f t="shared" si="299"/>
        <v>0</v>
      </c>
      <c r="I217" s="2">
        <f t="shared" si="299"/>
        <v>0</v>
      </c>
      <c r="J217" s="2">
        <f t="shared" si="299"/>
        <v>0</v>
      </c>
      <c r="K217" s="54">
        <f t="shared" si="299"/>
        <v>0</v>
      </c>
      <c r="L217" s="2">
        <f t="shared" si="299"/>
        <v>0</v>
      </c>
      <c r="M217" s="2">
        <f t="shared" si="299"/>
        <v>0</v>
      </c>
      <c r="N217" s="2">
        <f t="shared" si="299"/>
        <v>0</v>
      </c>
      <c r="O217" s="2">
        <f t="shared" si="299"/>
        <v>0</v>
      </c>
      <c r="P217" s="2">
        <f t="shared" si="299"/>
        <v>0</v>
      </c>
      <c r="Q217" s="54">
        <f t="shared" si="299"/>
        <v>0</v>
      </c>
      <c r="R217" s="2">
        <f t="shared" si="299"/>
        <v>0</v>
      </c>
      <c r="S217" s="2">
        <f t="shared" si="299"/>
        <v>0</v>
      </c>
      <c r="T217" s="2">
        <f t="shared" si="299"/>
        <v>0</v>
      </c>
      <c r="U217" s="2">
        <f t="shared" ref="U217:BK217" si="300">IF(U208=1, IF(U183&lt;=6.25, 1, 0), 0)</f>
        <v>0</v>
      </c>
      <c r="V217" s="2">
        <f t="shared" si="300"/>
        <v>0</v>
      </c>
      <c r="W217" s="2">
        <f t="shared" si="300"/>
        <v>0</v>
      </c>
      <c r="X217" s="2">
        <f t="shared" si="300"/>
        <v>0</v>
      </c>
      <c r="Y217" s="54">
        <f t="shared" si="300"/>
        <v>0</v>
      </c>
      <c r="Z217" s="2">
        <f t="shared" si="300"/>
        <v>0</v>
      </c>
      <c r="AA217" s="54">
        <f t="shared" si="300"/>
        <v>0</v>
      </c>
      <c r="AB217" s="2">
        <f t="shared" si="300"/>
        <v>0</v>
      </c>
      <c r="AC217" s="2">
        <f t="shared" si="300"/>
        <v>0</v>
      </c>
      <c r="AD217" s="2">
        <f t="shared" si="300"/>
        <v>0</v>
      </c>
      <c r="AE217" s="2">
        <f t="shared" si="300"/>
        <v>0</v>
      </c>
      <c r="AF217" s="2">
        <f t="shared" si="300"/>
        <v>0</v>
      </c>
      <c r="AG217" s="2">
        <f t="shared" si="300"/>
        <v>1</v>
      </c>
      <c r="AH217" s="2">
        <f t="shared" si="300"/>
        <v>0</v>
      </c>
      <c r="AI217" s="2">
        <f t="shared" si="300"/>
        <v>0</v>
      </c>
      <c r="AJ217" s="2">
        <f t="shared" si="300"/>
        <v>0</v>
      </c>
      <c r="AK217" s="2">
        <f t="shared" si="300"/>
        <v>0</v>
      </c>
      <c r="AL217" s="2">
        <f t="shared" si="300"/>
        <v>0</v>
      </c>
      <c r="AM217" s="2">
        <f t="shared" si="300"/>
        <v>0</v>
      </c>
      <c r="AN217" s="2">
        <f t="shared" si="300"/>
        <v>0</v>
      </c>
      <c r="AO217" s="2">
        <f t="shared" si="300"/>
        <v>0</v>
      </c>
      <c r="AP217" s="2">
        <f t="shared" si="300"/>
        <v>0</v>
      </c>
      <c r="AQ217" s="2">
        <f t="shared" si="300"/>
        <v>0</v>
      </c>
      <c r="AR217" s="2">
        <f t="shared" si="300"/>
        <v>0</v>
      </c>
      <c r="AS217" s="2">
        <f t="shared" si="300"/>
        <v>0</v>
      </c>
      <c r="AT217" s="2">
        <f t="shared" si="300"/>
        <v>0</v>
      </c>
      <c r="AU217" s="54">
        <f t="shared" si="300"/>
        <v>0</v>
      </c>
      <c r="AV217" s="2">
        <f t="shared" si="300"/>
        <v>0</v>
      </c>
      <c r="AW217" s="2">
        <f t="shared" si="300"/>
        <v>0</v>
      </c>
      <c r="AX217" s="2">
        <f t="shared" si="300"/>
        <v>0</v>
      </c>
      <c r="AY217" s="2">
        <f t="shared" si="300"/>
        <v>0</v>
      </c>
      <c r="AZ217" s="2">
        <f t="shared" si="300"/>
        <v>0</v>
      </c>
      <c r="BA217" s="2">
        <f t="shared" si="300"/>
        <v>0</v>
      </c>
      <c r="BB217" s="2">
        <f t="shared" si="300"/>
        <v>0</v>
      </c>
      <c r="BC217" s="2">
        <f t="shared" si="300"/>
        <v>0</v>
      </c>
      <c r="BD217" s="2">
        <f t="shared" si="300"/>
        <v>0</v>
      </c>
      <c r="BE217" s="2">
        <f t="shared" si="300"/>
        <v>0</v>
      </c>
      <c r="BF217" s="2">
        <f t="shared" si="300"/>
        <v>0</v>
      </c>
      <c r="BG217" s="2">
        <f t="shared" si="300"/>
        <v>0</v>
      </c>
      <c r="BH217" s="2">
        <f t="shared" si="300"/>
        <v>0</v>
      </c>
      <c r="BI217" s="2">
        <f t="shared" si="300"/>
        <v>0</v>
      </c>
      <c r="BJ217" s="2">
        <f t="shared" si="300"/>
        <v>0</v>
      </c>
      <c r="BK217" s="2" t="e">
        <f t="shared" si="300"/>
        <v>#DIV/0!</v>
      </c>
      <c r="BM217" s="2">
        <f t="shared" si="299"/>
        <v>0</v>
      </c>
    </row>
    <row r="218" spans="1:65">
      <c r="A218" s="37" t="s">
        <v>43</v>
      </c>
      <c r="B218" s="54">
        <f>IF(B217=1, IF(B182&gt;0.7, 32, IF(B182&gt;0.3, 33, 34)), 0)</f>
        <v>0</v>
      </c>
      <c r="C218" s="2">
        <f t="shared" ref="C218:BM218" si="301">IF(C217=1, IF(C182&gt;0.7, 32, IF(C182&gt;0.3, 33, 34)), 0)</f>
        <v>0</v>
      </c>
      <c r="D218" s="2">
        <f t="shared" si="301"/>
        <v>0</v>
      </c>
      <c r="E218" s="2">
        <f t="shared" si="301"/>
        <v>0</v>
      </c>
      <c r="F218" s="2">
        <f t="shared" si="301"/>
        <v>0</v>
      </c>
      <c r="G218" s="2">
        <f t="shared" si="301"/>
        <v>0</v>
      </c>
      <c r="H218" s="2">
        <f t="shared" si="301"/>
        <v>0</v>
      </c>
      <c r="I218" s="2">
        <f t="shared" si="301"/>
        <v>0</v>
      </c>
      <c r="J218" s="2">
        <f t="shared" si="301"/>
        <v>0</v>
      </c>
      <c r="K218" s="54">
        <f t="shared" si="301"/>
        <v>0</v>
      </c>
      <c r="L218" s="2">
        <f t="shared" si="301"/>
        <v>0</v>
      </c>
      <c r="M218" s="2">
        <f t="shared" si="301"/>
        <v>0</v>
      </c>
      <c r="N218" s="2">
        <f t="shared" si="301"/>
        <v>0</v>
      </c>
      <c r="O218" s="2">
        <f t="shared" si="301"/>
        <v>0</v>
      </c>
      <c r="P218" s="2">
        <f t="shared" si="301"/>
        <v>0</v>
      </c>
      <c r="Q218" s="54">
        <f t="shared" si="301"/>
        <v>0</v>
      </c>
      <c r="R218" s="2">
        <f t="shared" si="301"/>
        <v>0</v>
      </c>
      <c r="S218" s="2">
        <f t="shared" si="301"/>
        <v>0</v>
      </c>
      <c r="T218" s="2">
        <f t="shared" si="301"/>
        <v>0</v>
      </c>
      <c r="U218" s="2">
        <f t="shared" ref="U218:BK218" si="302">IF(U217=1, IF(U182&gt;0.7, 32, IF(U182&gt;0.3, 33, 34)), 0)</f>
        <v>0</v>
      </c>
      <c r="V218" s="2">
        <f t="shared" si="302"/>
        <v>0</v>
      </c>
      <c r="W218" s="2">
        <f t="shared" si="302"/>
        <v>0</v>
      </c>
      <c r="X218" s="2">
        <f t="shared" si="302"/>
        <v>0</v>
      </c>
      <c r="Y218" s="54">
        <f t="shared" si="302"/>
        <v>0</v>
      </c>
      <c r="Z218" s="2">
        <f t="shared" si="302"/>
        <v>0</v>
      </c>
      <c r="AA218" s="54">
        <f t="shared" si="302"/>
        <v>0</v>
      </c>
      <c r="AB218" s="2">
        <f t="shared" si="302"/>
        <v>0</v>
      </c>
      <c r="AC218" s="2">
        <f t="shared" si="302"/>
        <v>0</v>
      </c>
      <c r="AD218" s="2">
        <f t="shared" si="302"/>
        <v>0</v>
      </c>
      <c r="AE218" s="2">
        <f t="shared" si="302"/>
        <v>0</v>
      </c>
      <c r="AF218" s="2">
        <f t="shared" si="302"/>
        <v>0</v>
      </c>
      <c r="AG218" s="2">
        <f t="shared" si="302"/>
        <v>33</v>
      </c>
      <c r="AH218" s="2">
        <f t="shared" si="302"/>
        <v>0</v>
      </c>
      <c r="AI218" s="2">
        <f t="shared" si="302"/>
        <v>0</v>
      </c>
      <c r="AJ218" s="2">
        <f t="shared" si="302"/>
        <v>0</v>
      </c>
      <c r="AK218" s="2">
        <f t="shared" si="302"/>
        <v>0</v>
      </c>
      <c r="AL218" s="2">
        <f t="shared" si="302"/>
        <v>0</v>
      </c>
      <c r="AM218" s="2">
        <f t="shared" si="302"/>
        <v>0</v>
      </c>
      <c r="AN218" s="2">
        <f t="shared" si="302"/>
        <v>0</v>
      </c>
      <c r="AO218" s="2">
        <f t="shared" si="302"/>
        <v>0</v>
      </c>
      <c r="AP218" s="2">
        <f t="shared" si="302"/>
        <v>0</v>
      </c>
      <c r="AQ218" s="2">
        <f t="shared" si="302"/>
        <v>0</v>
      </c>
      <c r="AR218" s="2">
        <f t="shared" si="302"/>
        <v>0</v>
      </c>
      <c r="AS218" s="2">
        <f t="shared" si="302"/>
        <v>0</v>
      </c>
      <c r="AT218" s="2">
        <f t="shared" si="302"/>
        <v>0</v>
      </c>
      <c r="AU218" s="54">
        <f t="shared" si="302"/>
        <v>0</v>
      </c>
      <c r="AV218" s="2">
        <f t="shared" si="302"/>
        <v>0</v>
      </c>
      <c r="AW218" s="2">
        <f t="shared" si="302"/>
        <v>0</v>
      </c>
      <c r="AX218" s="2">
        <f t="shared" si="302"/>
        <v>0</v>
      </c>
      <c r="AY218" s="2">
        <f t="shared" si="302"/>
        <v>0</v>
      </c>
      <c r="AZ218" s="2">
        <f t="shared" si="302"/>
        <v>0</v>
      </c>
      <c r="BA218" s="2">
        <f t="shared" si="302"/>
        <v>0</v>
      </c>
      <c r="BB218" s="2">
        <f t="shared" si="302"/>
        <v>0</v>
      </c>
      <c r="BC218" s="2">
        <f t="shared" si="302"/>
        <v>0</v>
      </c>
      <c r="BD218" s="2">
        <f t="shared" si="302"/>
        <v>0</v>
      </c>
      <c r="BE218" s="2">
        <f t="shared" si="302"/>
        <v>0</v>
      </c>
      <c r="BF218" s="2">
        <f t="shared" si="302"/>
        <v>0</v>
      </c>
      <c r="BG218" s="2">
        <f t="shared" si="302"/>
        <v>0</v>
      </c>
      <c r="BH218" s="2">
        <f t="shared" si="302"/>
        <v>0</v>
      </c>
      <c r="BI218" s="2">
        <f t="shared" si="302"/>
        <v>0</v>
      </c>
      <c r="BJ218" s="2">
        <f t="shared" si="302"/>
        <v>0</v>
      </c>
      <c r="BK218" s="2" t="e">
        <f t="shared" si="302"/>
        <v>#DIV/0!</v>
      </c>
      <c r="BM218" s="2">
        <f t="shared" si="301"/>
        <v>0</v>
      </c>
    </row>
    <row r="219" spans="1:65">
      <c r="A219" s="1" t="s">
        <v>45</v>
      </c>
      <c r="B219" s="54">
        <f>B194+B196+B208</f>
        <v>1</v>
      </c>
      <c r="C219" s="2">
        <f t="shared" ref="C219:BM219" si="303">C194+C196+C208</f>
        <v>1</v>
      </c>
      <c r="D219" s="2">
        <f t="shared" si="303"/>
        <v>1</v>
      </c>
      <c r="E219" s="2">
        <f t="shared" si="303"/>
        <v>1</v>
      </c>
      <c r="F219" s="2">
        <f t="shared" si="303"/>
        <v>1</v>
      </c>
      <c r="G219" s="2">
        <f t="shared" si="303"/>
        <v>1</v>
      </c>
      <c r="H219" s="2">
        <f t="shared" si="303"/>
        <v>1</v>
      </c>
      <c r="I219" s="2">
        <f t="shared" si="303"/>
        <v>1</v>
      </c>
      <c r="J219" s="2">
        <f t="shared" si="303"/>
        <v>1</v>
      </c>
      <c r="K219" s="54">
        <f t="shared" si="303"/>
        <v>1</v>
      </c>
      <c r="L219" s="2">
        <f t="shared" si="303"/>
        <v>1</v>
      </c>
      <c r="M219" s="2">
        <f t="shared" si="303"/>
        <v>1</v>
      </c>
      <c r="N219" s="2">
        <f t="shared" si="303"/>
        <v>1</v>
      </c>
      <c r="O219" s="2">
        <f t="shared" si="303"/>
        <v>1</v>
      </c>
      <c r="P219" s="2">
        <f t="shared" si="303"/>
        <v>1</v>
      </c>
      <c r="Q219" s="54">
        <f t="shared" si="303"/>
        <v>1</v>
      </c>
      <c r="R219" s="2">
        <f t="shared" si="303"/>
        <v>1</v>
      </c>
      <c r="S219" s="2">
        <f t="shared" si="303"/>
        <v>1</v>
      </c>
      <c r="T219" s="2">
        <f t="shared" si="303"/>
        <v>1</v>
      </c>
      <c r="U219" s="2">
        <f t="shared" ref="U219:BK219" si="304">U194+U196+U208</f>
        <v>1</v>
      </c>
      <c r="V219" s="2">
        <f t="shared" si="304"/>
        <v>1</v>
      </c>
      <c r="W219" s="2">
        <f t="shared" si="304"/>
        <v>1</v>
      </c>
      <c r="X219" s="2">
        <f t="shared" si="304"/>
        <v>1</v>
      </c>
      <c r="Y219" s="54">
        <f t="shared" si="304"/>
        <v>1</v>
      </c>
      <c r="Z219" s="2">
        <f t="shared" si="304"/>
        <v>1</v>
      </c>
      <c r="AA219" s="54">
        <f t="shared" si="304"/>
        <v>1</v>
      </c>
      <c r="AB219" s="2">
        <f t="shared" si="304"/>
        <v>1</v>
      </c>
      <c r="AC219" s="2">
        <f t="shared" si="304"/>
        <v>1</v>
      </c>
      <c r="AD219" s="2">
        <f t="shared" si="304"/>
        <v>1</v>
      </c>
      <c r="AE219" s="2">
        <f t="shared" si="304"/>
        <v>1</v>
      </c>
      <c r="AF219" s="2">
        <f t="shared" si="304"/>
        <v>1</v>
      </c>
      <c r="AG219" s="2">
        <f t="shared" si="304"/>
        <v>1</v>
      </c>
      <c r="AH219" s="2">
        <f t="shared" si="304"/>
        <v>1</v>
      </c>
      <c r="AI219" s="2">
        <f t="shared" si="304"/>
        <v>1</v>
      </c>
      <c r="AJ219" s="2">
        <f t="shared" si="304"/>
        <v>1</v>
      </c>
      <c r="AK219" s="2">
        <f t="shared" si="304"/>
        <v>1</v>
      </c>
      <c r="AL219" s="2">
        <f t="shared" si="304"/>
        <v>1</v>
      </c>
      <c r="AM219" s="2">
        <f t="shared" si="304"/>
        <v>1</v>
      </c>
      <c r="AN219" s="2">
        <f t="shared" si="304"/>
        <v>1</v>
      </c>
      <c r="AO219" s="2">
        <f t="shared" si="304"/>
        <v>1</v>
      </c>
      <c r="AP219" s="2">
        <f t="shared" si="304"/>
        <v>1</v>
      </c>
      <c r="AQ219" s="2">
        <f t="shared" si="304"/>
        <v>1</v>
      </c>
      <c r="AR219" s="2">
        <f t="shared" si="304"/>
        <v>1</v>
      </c>
      <c r="AS219" s="2">
        <f t="shared" si="304"/>
        <v>1</v>
      </c>
      <c r="AT219" s="2">
        <f t="shared" si="304"/>
        <v>1</v>
      </c>
      <c r="AU219" s="54">
        <f t="shared" si="304"/>
        <v>1</v>
      </c>
      <c r="AV219" s="2">
        <f t="shared" si="304"/>
        <v>1</v>
      </c>
      <c r="AW219" s="2">
        <f t="shared" si="304"/>
        <v>1</v>
      </c>
      <c r="AX219" s="2">
        <f t="shared" si="304"/>
        <v>1</v>
      </c>
      <c r="AY219" s="2">
        <f t="shared" si="304"/>
        <v>1</v>
      </c>
      <c r="AZ219" s="2">
        <f t="shared" si="304"/>
        <v>1</v>
      </c>
      <c r="BA219" s="2">
        <f t="shared" si="304"/>
        <v>1</v>
      </c>
      <c r="BB219" s="2">
        <f t="shared" si="304"/>
        <v>1</v>
      </c>
      <c r="BC219" s="2">
        <f t="shared" si="304"/>
        <v>1</v>
      </c>
      <c r="BD219" s="2">
        <f t="shared" si="304"/>
        <v>1</v>
      </c>
      <c r="BE219" s="2">
        <f t="shared" si="304"/>
        <v>1</v>
      </c>
      <c r="BF219" s="2">
        <f t="shared" si="304"/>
        <v>1</v>
      </c>
      <c r="BG219" s="2">
        <f t="shared" si="304"/>
        <v>1</v>
      </c>
      <c r="BH219" s="2">
        <f t="shared" si="304"/>
        <v>1</v>
      </c>
      <c r="BI219" s="2">
        <f t="shared" si="304"/>
        <v>1</v>
      </c>
      <c r="BJ219" s="2">
        <f t="shared" si="304"/>
        <v>1</v>
      </c>
      <c r="BK219" s="2" t="e">
        <f t="shared" si="304"/>
        <v>#DIV/0!</v>
      </c>
      <c r="BM219" s="2">
        <f t="shared" si="303"/>
        <v>1</v>
      </c>
    </row>
    <row r="220" spans="1:65">
      <c r="A220" s="38" t="s">
        <v>44</v>
      </c>
      <c r="B220" s="54">
        <f>IF(B193=1, IF(B219=0, 1, 0), 0)</f>
        <v>0</v>
      </c>
      <c r="C220" s="2">
        <f t="shared" ref="C220:BM220" si="305">IF(C193=1, IF(C219=0, 1, 0), 0)</f>
        <v>0</v>
      </c>
      <c r="D220" s="2">
        <f t="shared" si="305"/>
        <v>0</v>
      </c>
      <c r="E220" s="2">
        <f t="shared" si="305"/>
        <v>0</v>
      </c>
      <c r="F220" s="2">
        <f t="shared" si="305"/>
        <v>0</v>
      </c>
      <c r="G220" s="2">
        <f t="shared" si="305"/>
        <v>0</v>
      </c>
      <c r="H220" s="2">
        <f t="shared" si="305"/>
        <v>0</v>
      </c>
      <c r="I220" s="2">
        <f t="shared" si="305"/>
        <v>0</v>
      </c>
      <c r="J220" s="2">
        <f t="shared" si="305"/>
        <v>0</v>
      </c>
      <c r="K220" s="54">
        <f t="shared" si="305"/>
        <v>0</v>
      </c>
      <c r="L220" s="2">
        <f t="shared" si="305"/>
        <v>0</v>
      </c>
      <c r="M220" s="2">
        <f t="shared" si="305"/>
        <v>0</v>
      </c>
      <c r="N220" s="2">
        <f t="shared" si="305"/>
        <v>0</v>
      </c>
      <c r="O220" s="2">
        <f t="shared" si="305"/>
        <v>0</v>
      </c>
      <c r="P220" s="2">
        <f t="shared" si="305"/>
        <v>0</v>
      </c>
      <c r="Q220" s="54">
        <f t="shared" si="305"/>
        <v>0</v>
      </c>
      <c r="R220" s="2">
        <f t="shared" si="305"/>
        <v>0</v>
      </c>
      <c r="S220" s="2">
        <f t="shared" si="305"/>
        <v>0</v>
      </c>
      <c r="T220" s="2">
        <f t="shared" si="305"/>
        <v>0</v>
      </c>
      <c r="U220" s="2">
        <f t="shared" ref="U220:BK220" si="306">IF(U193=1, IF(U219=0, 1, 0), 0)</f>
        <v>0</v>
      </c>
      <c r="V220" s="2">
        <f t="shared" si="306"/>
        <v>0</v>
      </c>
      <c r="W220" s="2">
        <f t="shared" si="306"/>
        <v>0</v>
      </c>
      <c r="X220" s="2">
        <f t="shared" si="306"/>
        <v>0</v>
      </c>
      <c r="Y220" s="54">
        <f t="shared" si="306"/>
        <v>0</v>
      </c>
      <c r="Z220" s="2">
        <f t="shared" si="306"/>
        <v>0</v>
      </c>
      <c r="AA220" s="54">
        <f t="shared" si="306"/>
        <v>0</v>
      </c>
      <c r="AB220" s="2">
        <f t="shared" si="306"/>
        <v>0</v>
      </c>
      <c r="AC220" s="2">
        <f t="shared" si="306"/>
        <v>0</v>
      </c>
      <c r="AD220" s="2">
        <f t="shared" si="306"/>
        <v>0</v>
      </c>
      <c r="AE220" s="2">
        <f t="shared" si="306"/>
        <v>0</v>
      </c>
      <c r="AF220" s="2">
        <f t="shared" si="306"/>
        <v>0</v>
      </c>
      <c r="AG220" s="2">
        <f t="shared" si="306"/>
        <v>0</v>
      </c>
      <c r="AH220" s="2">
        <f t="shared" si="306"/>
        <v>0</v>
      </c>
      <c r="AI220" s="2">
        <f t="shared" si="306"/>
        <v>0</v>
      </c>
      <c r="AJ220" s="2">
        <f t="shared" si="306"/>
        <v>0</v>
      </c>
      <c r="AK220" s="2">
        <f t="shared" si="306"/>
        <v>0</v>
      </c>
      <c r="AL220" s="2">
        <f t="shared" si="306"/>
        <v>0</v>
      </c>
      <c r="AM220" s="2">
        <f t="shared" si="306"/>
        <v>0</v>
      </c>
      <c r="AN220" s="2">
        <f t="shared" si="306"/>
        <v>0</v>
      </c>
      <c r="AO220" s="2">
        <f t="shared" si="306"/>
        <v>0</v>
      </c>
      <c r="AP220" s="2">
        <f t="shared" si="306"/>
        <v>0</v>
      </c>
      <c r="AQ220" s="2">
        <f t="shared" si="306"/>
        <v>0</v>
      </c>
      <c r="AR220" s="2">
        <f t="shared" si="306"/>
        <v>0</v>
      </c>
      <c r="AS220" s="2">
        <f t="shared" si="306"/>
        <v>0</v>
      </c>
      <c r="AT220" s="2">
        <f t="shared" si="306"/>
        <v>0</v>
      </c>
      <c r="AU220" s="54">
        <f t="shared" si="306"/>
        <v>0</v>
      </c>
      <c r="AV220" s="2">
        <f t="shared" si="306"/>
        <v>0</v>
      </c>
      <c r="AW220" s="2">
        <f t="shared" si="306"/>
        <v>0</v>
      </c>
      <c r="AX220" s="2">
        <f t="shared" si="306"/>
        <v>0</v>
      </c>
      <c r="AY220" s="2">
        <f t="shared" si="306"/>
        <v>0</v>
      </c>
      <c r="AZ220" s="2">
        <f t="shared" si="306"/>
        <v>0</v>
      </c>
      <c r="BA220" s="2">
        <f t="shared" si="306"/>
        <v>0</v>
      </c>
      <c r="BB220" s="2">
        <f t="shared" si="306"/>
        <v>0</v>
      </c>
      <c r="BC220" s="2">
        <f t="shared" si="306"/>
        <v>0</v>
      </c>
      <c r="BD220" s="2">
        <f t="shared" si="306"/>
        <v>0</v>
      </c>
      <c r="BE220" s="2">
        <f t="shared" si="306"/>
        <v>0</v>
      </c>
      <c r="BF220" s="2">
        <f t="shared" si="306"/>
        <v>0</v>
      </c>
      <c r="BG220" s="2">
        <f t="shared" si="306"/>
        <v>0</v>
      </c>
      <c r="BH220" s="2">
        <f t="shared" si="306"/>
        <v>0</v>
      </c>
      <c r="BI220" s="2">
        <f t="shared" si="306"/>
        <v>0</v>
      </c>
      <c r="BJ220" s="2">
        <f t="shared" si="306"/>
        <v>0</v>
      </c>
      <c r="BK220" s="2" t="e">
        <f t="shared" si="306"/>
        <v>#DIV/0!</v>
      </c>
      <c r="BM220" s="2">
        <f t="shared" si="305"/>
        <v>0</v>
      </c>
    </row>
    <row r="221" spans="1:65">
      <c r="A221" s="47" t="s">
        <v>46</v>
      </c>
      <c r="B221" s="54">
        <f>IF(B220=1, IF(B183&gt;7.25, 1, 0), 0)</f>
        <v>0</v>
      </c>
      <c r="C221" s="2">
        <f t="shared" ref="C221:BM221" si="307">IF(C220=1, IF(C183&gt;7.25, 1, 0), 0)</f>
        <v>0</v>
      </c>
      <c r="D221" s="2">
        <f t="shared" si="307"/>
        <v>0</v>
      </c>
      <c r="E221" s="2">
        <f t="shared" si="307"/>
        <v>0</v>
      </c>
      <c r="F221" s="2">
        <f t="shared" si="307"/>
        <v>0</v>
      </c>
      <c r="G221" s="2">
        <f t="shared" si="307"/>
        <v>0</v>
      </c>
      <c r="H221" s="2">
        <f t="shared" si="307"/>
        <v>0</v>
      </c>
      <c r="I221" s="2">
        <f t="shared" si="307"/>
        <v>0</v>
      </c>
      <c r="J221" s="2">
        <f t="shared" si="307"/>
        <v>0</v>
      </c>
      <c r="K221" s="54">
        <f t="shared" si="307"/>
        <v>0</v>
      </c>
      <c r="L221" s="2">
        <f t="shared" si="307"/>
        <v>0</v>
      </c>
      <c r="M221" s="2">
        <f t="shared" si="307"/>
        <v>0</v>
      </c>
      <c r="N221" s="2">
        <f t="shared" si="307"/>
        <v>0</v>
      </c>
      <c r="O221" s="2">
        <f t="shared" si="307"/>
        <v>0</v>
      </c>
      <c r="P221" s="2">
        <f t="shared" si="307"/>
        <v>0</v>
      </c>
      <c r="Q221" s="54">
        <f t="shared" si="307"/>
        <v>0</v>
      </c>
      <c r="R221" s="2">
        <f t="shared" si="307"/>
        <v>0</v>
      </c>
      <c r="S221" s="2">
        <f t="shared" si="307"/>
        <v>0</v>
      </c>
      <c r="T221" s="2">
        <f t="shared" si="307"/>
        <v>0</v>
      </c>
      <c r="U221" s="2">
        <f t="shared" ref="U221:BK221" si="308">IF(U220=1, IF(U183&gt;7.25, 1, 0), 0)</f>
        <v>0</v>
      </c>
      <c r="V221" s="2">
        <f t="shared" si="308"/>
        <v>0</v>
      </c>
      <c r="W221" s="2">
        <f t="shared" si="308"/>
        <v>0</v>
      </c>
      <c r="X221" s="2">
        <f t="shared" si="308"/>
        <v>0</v>
      </c>
      <c r="Y221" s="54">
        <f t="shared" si="308"/>
        <v>0</v>
      </c>
      <c r="Z221" s="2">
        <f t="shared" si="308"/>
        <v>0</v>
      </c>
      <c r="AA221" s="54">
        <f t="shared" si="308"/>
        <v>0</v>
      </c>
      <c r="AB221" s="2">
        <f t="shared" si="308"/>
        <v>0</v>
      </c>
      <c r="AC221" s="2">
        <f t="shared" si="308"/>
        <v>0</v>
      </c>
      <c r="AD221" s="2">
        <f t="shared" si="308"/>
        <v>0</v>
      </c>
      <c r="AE221" s="2">
        <f t="shared" si="308"/>
        <v>0</v>
      </c>
      <c r="AF221" s="2">
        <f t="shared" si="308"/>
        <v>0</v>
      </c>
      <c r="AG221" s="2">
        <f t="shared" si="308"/>
        <v>0</v>
      </c>
      <c r="AH221" s="2">
        <f t="shared" si="308"/>
        <v>0</v>
      </c>
      <c r="AI221" s="2">
        <f t="shared" si="308"/>
        <v>0</v>
      </c>
      <c r="AJ221" s="2">
        <f t="shared" si="308"/>
        <v>0</v>
      </c>
      <c r="AK221" s="2">
        <f t="shared" si="308"/>
        <v>0</v>
      </c>
      <c r="AL221" s="2">
        <f t="shared" si="308"/>
        <v>0</v>
      </c>
      <c r="AM221" s="2">
        <f t="shared" si="308"/>
        <v>0</v>
      </c>
      <c r="AN221" s="2">
        <f t="shared" si="308"/>
        <v>0</v>
      </c>
      <c r="AO221" s="2">
        <f t="shared" si="308"/>
        <v>0</v>
      </c>
      <c r="AP221" s="2">
        <f t="shared" si="308"/>
        <v>0</v>
      </c>
      <c r="AQ221" s="2">
        <f t="shared" si="308"/>
        <v>0</v>
      </c>
      <c r="AR221" s="2">
        <f t="shared" si="308"/>
        <v>0</v>
      </c>
      <c r="AS221" s="2">
        <f t="shared" si="308"/>
        <v>0</v>
      </c>
      <c r="AT221" s="2">
        <f t="shared" si="308"/>
        <v>0</v>
      </c>
      <c r="AU221" s="54">
        <f t="shared" si="308"/>
        <v>0</v>
      </c>
      <c r="AV221" s="2">
        <f t="shared" si="308"/>
        <v>0</v>
      </c>
      <c r="AW221" s="2">
        <f t="shared" si="308"/>
        <v>0</v>
      </c>
      <c r="AX221" s="2">
        <f t="shared" si="308"/>
        <v>0</v>
      </c>
      <c r="AY221" s="2">
        <f t="shared" si="308"/>
        <v>0</v>
      </c>
      <c r="AZ221" s="2">
        <f t="shared" si="308"/>
        <v>0</v>
      </c>
      <c r="BA221" s="2">
        <f t="shared" si="308"/>
        <v>0</v>
      </c>
      <c r="BB221" s="2">
        <f t="shared" si="308"/>
        <v>0</v>
      </c>
      <c r="BC221" s="2">
        <f t="shared" si="308"/>
        <v>0</v>
      </c>
      <c r="BD221" s="2">
        <f t="shared" si="308"/>
        <v>0</v>
      </c>
      <c r="BE221" s="2">
        <f t="shared" si="308"/>
        <v>0</v>
      </c>
      <c r="BF221" s="2">
        <f t="shared" si="308"/>
        <v>0</v>
      </c>
      <c r="BG221" s="2">
        <f t="shared" si="308"/>
        <v>0</v>
      </c>
      <c r="BH221" s="2">
        <f t="shared" si="308"/>
        <v>0</v>
      </c>
      <c r="BI221" s="2">
        <f t="shared" si="308"/>
        <v>0</v>
      </c>
      <c r="BJ221" s="2">
        <f t="shared" si="308"/>
        <v>0</v>
      </c>
      <c r="BK221" s="2" t="e">
        <f t="shared" si="308"/>
        <v>#DIV/0!</v>
      </c>
      <c r="BM221" s="2">
        <f t="shared" si="307"/>
        <v>0</v>
      </c>
    </row>
    <row r="222" spans="1:65">
      <c r="A222" s="37" t="s">
        <v>244</v>
      </c>
      <c r="B222" s="54">
        <f>IF(B221=1, IF(B182&gt;0.5, 35, 36), 0)</f>
        <v>0</v>
      </c>
      <c r="C222" s="2">
        <f t="shared" ref="C222:BM222" si="309">IF(C221=1, IF(C182&gt;0.5, 35, 36), 0)</f>
        <v>0</v>
      </c>
      <c r="D222" s="2">
        <f t="shared" si="309"/>
        <v>0</v>
      </c>
      <c r="E222" s="2">
        <f t="shared" si="309"/>
        <v>0</v>
      </c>
      <c r="F222" s="2">
        <f t="shared" si="309"/>
        <v>0</v>
      </c>
      <c r="G222" s="2">
        <f t="shared" si="309"/>
        <v>0</v>
      </c>
      <c r="H222" s="2">
        <f t="shared" si="309"/>
        <v>0</v>
      </c>
      <c r="I222" s="2">
        <f t="shared" si="309"/>
        <v>0</v>
      </c>
      <c r="J222" s="2">
        <f t="shared" si="309"/>
        <v>0</v>
      </c>
      <c r="K222" s="54">
        <f t="shared" si="309"/>
        <v>0</v>
      </c>
      <c r="L222" s="2">
        <f t="shared" si="309"/>
        <v>0</v>
      </c>
      <c r="M222" s="2">
        <f t="shared" si="309"/>
        <v>0</v>
      </c>
      <c r="N222" s="2">
        <f t="shared" si="309"/>
        <v>0</v>
      </c>
      <c r="O222" s="2">
        <f t="shared" si="309"/>
        <v>0</v>
      </c>
      <c r="P222" s="2">
        <f t="shared" si="309"/>
        <v>0</v>
      </c>
      <c r="Q222" s="54">
        <f t="shared" si="309"/>
        <v>0</v>
      </c>
      <c r="R222" s="2">
        <f t="shared" si="309"/>
        <v>0</v>
      </c>
      <c r="S222" s="2">
        <f t="shared" si="309"/>
        <v>0</v>
      </c>
      <c r="T222" s="2">
        <f t="shared" si="309"/>
        <v>0</v>
      </c>
      <c r="U222" s="2">
        <f t="shared" ref="U222:BK222" si="310">IF(U221=1, IF(U182&gt;0.5, 35, 36), 0)</f>
        <v>0</v>
      </c>
      <c r="V222" s="2">
        <f t="shared" si="310"/>
        <v>0</v>
      </c>
      <c r="W222" s="2">
        <f t="shared" si="310"/>
        <v>0</v>
      </c>
      <c r="X222" s="2">
        <f t="shared" si="310"/>
        <v>0</v>
      </c>
      <c r="Y222" s="54">
        <f t="shared" si="310"/>
        <v>0</v>
      </c>
      <c r="Z222" s="2">
        <f t="shared" si="310"/>
        <v>0</v>
      </c>
      <c r="AA222" s="54">
        <f t="shared" si="310"/>
        <v>0</v>
      </c>
      <c r="AB222" s="2">
        <f t="shared" si="310"/>
        <v>0</v>
      </c>
      <c r="AC222" s="2">
        <f t="shared" si="310"/>
        <v>0</v>
      </c>
      <c r="AD222" s="2">
        <f t="shared" si="310"/>
        <v>0</v>
      </c>
      <c r="AE222" s="2">
        <f t="shared" si="310"/>
        <v>0</v>
      </c>
      <c r="AF222" s="2">
        <f t="shared" si="310"/>
        <v>0</v>
      </c>
      <c r="AG222" s="2">
        <f t="shared" si="310"/>
        <v>0</v>
      </c>
      <c r="AH222" s="2">
        <f t="shared" si="310"/>
        <v>0</v>
      </c>
      <c r="AI222" s="2">
        <f t="shared" si="310"/>
        <v>0</v>
      </c>
      <c r="AJ222" s="2">
        <f t="shared" si="310"/>
        <v>0</v>
      </c>
      <c r="AK222" s="2">
        <f t="shared" si="310"/>
        <v>0</v>
      </c>
      <c r="AL222" s="2">
        <f t="shared" si="310"/>
        <v>0</v>
      </c>
      <c r="AM222" s="2">
        <f t="shared" si="310"/>
        <v>0</v>
      </c>
      <c r="AN222" s="2">
        <f t="shared" si="310"/>
        <v>0</v>
      </c>
      <c r="AO222" s="2">
        <f t="shared" si="310"/>
        <v>0</v>
      </c>
      <c r="AP222" s="2">
        <f t="shared" si="310"/>
        <v>0</v>
      </c>
      <c r="AQ222" s="2">
        <f t="shared" si="310"/>
        <v>0</v>
      </c>
      <c r="AR222" s="2">
        <f t="shared" si="310"/>
        <v>0</v>
      </c>
      <c r="AS222" s="2">
        <f t="shared" si="310"/>
        <v>0</v>
      </c>
      <c r="AT222" s="2">
        <f t="shared" si="310"/>
        <v>0</v>
      </c>
      <c r="AU222" s="54">
        <f t="shared" si="310"/>
        <v>0</v>
      </c>
      <c r="AV222" s="2">
        <f t="shared" si="310"/>
        <v>0</v>
      </c>
      <c r="AW222" s="2">
        <f t="shared" si="310"/>
        <v>0</v>
      </c>
      <c r="AX222" s="2">
        <f t="shared" si="310"/>
        <v>0</v>
      </c>
      <c r="AY222" s="2">
        <f t="shared" si="310"/>
        <v>0</v>
      </c>
      <c r="AZ222" s="2">
        <f t="shared" si="310"/>
        <v>0</v>
      </c>
      <c r="BA222" s="2">
        <f t="shared" si="310"/>
        <v>0</v>
      </c>
      <c r="BB222" s="2">
        <f t="shared" si="310"/>
        <v>0</v>
      </c>
      <c r="BC222" s="2">
        <f t="shared" si="310"/>
        <v>0</v>
      </c>
      <c r="BD222" s="2">
        <f t="shared" si="310"/>
        <v>0</v>
      </c>
      <c r="BE222" s="2">
        <f t="shared" si="310"/>
        <v>0</v>
      </c>
      <c r="BF222" s="2">
        <f t="shared" si="310"/>
        <v>0</v>
      </c>
      <c r="BG222" s="2">
        <f t="shared" si="310"/>
        <v>0</v>
      </c>
      <c r="BH222" s="2">
        <f t="shared" si="310"/>
        <v>0</v>
      </c>
      <c r="BI222" s="2">
        <f t="shared" si="310"/>
        <v>0</v>
      </c>
      <c r="BJ222" s="2">
        <f t="shared" si="310"/>
        <v>0</v>
      </c>
      <c r="BK222" s="2" t="e">
        <f t="shared" si="310"/>
        <v>#DIV/0!</v>
      </c>
      <c r="BM222" s="2">
        <f t="shared" si="309"/>
        <v>0</v>
      </c>
    </row>
    <row r="223" spans="1:65">
      <c r="A223" s="47" t="s">
        <v>245</v>
      </c>
      <c r="B223" s="54">
        <f>IF(B220=1, IF(B183&gt;6.75, IF(B183&lt;=7.25, 1, 0), 0), 0)</f>
        <v>0</v>
      </c>
      <c r="C223" s="2">
        <f t="shared" ref="C223:BM223" si="311">IF(C220=1, IF(C183&gt;6.75, IF(C183&lt;=7.25, 1, 0), 0), 0)</f>
        <v>0</v>
      </c>
      <c r="D223" s="2">
        <f t="shared" si="311"/>
        <v>0</v>
      </c>
      <c r="E223" s="2">
        <f t="shared" si="311"/>
        <v>0</v>
      </c>
      <c r="F223" s="2">
        <f t="shared" si="311"/>
        <v>0</v>
      </c>
      <c r="G223" s="2">
        <f t="shared" si="311"/>
        <v>0</v>
      </c>
      <c r="H223" s="2">
        <f t="shared" si="311"/>
        <v>0</v>
      </c>
      <c r="I223" s="2">
        <f t="shared" si="311"/>
        <v>0</v>
      </c>
      <c r="J223" s="2">
        <f t="shared" si="311"/>
        <v>0</v>
      </c>
      <c r="K223" s="54">
        <f t="shared" si="311"/>
        <v>0</v>
      </c>
      <c r="L223" s="2">
        <f t="shared" si="311"/>
        <v>0</v>
      </c>
      <c r="M223" s="2">
        <f t="shared" si="311"/>
        <v>0</v>
      </c>
      <c r="N223" s="2">
        <f t="shared" si="311"/>
        <v>0</v>
      </c>
      <c r="O223" s="2">
        <f t="shared" si="311"/>
        <v>0</v>
      </c>
      <c r="P223" s="2">
        <f t="shared" si="311"/>
        <v>0</v>
      </c>
      <c r="Q223" s="54">
        <f t="shared" si="311"/>
        <v>0</v>
      </c>
      <c r="R223" s="2">
        <f t="shared" si="311"/>
        <v>0</v>
      </c>
      <c r="S223" s="2">
        <f t="shared" si="311"/>
        <v>0</v>
      </c>
      <c r="T223" s="2">
        <f t="shared" si="311"/>
        <v>0</v>
      </c>
      <c r="U223" s="2">
        <f t="shared" ref="U223:BK223" si="312">IF(U220=1, IF(U183&gt;6.75, IF(U183&lt;=7.25, 1, 0), 0), 0)</f>
        <v>0</v>
      </c>
      <c r="V223" s="2">
        <f t="shared" si="312"/>
        <v>0</v>
      </c>
      <c r="W223" s="2">
        <f t="shared" si="312"/>
        <v>0</v>
      </c>
      <c r="X223" s="2">
        <f t="shared" si="312"/>
        <v>0</v>
      </c>
      <c r="Y223" s="54">
        <f t="shared" si="312"/>
        <v>0</v>
      </c>
      <c r="Z223" s="2">
        <f t="shared" si="312"/>
        <v>0</v>
      </c>
      <c r="AA223" s="54">
        <f t="shared" si="312"/>
        <v>0</v>
      </c>
      <c r="AB223" s="2">
        <f t="shared" si="312"/>
        <v>0</v>
      </c>
      <c r="AC223" s="2">
        <f t="shared" si="312"/>
        <v>0</v>
      </c>
      <c r="AD223" s="2">
        <f t="shared" si="312"/>
        <v>0</v>
      </c>
      <c r="AE223" s="2">
        <f t="shared" si="312"/>
        <v>0</v>
      </c>
      <c r="AF223" s="2">
        <f t="shared" si="312"/>
        <v>0</v>
      </c>
      <c r="AG223" s="2">
        <f t="shared" si="312"/>
        <v>0</v>
      </c>
      <c r="AH223" s="2">
        <f t="shared" si="312"/>
        <v>0</v>
      </c>
      <c r="AI223" s="2">
        <f t="shared" si="312"/>
        <v>0</v>
      </c>
      <c r="AJ223" s="2">
        <f t="shared" si="312"/>
        <v>0</v>
      </c>
      <c r="AK223" s="2">
        <f t="shared" si="312"/>
        <v>0</v>
      </c>
      <c r="AL223" s="2">
        <f t="shared" si="312"/>
        <v>0</v>
      </c>
      <c r="AM223" s="2">
        <f t="shared" si="312"/>
        <v>0</v>
      </c>
      <c r="AN223" s="2">
        <f t="shared" si="312"/>
        <v>0</v>
      </c>
      <c r="AO223" s="2">
        <f t="shared" si="312"/>
        <v>0</v>
      </c>
      <c r="AP223" s="2">
        <f t="shared" si="312"/>
        <v>0</v>
      </c>
      <c r="AQ223" s="2">
        <f t="shared" si="312"/>
        <v>0</v>
      </c>
      <c r="AR223" s="2">
        <f t="shared" si="312"/>
        <v>0</v>
      </c>
      <c r="AS223" s="2">
        <f t="shared" si="312"/>
        <v>0</v>
      </c>
      <c r="AT223" s="2">
        <f t="shared" si="312"/>
        <v>0</v>
      </c>
      <c r="AU223" s="54">
        <f t="shared" si="312"/>
        <v>0</v>
      </c>
      <c r="AV223" s="2">
        <f t="shared" si="312"/>
        <v>0</v>
      </c>
      <c r="AW223" s="2">
        <f t="shared" si="312"/>
        <v>0</v>
      </c>
      <c r="AX223" s="2">
        <f t="shared" si="312"/>
        <v>0</v>
      </c>
      <c r="AY223" s="2">
        <f t="shared" si="312"/>
        <v>0</v>
      </c>
      <c r="AZ223" s="2">
        <f t="shared" si="312"/>
        <v>0</v>
      </c>
      <c r="BA223" s="2">
        <f t="shared" si="312"/>
        <v>0</v>
      </c>
      <c r="BB223" s="2">
        <f t="shared" si="312"/>
        <v>0</v>
      </c>
      <c r="BC223" s="2">
        <f t="shared" si="312"/>
        <v>0</v>
      </c>
      <c r="BD223" s="2">
        <f t="shared" si="312"/>
        <v>0</v>
      </c>
      <c r="BE223" s="2">
        <f t="shared" si="312"/>
        <v>0</v>
      </c>
      <c r="BF223" s="2">
        <f t="shared" si="312"/>
        <v>0</v>
      </c>
      <c r="BG223" s="2">
        <f t="shared" si="312"/>
        <v>0</v>
      </c>
      <c r="BH223" s="2">
        <f t="shared" si="312"/>
        <v>0</v>
      </c>
      <c r="BI223" s="2">
        <f t="shared" si="312"/>
        <v>0</v>
      </c>
      <c r="BJ223" s="2">
        <f t="shared" si="312"/>
        <v>0</v>
      </c>
      <c r="BK223" s="2" t="e">
        <f t="shared" si="312"/>
        <v>#DIV/0!</v>
      </c>
      <c r="BM223" s="2">
        <f t="shared" si="311"/>
        <v>0</v>
      </c>
    </row>
    <row r="224" spans="1:65">
      <c r="A224" s="37" t="s">
        <v>246</v>
      </c>
      <c r="B224" s="54">
        <f>IF(B223=1, IF(B182&gt;0.5, 37, 38), 0)</f>
        <v>0</v>
      </c>
      <c r="C224" s="2">
        <f t="shared" ref="C224:BM224" si="313">IF(C223=1, IF(C182&gt;0.5, 37, 38), 0)</f>
        <v>0</v>
      </c>
      <c r="D224" s="2">
        <f t="shared" si="313"/>
        <v>0</v>
      </c>
      <c r="E224" s="2">
        <f t="shared" si="313"/>
        <v>0</v>
      </c>
      <c r="F224" s="2">
        <f t="shared" si="313"/>
        <v>0</v>
      </c>
      <c r="G224" s="2">
        <f t="shared" si="313"/>
        <v>0</v>
      </c>
      <c r="H224" s="2">
        <f t="shared" si="313"/>
        <v>0</v>
      </c>
      <c r="I224" s="2">
        <f t="shared" si="313"/>
        <v>0</v>
      </c>
      <c r="J224" s="2">
        <f t="shared" si="313"/>
        <v>0</v>
      </c>
      <c r="K224" s="54">
        <f t="shared" si="313"/>
        <v>0</v>
      </c>
      <c r="L224" s="2">
        <f t="shared" si="313"/>
        <v>0</v>
      </c>
      <c r="M224" s="2">
        <f t="shared" si="313"/>
        <v>0</v>
      </c>
      <c r="N224" s="2">
        <f t="shared" si="313"/>
        <v>0</v>
      </c>
      <c r="O224" s="2">
        <f t="shared" si="313"/>
        <v>0</v>
      </c>
      <c r="P224" s="2">
        <f t="shared" si="313"/>
        <v>0</v>
      </c>
      <c r="Q224" s="54">
        <f t="shared" si="313"/>
        <v>0</v>
      </c>
      <c r="R224" s="2">
        <f t="shared" si="313"/>
        <v>0</v>
      </c>
      <c r="S224" s="2">
        <f t="shared" si="313"/>
        <v>0</v>
      </c>
      <c r="T224" s="2">
        <f t="shared" si="313"/>
        <v>0</v>
      </c>
      <c r="U224" s="2">
        <f t="shared" ref="U224:BK224" si="314">IF(U223=1, IF(U182&gt;0.5, 37, 38), 0)</f>
        <v>0</v>
      </c>
      <c r="V224" s="2">
        <f t="shared" si="314"/>
        <v>0</v>
      </c>
      <c r="W224" s="2">
        <f t="shared" si="314"/>
        <v>0</v>
      </c>
      <c r="X224" s="2">
        <f t="shared" si="314"/>
        <v>0</v>
      </c>
      <c r="Y224" s="54">
        <f t="shared" si="314"/>
        <v>0</v>
      </c>
      <c r="Z224" s="2">
        <f t="shared" si="314"/>
        <v>0</v>
      </c>
      <c r="AA224" s="54">
        <f t="shared" si="314"/>
        <v>0</v>
      </c>
      <c r="AB224" s="2">
        <f t="shared" si="314"/>
        <v>0</v>
      </c>
      <c r="AC224" s="2">
        <f t="shared" si="314"/>
        <v>0</v>
      </c>
      <c r="AD224" s="2">
        <f t="shared" si="314"/>
        <v>0</v>
      </c>
      <c r="AE224" s="2">
        <f t="shared" si="314"/>
        <v>0</v>
      </c>
      <c r="AF224" s="2">
        <f t="shared" si="314"/>
        <v>0</v>
      </c>
      <c r="AG224" s="2">
        <f t="shared" si="314"/>
        <v>0</v>
      </c>
      <c r="AH224" s="2">
        <f t="shared" si="314"/>
        <v>0</v>
      </c>
      <c r="AI224" s="2">
        <f t="shared" si="314"/>
        <v>0</v>
      </c>
      <c r="AJ224" s="2">
        <f t="shared" si="314"/>
        <v>0</v>
      </c>
      <c r="AK224" s="2">
        <f t="shared" si="314"/>
        <v>0</v>
      </c>
      <c r="AL224" s="2">
        <f t="shared" si="314"/>
        <v>0</v>
      </c>
      <c r="AM224" s="2">
        <f t="shared" si="314"/>
        <v>0</v>
      </c>
      <c r="AN224" s="2">
        <f t="shared" si="314"/>
        <v>0</v>
      </c>
      <c r="AO224" s="2">
        <f t="shared" si="314"/>
        <v>0</v>
      </c>
      <c r="AP224" s="2">
        <f t="shared" si="314"/>
        <v>0</v>
      </c>
      <c r="AQ224" s="2">
        <f t="shared" si="314"/>
        <v>0</v>
      </c>
      <c r="AR224" s="2">
        <f t="shared" si="314"/>
        <v>0</v>
      </c>
      <c r="AS224" s="2">
        <f t="shared" si="314"/>
        <v>0</v>
      </c>
      <c r="AT224" s="2">
        <f t="shared" si="314"/>
        <v>0</v>
      </c>
      <c r="AU224" s="54">
        <f t="shared" si="314"/>
        <v>0</v>
      </c>
      <c r="AV224" s="2">
        <f t="shared" si="314"/>
        <v>0</v>
      </c>
      <c r="AW224" s="2">
        <f t="shared" si="314"/>
        <v>0</v>
      </c>
      <c r="AX224" s="2">
        <f t="shared" si="314"/>
        <v>0</v>
      </c>
      <c r="AY224" s="2">
        <f t="shared" si="314"/>
        <v>0</v>
      </c>
      <c r="AZ224" s="2">
        <f t="shared" si="314"/>
        <v>0</v>
      </c>
      <c r="BA224" s="2">
        <f t="shared" si="314"/>
        <v>0</v>
      </c>
      <c r="BB224" s="2">
        <f t="shared" si="314"/>
        <v>0</v>
      </c>
      <c r="BC224" s="2">
        <f t="shared" si="314"/>
        <v>0</v>
      </c>
      <c r="BD224" s="2">
        <f t="shared" si="314"/>
        <v>0</v>
      </c>
      <c r="BE224" s="2">
        <f t="shared" si="314"/>
        <v>0</v>
      </c>
      <c r="BF224" s="2">
        <f t="shared" si="314"/>
        <v>0</v>
      </c>
      <c r="BG224" s="2">
        <f t="shared" si="314"/>
        <v>0</v>
      </c>
      <c r="BH224" s="2">
        <f t="shared" si="314"/>
        <v>0</v>
      </c>
      <c r="BI224" s="2">
        <f t="shared" si="314"/>
        <v>0</v>
      </c>
      <c r="BJ224" s="2">
        <f t="shared" si="314"/>
        <v>0</v>
      </c>
      <c r="BK224" s="2" t="e">
        <f t="shared" si="314"/>
        <v>#DIV/0!</v>
      </c>
      <c r="BM224" s="2">
        <f t="shared" si="313"/>
        <v>0</v>
      </c>
    </row>
    <row r="225" spans="1:65">
      <c r="A225" s="47" t="s">
        <v>247</v>
      </c>
      <c r="B225" s="54">
        <f>IF(B220=1, IF(B183&gt;6.5, IF(B183&lt;=6.75, 1, 0), 0), 0)</f>
        <v>0</v>
      </c>
      <c r="C225" s="2">
        <f t="shared" ref="C225:BM225" si="315">IF(C220=1, IF(C183&gt;6.5, IF(C183&lt;=6.75, 1, 0), 0), 0)</f>
        <v>0</v>
      </c>
      <c r="D225" s="2">
        <f t="shared" si="315"/>
        <v>0</v>
      </c>
      <c r="E225" s="2">
        <f t="shared" si="315"/>
        <v>0</v>
      </c>
      <c r="F225" s="2">
        <f t="shared" si="315"/>
        <v>0</v>
      </c>
      <c r="G225" s="2">
        <f t="shared" si="315"/>
        <v>0</v>
      </c>
      <c r="H225" s="2">
        <f t="shared" si="315"/>
        <v>0</v>
      </c>
      <c r="I225" s="2">
        <f t="shared" si="315"/>
        <v>0</v>
      </c>
      <c r="J225" s="2">
        <f t="shared" si="315"/>
        <v>0</v>
      </c>
      <c r="K225" s="54">
        <f t="shared" si="315"/>
        <v>0</v>
      </c>
      <c r="L225" s="2">
        <f t="shared" si="315"/>
        <v>0</v>
      </c>
      <c r="M225" s="2">
        <f t="shared" si="315"/>
        <v>0</v>
      </c>
      <c r="N225" s="2">
        <f t="shared" si="315"/>
        <v>0</v>
      </c>
      <c r="O225" s="2">
        <f t="shared" si="315"/>
        <v>0</v>
      </c>
      <c r="P225" s="2">
        <f t="shared" si="315"/>
        <v>0</v>
      </c>
      <c r="Q225" s="54">
        <f t="shared" si="315"/>
        <v>0</v>
      </c>
      <c r="R225" s="2">
        <f t="shared" si="315"/>
        <v>0</v>
      </c>
      <c r="S225" s="2">
        <f t="shared" si="315"/>
        <v>0</v>
      </c>
      <c r="T225" s="2">
        <f t="shared" si="315"/>
        <v>0</v>
      </c>
      <c r="U225" s="2">
        <f t="shared" ref="U225:BK225" si="316">IF(U220=1, IF(U183&gt;6.5, IF(U183&lt;=6.75, 1, 0), 0), 0)</f>
        <v>0</v>
      </c>
      <c r="V225" s="2">
        <f t="shared" si="316"/>
        <v>0</v>
      </c>
      <c r="W225" s="2">
        <f t="shared" si="316"/>
        <v>0</v>
      </c>
      <c r="X225" s="2">
        <f t="shared" si="316"/>
        <v>0</v>
      </c>
      <c r="Y225" s="54">
        <f t="shared" si="316"/>
        <v>0</v>
      </c>
      <c r="Z225" s="2">
        <f t="shared" si="316"/>
        <v>0</v>
      </c>
      <c r="AA225" s="54">
        <f t="shared" si="316"/>
        <v>0</v>
      </c>
      <c r="AB225" s="2">
        <f t="shared" si="316"/>
        <v>0</v>
      </c>
      <c r="AC225" s="2">
        <f t="shared" si="316"/>
        <v>0</v>
      </c>
      <c r="AD225" s="2">
        <f t="shared" si="316"/>
        <v>0</v>
      </c>
      <c r="AE225" s="2">
        <f t="shared" si="316"/>
        <v>0</v>
      </c>
      <c r="AF225" s="2">
        <f t="shared" si="316"/>
        <v>0</v>
      </c>
      <c r="AG225" s="2">
        <f t="shared" si="316"/>
        <v>0</v>
      </c>
      <c r="AH225" s="2">
        <f t="shared" si="316"/>
        <v>0</v>
      </c>
      <c r="AI225" s="2">
        <f t="shared" si="316"/>
        <v>0</v>
      </c>
      <c r="AJ225" s="2">
        <f t="shared" si="316"/>
        <v>0</v>
      </c>
      <c r="AK225" s="2">
        <f t="shared" si="316"/>
        <v>0</v>
      </c>
      <c r="AL225" s="2">
        <f t="shared" si="316"/>
        <v>0</v>
      </c>
      <c r="AM225" s="2">
        <f t="shared" si="316"/>
        <v>0</v>
      </c>
      <c r="AN225" s="2">
        <f t="shared" si="316"/>
        <v>0</v>
      </c>
      <c r="AO225" s="2">
        <f t="shared" si="316"/>
        <v>0</v>
      </c>
      <c r="AP225" s="2">
        <f t="shared" si="316"/>
        <v>0</v>
      </c>
      <c r="AQ225" s="2">
        <f t="shared" si="316"/>
        <v>0</v>
      </c>
      <c r="AR225" s="2">
        <f t="shared" si="316"/>
        <v>0</v>
      </c>
      <c r="AS225" s="2">
        <f t="shared" si="316"/>
        <v>0</v>
      </c>
      <c r="AT225" s="2">
        <f t="shared" si="316"/>
        <v>0</v>
      </c>
      <c r="AU225" s="54">
        <f t="shared" si="316"/>
        <v>0</v>
      </c>
      <c r="AV225" s="2">
        <f t="shared" si="316"/>
        <v>0</v>
      </c>
      <c r="AW225" s="2">
        <f t="shared" si="316"/>
        <v>0</v>
      </c>
      <c r="AX225" s="2">
        <f t="shared" si="316"/>
        <v>0</v>
      </c>
      <c r="AY225" s="2">
        <f t="shared" si="316"/>
        <v>0</v>
      </c>
      <c r="AZ225" s="2">
        <f t="shared" si="316"/>
        <v>0</v>
      </c>
      <c r="BA225" s="2">
        <f t="shared" si="316"/>
        <v>0</v>
      </c>
      <c r="BB225" s="2">
        <f t="shared" si="316"/>
        <v>0</v>
      </c>
      <c r="BC225" s="2">
        <f t="shared" si="316"/>
        <v>0</v>
      </c>
      <c r="BD225" s="2">
        <f t="shared" si="316"/>
        <v>0</v>
      </c>
      <c r="BE225" s="2">
        <f t="shared" si="316"/>
        <v>0</v>
      </c>
      <c r="BF225" s="2">
        <f t="shared" si="316"/>
        <v>0</v>
      </c>
      <c r="BG225" s="2">
        <f t="shared" si="316"/>
        <v>0</v>
      </c>
      <c r="BH225" s="2">
        <f t="shared" si="316"/>
        <v>0</v>
      </c>
      <c r="BI225" s="2">
        <f t="shared" si="316"/>
        <v>0</v>
      </c>
      <c r="BJ225" s="2">
        <f t="shared" si="316"/>
        <v>0</v>
      </c>
      <c r="BK225" s="2" t="e">
        <f t="shared" si="316"/>
        <v>#DIV/0!</v>
      </c>
      <c r="BM225" s="2">
        <f t="shared" si="315"/>
        <v>0</v>
      </c>
    </row>
    <row r="226" spans="1:65">
      <c r="A226" s="37" t="s">
        <v>248</v>
      </c>
      <c r="B226" s="54">
        <f>IF(B225=1, IF(B182&gt;0.5, 39, 40), 0)</f>
        <v>0</v>
      </c>
      <c r="C226" s="2">
        <f t="shared" ref="C226:BM226" si="317">IF(C225=1, IF(C182&gt;0.5, 39, 40), 0)</f>
        <v>0</v>
      </c>
      <c r="D226" s="2">
        <f t="shared" si="317"/>
        <v>0</v>
      </c>
      <c r="E226" s="2">
        <f t="shared" si="317"/>
        <v>0</v>
      </c>
      <c r="F226" s="2">
        <f t="shared" si="317"/>
        <v>0</v>
      </c>
      <c r="G226" s="2">
        <f t="shared" si="317"/>
        <v>0</v>
      </c>
      <c r="H226" s="2">
        <f t="shared" si="317"/>
        <v>0</v>
      </c>
      <c r="I226" s="2">
        <f t="shared" si="317"/>
        <v>0</v>
      </c>
      <c r="J226" s="2">
        <f t="shared" si="317"/>
        <v>0</v>
      </c>
      <c r="K226" s="54">
        <f t="shared" si="317"/>
        <v>0</v>
      </c>
      <c r="L226" s="2">
        <f t="shared" si="317"/>
        <v>0</v>
      </c>
      <c r="M226" s="2">
        <f t="shared" si="317"/>
        <v>0</v>
      </c>
      <c r="N226" s="2">
        <f t="shared" si="317"/>
        <v>0</v>
      </c>
      <c r="O226" s="2">
        <f t="shared" si="317"/>
        <v>0</v>
      </c>
      <c r="P226" s="2">
        <f t="shared" si="317"/>
        <v>0</v>
      </c>
      <c r="Q226" s="54">
        <f t="shared" si="317"/>
        <v>0</v>
      </c>
      <c r="R226" s="2">
        <f t="shared" si="317"/>
        <v>0</v>
      </c>
      <c r="S226" s="2">
        <f t="shared" si="317"/>
        <v>0</v>
      </c>
      <c r="T226" s="2">
        <f t="shared" si="317"/>
        <v>0</v>
      </c>
      <c r="U226" s="2">
        <f t="shared" ref="U226:BK226" si="318">IF(U225=1, IF(U182&gt;0.5, 39, 40), 0)</f>
        <v>0</v>
      </c>
      <c r="V226" s="2">
        <f t="shared" si="318"/>
        <v>0</v>
      </c>
      <c r="W226" s="2">
        <f t="shared" si="318"/>
        <v>0</v>
      </c>
      <c r="X226" s="2">
        <f t="shared" si="318"/>
        <v>0</v>
      </c>
      <c r="Y226" s="54">
        <f t="shared" si="318"/>
        <v>0</v>
      </c>
      <c r="Z226" s="2">
        <f t="shared" si="318"/>
        <v>0</v>
      </c>
      <c r="AA226" s="54">
        <f t="shared" si="318"/>
        <v>0</v>
      </c>
      <c r="AB226" s="2">
        <f t="shared" si="318"/>
        <v>0</v>
      </c>
      <c r="AC226" s="2">
        <f t="shared" si="318"/>
        <v>0</v>
      </c>
      <c r="AD226" s="2">
        <f t="shared" si="318"/>
        <v>0</v>
      </c>
      <c r="AE226" s="2">
        <f t="shared" si="318"/>
        <v>0</v>
      </c>
      <c r="AF226" s="2">
        <f t="shared" si="318"/>
        <v>0</v>
      </c>
      <c r="AG226" s="2">
        <f t="shared" si="318"/>
        <v>0</v>
      </c>
      <c r="AH226" s="2">
        <f t="shared" si="318"/>
        <v>0</v>
      </c>
      <c r="AI226" s="2">
        <f t="shared" si="318"/>
        <v>0</v>
      </c>
      <c r="AJ226" s="2">
        <f t="shared" si="318"/>
        <v>0</v>
      </c>
      <c r="AK226" s="2">
        <f t="shared" si="318"/>
        <v>0</v>
      </c>
      <c r="AL226" s="2">
        <f t="shared" si="318"/>
        <v>0</v>
      </c>
      <c r="AM226" s="2">
        <f t="shared" si="318"/>
        <v>0</v>
      </c>
      <c r="AN226" s="2">
        <f t="shared" si="318"/>
        <v>0</v>
      </c>
      <c r="AO226" s="2">
        <f t="shared" si="318"/>
        <v>0</v>
      </c>
      <c r="AP226" s="2">
        <f t="shared" si="318"/>
        <v>0</v>
      </c>
      <c r="AQ226" s="2">
        <f t="shared" si="318"/>
        <v>0</v>
      </c>
      <c r="AR226" s="2">
        <f t="shared" si="318"/>
        <v>0</v>
      </c>
      <c r="AS226" s="2">
        <f t="shared" si="318"/>
        <v>0</v>
      </c>
      <c r="AT226" s="2">
        <f t="shared" si="318"/>
        <v>0</v>
      </c>
      <c r="AU226" s="54">
        <f t="shared" si="318"/>
        <v>0</v>
      </c>
      <c r="AV226" s="2">
        <f t="shared" si="318"/>
        <v>0</v>
      </c>
      <c r="AW226" s="2">
        <f t="shared" si="318"/>
        <v>0</v>
      </c>
      <c r="AX226" s="2">
        <f t="shared" si="318"/>
        <v>0</v>
      </c>
      <c r="AY226" s="2">
        <f t="shared" si="318"/>
        <v>0</v>
      </c>
      <c r="AZ226" s="2">
        <f t="shared" si="318"/>
        <v>0</v>
      </c>
      <c r="BA226" s="2">
        <f t="shared" si="318"/>
        <v>0</v>
      </c>
      <c r="BB226" s="2">
        <f t="shared" si="318"/>
        <v>0</v>
      </c>
      <c r="BC226" s="2">
        <f t="shared" si="318"/>
        <v>0</v>
      </c>
      <c r="BD226" s="2">
        <f t="shared" si="318"/>
        <v>0</v>
      </c>
      <c r="BE226" s="2">
        <f t="shared" si="318"/>
        <v>0</v>
      </c>
      <c r="BF226" s="2">
        <f t="shared" si="318"/>
        <v>0</v>
      </c>
      <c r="BG226" s="2">
        <f t="shared" si="318"/>
        <v>0</v>
      </c>
      <c r="BH226" s="2">
        <f t="shared" si="318"/>
        <v>0</v>
      </c>
      <c r="BI226" s="2">
        <f t="shared" si="318"/>
        <v>0</v>
      </c>
      <c r="BJ226" s="2">
        <f t="shared" si="318"/>
        <v>0</v>
      </c>
      <c r="BK226" s="2" t="e">
        <f t="shared" si="318"/>
        <v>#DIV/0!</v>
      </c>
      <c r="BM226" s="2">
        <f t="shared" si="317"/>
        <v>0</v>
      </c>
    </row>
    <row r="227" spans="1:65">
      <c r="A227" s="47" t="s">
        <v>249</v>
      </c>
      <c r="B227" s="54">
        <f>IF(B220=1, IF(B183&gt;6.25, IF(B183&lt;=6.5, 1, 0), 0), 0)</f>
        <v>0</v>
      </c>
      <c r="C227" s="2">
        <f t="shared" ref="C227:BM227" si="319">IF(C220=1, IF(C183&gt;6.25, IF(C183&lt;=6.5, 1, 0), 0), 0)</f>
        <v>0</v>
      </c>
      <c r="D227" s="2">
        <f t="shared" si="319"/>
        <v>0</v>
      </c>
      <c r="E227" s="2">
        <f t="shared" si="319"/>
        <v>0</v>
      </c>
      <c r="F227" s="2">
        <f t="shared" si="319"/>
        <v>0</v>
      </c>
      <c r="G227" s="2">
        <f t="shared" si="319"/>
        <v>0</v>
      </c>
      <c r="H227" s="2">
        <f t="shared" si="319"/>
        <v>0</v>
      </c>
      <c r="I227" s="2">
        <f t="shared" si="319"/>
        <v>0</v>
      </c>
      <c r="J227" s="2">
        <f t="shared" si="319"/>
        <v>0</v>
      </c>
      <c r="K227" s="54">
        <f t="shared" si="319"/>
        <v>0</v>
      </c>
      <c r="L227" s="2">
        <f t="shared" si="319"/>
        <v>0</v>
      </c>
      <c r="M227" s="2">
        <f t="shared" si="319"/>
        <v>0</v>
      </c>
      <c r="N227" s="2">
        <f t="shared" si="319"/>
        <v>0</v>
      </c>
      <c r="O227" s="2">
        <f t="shared" si="319"/>
        <v>0</v>
      </c>
      <c r="P227" s="2">
        <f t="shared" si="319"/>
        <v>0</v>
      </c>
      <c r="Q227" s="54">
        <f t="shared" si="319"/>
        <v>0</v>
      </c>
      <c r="R227" s="2">
        <f t="shared" si="319"/>
        <v>0</v>
      </c>
      <c r="S227" s="2">
        <f t="shared" si="319"/>
        <v>0</v>
      </c>
      <c r="T227" s="2">
        <f t="shared" si="319"/>
        <v>0</v>
      </c>
      <c r="U227" s="2">
        <f t="shared" ref="U227:BK227" si="320">IF(U220=1, IF(U183&gt;6.25, IF(U183&lt;=6.5, 1, 0), 0), 0)</f>
        <v>0</v>
      </c>
      <c r="V227" s="2">
        <f t="shared" si="320"/>
        <v>0</v>
      </c>
      <c r="W227" s="2">
        <f t="shared" si="320"/>
        <v>0</v>
      </c>
      <c r="X227" s="2">
        <f t="shared" si="320"/>
        <v>0</v>
      </c>
      <c r="Y227" s="54">
        <f t="shared" si="320"/>
        <v>0</v>
      </c>
      <c r="Z227" s="2">
        <f t="shared" si="320"/>
        <v>0</v>
      </c>
      <c r="AA227" s="54">
        <f t="shared" si="320"/>
        <v>0</v>
      </c>
      <c r="AB227" s="2">
        <f t="shared" si="320"/>
        <v>0</v>
      </c>
      <c r="AC227" s="2">
        <f t="shared" si="320"/>
        <v>0</v>
      </c>
      <c r="AD227" s="2">
        <f t="shared" si="320"/>
        <v>0</v>
      </c>
      <c r="AE227" s="2">
        <f t="shared" si="320"/>
        <v>0</v>
      </c>
      <c r="AF227" s="2">
        <f t="shared" si="320"/>
        <v>0</v>
      </c>
      <c r="AG227" s="2">
        <f t="shared" si="320"/>
        <v>0</v>
      </c>
      <c r="AH227" s="2">
        <f t="shared" si="320"/>
        <v>0</v>
      </c>
      <c r="AI227" s="2">
        <f t="shared" si="320"/>
        <v>0</v>
      </c>
      <c r="AJ227" s="2">
        <f t="shared" si="320"/>
        <v>0</v>
      </c>
      <c r="AK227" s="2">
        <f t="shared" si="320"/>
        <v>0</v>
      </c>
      <c r="AL227" s="2">
        <f t="shared" si="320"/>
        <v>0</v>
      </c>
      <c r="AM227" s="2">
        <f t="shared" si="320"/>
        <v>0</v>
      </c>
      <c r="AN227" s="2">
        <f t="shared" si="320"/>
        <v>0</v>
      </c>
      <c r="AO227" s="2">
        <f t="shared" si="320"/>
        <v>0</v>
      </c>
      <c r="AP227" s="2">
        <f t="shared" si="320"/>
        <v>0</v>
      </c>
      <c r="AQ227" s="2">
        <f t="shared" si="320"/>
        <v>0</v>
      </c>
      <c r="AR227" s="2">
        <f t="shared" si="320"/>
        <v>0</v>
      </c>
      <c r="AS227" s="2">
        <f t="shared" si="320"/>
        <v>0</v>
      </c>
      <c r="AT227" s="2">
        <f t="shared" si="320"/>
        <v>0</v>
      </c>
      <c r="AU227" s="54">
        <f t="shared" si="320"/>
        <v>0</v>
      </c>
      <c r="AV227" s="2">
        <f t="shared" si="320"/>
        <v>0</v>
      </c>
      <c r="AW227" s="2">
        <f t="shared" si="320"/>
        <v>0</v>
      </c>
      <c r="AX227" s="2">
        <f t="shared" si="320"/>
        <v>0</v>
      </c>
      <c r="AY227" s="2">
        <f t="shared" si="320"/>
        <v>0</v>
      </c>
      <c r="AZ227" s="2">
        <f t="shared" si="320"/>
        <v>0</v>
      </c>
      <c r="BA227" s="2">
        <f t="shared" si="320"/>
        <v>0</v>
      </c>
      <c r="BB227" s="2">
        <f t="shared" si="320"/>
        <v>0</v>
      </c>
      <c r="BC227" s="2">
        <f t="shared" si="320"/>
        <v>0</v>
      </c>
      <c r="BD227" s="2">
        <f t="shared" si="320"/>
        <v>0</v>
      </c>
      <c r="BE227" s="2">
        <f t="shared" si="320"/>
        <v>0</v>
      </c>
      <c r="BF227" s="2">
        <f t="shared" si="320"/>
        <v>0</v>
      </c>
      <c r="BG227" s="2">
        <f t="shared" si="320"/>
        <v>0</v>
      </c>
      <c r="BH227" s="2">
        <f t="shared" si="320"/>
        <v>0</v>
      </c>
      <c r="BI227" s="2">
        <f t="shared" si="320"/>
        <v>0</v>
      </c>
      <c r="BJ227" s="2">
        <f t="shared" si="320"/>
        <v>0</v>
      </c>
      <c r="BK227" s="2" t="e">
        <f t="shared" si="320"/>
        <v>#DIV/0!</v>
      </c>
      <c r="BM227" s="2">
        <f t="shared" si="319"/>
        <v>0</v>
      </c>
    </row>
    <row r="228" spans="1:65">
      <c r="A228" s="37" t="s">
        <v>62</v>
      </c>
      <c r="B228" s="54">
        <f>IF(B227=1, IF(B182&gt;0.7, 41, IF(B182&gt;0.3, 42, 43)), 0)</f>
        <v>0</v>
      </c>
      <c r="C228" s="2">
        <f t="shared" ref="C228:BM228" si="321">IF(C227=1, IF(C182&gt;0.7, 41, IF(C182&gt;0.3, 42, 43)), 0)</f>
        <v>0</v>
      </c>
      <c r="D228" s="2">
        <f t="shared" si="321"/>
        <v>0</v>
      </c>
      <c r="E228" s="2">
        <f t="shared" si="321"/>
        <v>0</v>
      </c>
      <c r="F228" s="2">
        <f t="shared" si="321"/>
        <v>0</v>
      </c>
      <c r="G228" s="2">
        <f t="shared" si="321"/>
        <v>0</v>
      </c>
      <c r="H228" s="2">
        <f t="shared" si="321"/>
        <v>0</v>
      </c>
      <c r="I228" s="2">
        <f t="shared" si="321"/>
        <v>0</v>
      </c>
      <c r="J228" s="2">
        <f t="shared" si="321"/>
        <v>0</v>
      </c>
      <c r="K228" s="54">
        <f t="shared" si="321"/>
        <v>0</v>
      </c>
      <c r="L228" s="2">
        <f t="shared" si="321"/>
        <v>0</v>
      </c>
      <c r="M228" s="2">
        <f t="shared" si="321"/>
        <v>0</v>
      </c>
      <c r="N228" s="2">
        <f t="shared" si="321"/>
        <v>0</v>
      </c>
      <c r="O228" s="2">
        <f t="shared" si="321"/>
        <v>0</v>
      </c>
      <c r="P228" s="2">
        <f t="shared" si="321"/>
        <v>0</v>
      </c>
      <c r="Q228" s="54">
        <f t="shared" si="321"/>
        <v>0</v>
      </c>
      <c r="R228" s="2">
        <f t="shared" si="321"/>
        <v>0</v>
      </c>
      <c r="S228" s="2">
        <f t="shared" si="321"/>
        <v>0</v>
      </c>
      <c r="T228" s="2">
        <f t="shared" si="321"/>
        <v>0</v>
      </c>
      <c r="U228" s="2">
        <f t="shared" ref="U228:BK228" si="322">IF(U227=1, IF(U182&gt;0.7, 41, IF(U182&gt;0.3, 42, 43)), 0)</f>
        <v>0</v>
      </c>
      <c r="V228" s="2">
        <f t="shared" si="322"/>
        <v>0</v>
      </c>
      <c r="W228" s="2">
        <f t="shared" si="322"/>
        <v>0</v>
      </c>
      <c r="X228" s="2">
        <f t="shared" si="322"/>
        <v>0</v>
      </c>
      <c r="Y228" s="54">
        <f t="shared" si="322"/>
        <v>0</v>
      </c>
      <c r="Z228" s="2">
        <f t="shared" si="322"/>
        <v>0</v>
      </c>
      <c r="AA228" s="54">
        <f t="shared" si="322"/>
        <v>0</v>
      </c>
      <c r="AB228" s="2">
        <f t="shared" si="322"/>
        <v>0</v>
      </c>
      <c r="AC228" s="2">
        <f t="shared" si="322"/>
        <v>0</v>
      </c>
      <c r="AD228" s="2">
        <f t="shared" si="322"/>
        <v>0</v>
      </c>
      <c r="AE228" s="2">
        <f t="shared" si="322"/>
        <v>0</v>
      </c>
      <c r="AF228" s="2">
        <f t="shared" si="322"/>
        <v>0</v>
      </c>
      <c r="AG228" s="2">
        <f t="shared" si="322"/>
        <v>0</v>
      </c>
      <c r="AH228" s="2">
        <f t="shared" si="322"/>
        <v>0</v>
      </c>
      <c r="AI228" s="2">
        <f t="shared" si="322"/>
        <v>0</v>
      </c>
      <c r="AJ228" s="2">
        <f t="shared" si="322"/>
        <v>0</v>
      </c>
      <c r="AK228" s="2">
        <f t="shared" si="322"/>
        <v>0</v>
      </c>
      <c r="AL228" s="2">
        <f t="shared" si="322"/>
        <v>0</v>
      </c>
      <c r="AM228" s="2">
        <f t="shared" si="322"/>
        <v>0</v>
      </c>
      <c r="AN228" s="2">
        <f t="shared" si="322"/>
        <v>0</v>
      </c>
      <c r="AO228" s="2">
        <f t="shared" si="322"/>
        <v>0</v>
      </c>
      <c r="AP228" s="2">
        <f t="shared" si="322"/>
        <v>0</v>
      </c>
      <c r="AQ228" s="2">
        <f t="shared" si="322"/>
        <v>0</v>
      </c>
      <c r="AR228" s="2">
        <f t="shared" si="322"/>
        <v>0</v>
      </c>
      <c r="AS228" s="2">
        <f t="shared" si="322"/>
        <v>0</v>
      </c>
      <c r="AT228" s="2">
        <f t="shared" si="322"/>
        <v>0</v>
      </c>
      <c r="AU228" s="54">
        <f t="shared" si="322"/>
        <v>0</v>
      </c>
      <c r="AV228" s="2">
        <f t="shared" si="322"/>
        <v>0</v>
      </c>
      <c r="AW228" s="2">
        <f t="shared" si="322"/>
        <v>0</v>
      </c>
      <c r="AX228" s="2">
        <f t="shared" si="322"/>
        <v>0</v>
      </c>
      <c r="AY228" s="2">
        <f t="shared" si="322"/>
        <v>0</v>
      </c>
      <c r="AZ228" s="2">
        <f t="shared" si="322"/>
        <v>0</v>
      </c>
      <c r="BA228" s="2">
        <f t="shared" si="322"/>
        <v>0</v>
      </c>
      <c r="BB228" s="2">
        <f t="shared" si="322"/>
        <v>0</v>
      </c>
      <c r="BC228" s="2">
        <f t="shared" si="322"/>
        <v>0</v>
      </c>
      <c r="BD228" s="2">
        <f t="shared" si="322"/>
        <v>0</v>
      </c>
      <c r="BE228" s="2">
        <f t="shared" si="322"/>
        <v>0</v>
      </c>
      <c r="BF228" s="2">
        <f t="shared" si="322"/>
        <v>0</v>
      </c>
      <c r="BG228" s="2">
        <f t="shared" si="322"/>
        <v>0</v>
      </c>
      <c r="BH228" s="2">
        <f t="shared" si="322"/>
        <v>0</v>
      </c>
      <c r="BI228" s="2">
        <f t="shared" si="322"/>
        <v>0</v>
      </c>
      <c r="BJ228" s="2">
        <f t="shared" si="322"/>
        <v>0</v>
      </c>
      <c r="BK228" s="2" t="e">
        <f t="shared" si="322"/>
        <v>#DIV/0!</v>
      </c>
      <c r="BM228" s="2">
        <f t="shared" si="321"/>
        <v>0</v>
      </c>
    </row>
    <row r="229" spans="1:65">
      <c r="A229" s="47" t="s">
        <v>63</v>
      </c>
      <c r="B229" s="54">
        <f>IF(B220=1, IF(B183&lt;=6.25, 1, 0), 0)</f>
        <v>0</v>
      </c>
      <c r="C229" s="2">
        <f t="shared" ref="C229:BM229" si="323">IF(C220=1, IF(C183&lt;=6.25, 1, 0), 0)</f>
        <v>0</v>
      </c>
      <c r="D229" s="2">
        <f t="shared" si="323"/>
        <v>0</v>
      </c>
      <c r="E229" s="2">
        <f t="shared" si="323"/>
        <v>0</v>
      </c>
      <c r="F229" s="2">
        <f t="shared" si="323"/>
        <v>0</v>
      </c>
      <c r="G229" s="2">
        <f t="shared" si="323"/>
        <v>0</v>
      </c>
      <c r="H229" s="2">
        <f t="shared" si="323"/>
        <v>0</v>
      </c>
      <c r="I229" s="2">
        <f t="shared" si="323"/>
        <v>0</v>
      </c>
      <c r="J229" s="2">
        <f t="shared" si="323"/>
        <v>0</v>
      </c>
      <c r="K229" s="54">
        <f t="shared" si="323"/>
        <v>0</v>
      </c>
      <c r="L229" s="2">
        <f t="shared" si="323"/>
        <v>0</v>
      </c>
      <c r="M229" s="2">
        <f t="shared" si="323"/>
        <v>0</v>
      </c>
      <c r="N229" s="2">
        <f t="shared" si="323"/>
        <v>0</v>
      </c>
      <c r="O229" s="2">
        <f t="shared" si="323"/>
        <v>0</v>
      </c>
      <c r="P229" s="2">
        <f t="shared" si="323"/>
        <v>0</v>
      </c>
      <c r="Q229" s="54">
        <f t="shared" si="323"/>
        <v>0</v>
      </c>
      <c r="R229" s="2">
        <f t="shared" si="323"/>
        <v>0</v>
      </c>
      <c r="S229" s="2">
        <f t="shared" si="323"/>
        <v>0</v>
      </c>
      <c r="T229" s="2">
        <f t="shared" si="323"/>
        <v>0</v>
      </c>
      <c r="U229" s="2">
        <f t="shared" ref="U229:BK229" si="324">IF(U220=1, IF(U183&lt;=6.25, 1, 0), 0)</f>
        <v>0</v>
      </c>
      <c r="V229" s="2">
        <f t="shared" si="324"/>
        <v>0</v>
      </c>
      <c r="W229" s="2">
        <f t="shared" si="324"/>
        <v>0</v>
      </c>
      <c r="X229" s="2">
        <f t="shared" si="324"/>
        <v>0</v>
      </c>
      <c r="Y229" s="54">
        <f t="shared" si="324"/>
        <v>0</v>
      </c>
      <c r="Z229" s="2">
        <f t="shared" si="324"/>
        <v>0</v>
      </c>
      <c r="AA229" s="54">
        <f t="shared" si="324"/>
        <v>0</v>
      </c>
      <c r="AB229" s="2">
        <f t="shared" si="324"/>
        <v>0</v>
      </c>
      <c r="AC229" s="2">
        <f t="shared" si="324"/>
        <v>0</v>
      </c>
      <c r="AD229" s="2">
        <f t="shared" si="324"/>
        <v>0</v>
      </c>
      <c r="AE229" s="2">
        <f t="shared" si="324"/>
        <v>0</v>
      </c>
      <c r="AF229" s="2">
        <f t="shared" si="324"/>
        <v>0</v>
      </c>
      <c r="AG229" s="2">
        <f t="shared" si="324"/>
        <v>0</v>
      </c>
      <c r="AH229" s="2">
        <f t="shared" si="324"/>
        <v>0</v>
      </c>
      <c r="AI229" s="2">
        <f t="shared" si="324"/>
        <v>0</v>
      </c>
      <c r="AJ229" s="2">
        <f t="shared" si="324"/>
        <v>0</v>
      </c>
      <c r="AK229" s="2">
        <f t="shared" si="324"/>
        <v>0</v>
      </c>
      <c r="AL229" s="2">
        <f t="shared" si="324"/>
        <v>0</v>
      </c>
      <c r="AM229" s="2">
        <f t="shared" si="324"/>
        <v>0</v>
      </c>
      <c r="AN229" s="2">
        <f t="shared" si="324"/>
        <v>0</v>
      </c>
      <c r="AO229" s="2">
        <f t="shared" si="324"/>
        <v>0</v>
      </c>
      <c r="AP229" s="2">
        <f t="shared" si="324"/>
        <v>0</v>
      </c>
      <c r="AQ229" s="2">
        <f t="shared" si="324"/>
        <v>0</v>
      </c>
      <c r="AR229" s="2">
        <f t="shared" si="324"/>
        <v>0</v>
      </c>
      <c r="AS229" s="2">
        <f t="shared" si="324"/>
        <v>0</v>
      </c>
      <c r="AT229" s="2">
        <f t="shared" si="324"/>
        <v>0</v>
      </c>
      <c r="AU229" s="54">
        <f t="shared" si="324"/>
        <v>0</v>
      </c>
      <c r="AV229" s="2">
        <f t="shared" si="324"/>
        <v>0</v>
      </c>
      <c r="AW229" s="2">
        <f t="shared" si="324"/>
        <v>0</v>
      </c>
      <c r="AX229" s="2">
        <f t="shared" si="324"/>
        <v>0</v>
      </c>
      <c r="AY229" s="2">
        <f t="shared" si="324"/>
        <v>0</v>
      </c>
      <c r="AZ229" s="2">
        <f t="shared" si="324"/>
        <v>0</v>
      </c>
      <c r="BA229" s="2">
        <f t="shared" si="324"/>
        <v>0</v>
      </c>
      <c r="BB229" s="2">
        <f t="shared" si="324"/>
        <v>0</v>
      </c>
      <c r="BC229" s="2">
        <f t="shared" si="324"/>
        <v>0</v>
      </c>
      <c r="BD229" s="2">
        <f t="shared" si="324"/>
        <v>0</v>
      </c>
      <c r="BE229" s="2">
        <f t="shared" si="324"/>
        <v>0</v>
      </c>
      <c r="BF229" s="2">
        <f t="shared" si="324"/>
        <v>0</v>
      </c>
      <c r="BG229" s="2">
        <f t="shared" si="324"/>
        <v>0</v>
      </c>
      <c r="BH229" s="2">
        <f t="shared" si="324"/>
        <v>0</v>
      </c>
      <c r="BI229" s="2">
        <f t="shared" si="324"/>
        <v>0</v>
      </c>
      <c r="BJ229" s="2">
        <f t="shared" si="324"/>
        <v>0</v>
      </c>
      <c r="BK229" s="2" t="e">
        <f t="shared" si="324"/>
        <v>#DIV/0!</v>
      </c>
      <c r="BM229" s="2">
        <f t="shared" si="323"/>
        <v>0</v>
      </c>
    </row>
    <row r="230" spans="1:65">
      <c r="A230" s="47" t="s">
        <v>64</v>
      </c>
      <c r="B230" s="54">
        <f>IF(B229=1, IF(B182&gt;0.7, 44, IF(B182&gt;0.3, 45, 46)), 0)</f>
        <v>0</v>
      </c>
      <c r="C230" s="2">
        <f t="shared" ref="C230:BM230" si="325">IF(C229=1, IF(C182&gt;0.7, 44, IF(C182&gt;0.3, 45, 46)), 0)</f>
        <v>0</v>
      </c>
      <c r="D230" s="2">
        <f t="shared" si="325"/>
        <v>0</v>
      </c>
      <c r="E230" s="2">
        <f t="shared" si="325"/>
        <v>0</v>
      </c>
      <c r="F230" s="2">
        <f t="shared" si="325"/>
        <v>0</v>
      </c>
      <c r="G230" s="2">
        <f t="shared" si="325"/>
        <v>0</v>
      </c>
      <c r="H230" s="2">
        <f t="shared" si="325"/>
        <v>0</v>
      </c>
      <c r="I230" s="2">
        <f t="shared" si="325"/>
        <v>0</v>
      </c>
      <c r="J230" s="2">
        <f t="shared" si="325"/>
        <v>0</v>
      </c>
      <c r="K230" s="54">
        <f t="shared" si="325"/>
        <v>0</v>
      </c>
      <c r="L230" s="2">
        <f t="shared" si="325"/>
        <v>0</v>
      </c>
      <c r="M230" s="2">
        <f t="shared" si="325"/>
        <v>0</v>
      </c>
      <c r="N230" s="2">
        <f t="shared" si="325"/>
        <v>0</v>
      </c>
      <c r="O230" s="2">
        <f t="shared" si="325"/>
        <v>0</v>
      </c>
      <c r="P230" s="2">
        <f t="shared" si="325"/>
        <v>0</v>
      </c>
      <c r="Q230" s="54">
        <f t="shared" si="325"/>
        <v>0</v>
      </c>
      <c r="R230" s="2">
        <f t="shared" si="325"/>
        <v>0</v>
      </c>
      <c r="S230" s="2">
        <f t="shared" si="325"/>
        <v>0</v>
      </c>
      <c r="T230" s="2">
        <f t="shared" si="325"/>
        <v>0</v>
      </c>
      <c r="U230" s="2">
        <f t="shared" ref="U230:BK230" si="326">IF(U229=1, IF(U182&gt;0.7, 44, IF(U182&gt;0.3, 45, 46)), 0)</f>
        <v>0</v>
      </c>
      <c r="V230" s="2">
        <f t="shared" si="326"/>
        <v>0</v>
      </c>
      <c r="W230" s="2">
        <f t="shared" si="326"/>
        <v>0</v>
      </c>
      <c r="X230" s="2">
        <f t="shared" si="326"/>
        <v>0</v>
      </c>
      <c r="Y230" s="54">
        <f t="shared" si="326"/>
        <v>0</v>
      </c>
      <c r="Z230" s="2">
        <f t="shared" si="326"/>
        <v>0</v>
      </c>
      <c r="AA230" s="54">
        <f t="shared" si="326"/>
        <v>0</v>
      </c>
      <c r="AB230" s="2">
        <f t="shared" si="326"/>
        <v>0</v>
      </c>
      <c r="AC230" s="2">
        <f t="shared" si="326"/>
        <v>0</v>
      </c>
      <c r="AD230" s="2">
        <f t="shared" si="326"/>
        <v>0</v>
      </c>
      <c r="AE230" s="2">
        <f t="shared" si="326"/>
        <v>0</v>
      </c>
      <c r="AF230" s="2">
        <f t="shared" si="326"/>
        <v>0</v>
      </c>
      <c r="AG230" s="2">
        <f t="shared" si="326"/>
        <v>0</v>
      </c>
      <c r="AH230" s="2">
        <f t="shared" si="326"/>
        <v>0</v>
      </c>
      <c r="AI230" s="2">
        <f t="shared" si="326"/>
        <v>0</v>
      </c>
      <c r="AJ230" s="2">
        <f t="shared" si="326"/>
        <v>0</v>
      </c>
      <c r="AK230" s="2">
        <f t="shared" si="326"/>
        <v>0</v>
      </c>
      <c r="AL230" s="2">
        <f t="shared" si="326"/>
        <v>0</v>
      </c>
      <c r="AM230" s="2">
        <f t="shared" si="326"/>
        <v>0</v>
      </c>
      <c r="AN230" s="2">
        <f t="shared" si="326"/>
        <v>0</v>
      </c>
      <c r="AO230" s="2">
        <f t="shared" si="326"/>
        <v>0</v>
      </c>
      <c r="AP230" s="2">
        <f t="shared" si="326"/>
        <v>0</v>
      </c>
      <c r="AQ230" s="2">
        <f t="shared" si="326"/>
        <v>0</v>
      </c>
      <c r="AR230" s="2">
        <f t="shared" si="326"/>
        <v>0</v>
      </c>
      <c r="AS230" s="2">
        <f t="shared" si="326"/>
        <v>0</v>
      </c>
      <c r="AT230" s="2">
        <f t="shared" si="326"/>
        <v>0</v>
      </c>
      <c r="AU230" s="54">
        <f t="shared" si="326"/>
        <v>0</v>
      </c>
      <c r="AV230" s="2">
        <f t="shared" si="326"/>
        <v>0</v>
      </c>
      <c r="AW230" s="2">
        <f t="shared" si="326"/>
        <v>0</v>
      </c>
      <c r="AX230" s="2">
        <f t="shared" si="326"/>
        <v>0</v>
      </c>
      <c r="AY230" s="2">
        <f t="shared" si="326"/>
        <v>0</v>
      </c>
      <c r="AZ230" s="2">
        <f t="shared" si="326"/>
        <v>0</v>
      </c>
      <c r="BA230" s="2">
        <f t="shared" si="326"/>
        <v>0</v>
      </c>
      <c r="BB230" s="2">
        <f t="shared" si="326"/>
        <v>0</v>
      </c>
      <c r="BC230" s="2">
        <f t="shared" si="326"/>
        <v>0</v>
      </c>
      <c r="BD230" s="2">
        <f t="shared" si="326"/>
        <v>0</v>
      </c>
      <c r="BE230" s="2">
        <f t="shared" si="326"/>
        <v>0</v>
      </c>
      <c r="BF230" s="2">
        <f t="shared" si="326"/>
        <v>0</v>
      </c>
      <c r="BG230" s="2">
        <f t="shared" si="326"/>
        <v>0</v>
      </c>
      <c r="BH230" s="2">
        <f t="shared" si="326"/>
        <v>0</v>
      </c>
      <c r="BI230" s="2">
        <f t="shared" si="326"/>
        <v>0</v>
      </c>
      <c r="BJ230" s="2">
        <f t="shared" si="326"/>
        <v>0</v>
      </c>
      <c r="BK230" s="2" t="e">
        <f t="shared" si="326"/>
        <v>#DIV/0!</v>
      </c>
      <c r="BM230" s="2">
        <f t="shared" si="325"/>
        <v>0</v>
      </c>
    </row>
    <row r="231" spans="1:65">
      <c r="A231" s="43" t="s">
        <v>65</v>
      </c>
    </row>
    <row r="232" spans="1:65">
      <c r="A232" s="48" t="s">
        <v>0</v>
      </c>
      <c r="B232" s="54">
        <f>IF(B180&gt;0.67, IF(B180&lt;1.34, 1, 0), 0)</f>
        <v>0</v>
      </c>
      <c r="C232" s="2">
        <f t="shared" ref="C232:BM232" si="327">IF(C180&gt;0.67, IF(C180&lt;1.34, 1, 0), 0)</f>
        <v>0</v>
      </c>
      <c r="D232" s="2">
        <f t="shared" si="327"/>
        <v>0</v>
      </c>
      <c r="E232" s="2">
        <f t="shared" si="327"/>
        <v>0</v>
      </c>
      <c r="F232" s="2">
        <f t="shared" si="327"/>
        <v>0</v>
      </c>
      <c r="G232" s="2">
        <f t="shared" si="327"/>
        <v>0</v>
      </c>
      <c r="H232" s="2">
        <f t="shared" si="327"/>
        <v>0</v>
      </c>
      <c r="I232" s="2">
        <f t="shared" si="327"/>
        <v>0</v>
      </c>
      <c r="J232" s="2">
        <f t="shared" si="327"/>
        <v>0</v>
      </c>
      <c r="K232" s="54">
        <f t="shared" si="327"/>
        <v>0</v>
      </c>
      <c r="L232" s="2">
        <f t="shared" si="327"/>
        <v>0</v>
      </c>
      <c r="M232" s="2">
        <f t="shared" si="327"/>
        <v>0</v>
      </c>
      <c r="N232" s="2">
        <f t="shared" si="327"/>
        <v>0</v>
      </c>
      <c r="O232" s="2">
        <f t="shared" si="327"/>
        <v>0</v>
      </c>
      <c r="P232" s="2">
        <f t="shared" si="327"/>
        <v>0</v>
      </c>
      <c r="Q232" s="54">
        <f t="shared" si="327"/>
        <v>0</v>
      </c>
      <c r="R232" s="2">
        <f t="shared" si="327"/>
        <v>0</v>
      </c>
      <c r="S232" s="2">
        <f t="shared" si="327"/>
        <v>0</v>
      </c>
      <c r="T232" s="2">
        <f t="shared" si="327"/>
        <v>0</v>
      </c>
      <c r="U232" s="2">
        <f t="shared" ref="U232:BK232" si="328">IF(U180&gt;0.67, IF(U180&lt;1.34, 1, 0), 0)</f>
        <v>0</v>
      </c>
      <c r="V232" s="2">
        <f t="shared" si="328"/>
        <v>0</v>
      </c>
      <c r="W232" s="2">
        <f t="shared" si="328"/>
        <v>0</v>
      </c>
      <c r="X232" s="2">
        <f t="shared" si="328"/>
        <v>0</v>
      </c>
      <c r="Y232" s="54">
        <f t="shared" si="328"/>
        <v>0</v>
      </c>
      <c r="Z232" s="2">
        <f t="shared" si="328"/>
        <v>0</v>
      </c>
      <c r="AA232" s="54">
        <f t="shared" si="328"/>
        <v>0</v>
      </c>
      <c r="AB232" s="2">
        <f t="shared" si="328"/>
        <v>0</v>
      </c>
      <c r="AC232" s="2">
        <f t="shared" si="328"/>
        <v>0</v>
      </c>
      <c r="AD232" s="2">
        <f t="shared" si="328"/>
        <v>0</v>
      </c>
      <c r="AE232" s="2">
        <f t="shared" si="328"/>
        <v>0</v>
      </c>
      <c r="AF232" s="2">
        <f t="shared" si="328"/>
        <v>0</v>
      </c>
      <c r="AG232" s="2">
        <f t="shared" si="328"/>
        <v>0</v>
      </c>
      <c r="AH232" s="2">
        <f t="shared" si="328"/>
        <v>0</v>
      </c>
      <c r="AI232" s="2">
        <f t="shared" si="328"/>
        <v>0</v>
      </c>
      <c r="AJ232" s="2">
        <f t="shared" si="328"/>
        <v>0</v>
      </c>
      <c r="AK232" s="2">
        <f t="shared" si="328"/>
        <v>0</v>
      </c>
      <c r="AL232" s="2">
        <f t="shared" si="328"/>
        <v>0</v>
      </c>
      <c r="AM232" s="2">
        <f t="shared" si="328"/>
        <v>0</v>
      </c>
      <c r="AN232" s="2">
        <f t="shared" si="328"/>
        <v>0</v>
      </c>
      <c r="AO232" s="2">
        <f t="shared" si="328"/>
        <v>0</v>
      </c>
      <c r="AP232" s="2">
        <f t="shared" si="328"/>
        <v>0</v>
      </c>
      <c r="AQ232" s="2">
        <f t="shared" si="328"/>
        <v>0</v>
      </c>
      <c r="AR232" s="2">
        <f t="shared" si="328"/>
        <v>0</v>
      </c>
      <c r="AS232" s="2">
        <f t="shared" si="328"/>
        <v>0</v>
      </c>
      <c r="AT232" s="2">
        <f t="shared" si="328"/>
        <v>0</v>
      </c>
      <c r="AU232" s="54">
        <f t="shared" si="328"/>
        <v>0</v>
      </c>
      <c r="AV232" s="2">
        <f t="shared" si="328"/>
        <v>0</v>
      </c>
      <c r="AW232" s="2">
        <f t="shared" si="328"/>
        <v>0</v>
      </c>
      <c r="AX232" s="2">
        <f t="shared" si="328"/>
        <v>0</v>
      </c>
      <c r="AY232" s="2">
        <f t="shared" si="328"/>
        <v>0</v>
      </c>
      <c r="AZ232" s="2">
        <f t="shared" si="328"/>
        <v>0</v>
      </c>
      <c r="BA232" s="2">
        <f t="shared" si="328"/>
        <v>0</v>
      </c>
      <c r="BB232" s="2">
        <f t="shared" si="328"/>
        <v>0</v>
      </c>
      <c r="BC232" s="2">
        <f t="shared" si="328"/>
        <v>0</v>
      </c>
      <c r="BD232" s="2">
        <f t="shared" si="328"/>
        <v>0</v>
      </c>
      <c r="BE232" s="2">
        <f t="shared" si="328"/>
        <v>0</v>
      </c>
      <c r="BF232" s="2">
        <f t="shared" si="328"/>
        <v>0</v>
      </c>
      <c r="BG232" s="2">
        <f t="shared" si="328"/>
        <v>0</v>
      </c>
      <c r="BH232" s="2">
        <f t="shared" si="328"/>
        <v>0</v>
      </c>
      <c r="BI232" s="2">
        <f t="shared" si="328"/>
        <v>0</v>
      </c>
      <c r="BJ232" s="2">
        <f t="shared" si="328"/>
        <v>0</v>
      </c>
      <c r="BK232" s="2" t="e">
        <f t="shared" si="328"/>
        <v>#DIV/0!</v>
      </c>
      <c r="BM232" s="2">
        <f t="shared" si="327"/>
        <v>0</v>
      </c>
    </row>
    <row r="233" spans="1:65">
      <c r="A233" s="38" t="s">
        <v>66</v>
      </c>
      <c r="B233" s="54">
        <f>IF(B232=1, IF(B181&lt;0.5, 1, 0), 0)</f>
        <v>0</v>
      </c>
      <c r="C233" s="2">
        <f t="shared" ref="C233:BM233" si="329">IF(C232=1, IF(C181&lt;0.5, 1, 0), 0)</f>
        <v>0</v>
      </c>
      <c r="D233" s="2">
        <f t="shared" si="329"/>
        <v>0</v>
      </c>
      <c r="E233" s="2">
        <f t="shared" si="329"/>
        <v>0</v>
      </c>
      <c r="F233" s="2">
        <f t="shared" si="329"/>
        <v>0</v>
      </c>
      <c r="G233" s="2">
        <f t="shared" si="329"/>
        <v>0</v>
      </c>
      <c r="H233" s="2">
        <f t="shared" si="329"/>
        <v>0</v>
      </c>
      <c r="I233" s="2">
        <f t="shared" si="329"/>
        <v>0</v>
      </c>
      <c r="J233" s="2">
        <f t="shared" si="329"/>
        <v>0</v>
      </c>
      <c r="K233" s="54">
        <f t="shared" si="329"/>
        <v>0</v>
      </c>
      <c r="L233" s="2">
        <f t="shared" si="329"/>
        <v>0</v>
      </c>
      <c r="M233" s="2">
        <f t="shared" si="329"/>
        <v>0</v>
      </c>
      <c r="N233" s="2">
        <f t="shared" si="329"/>
        <v>0</v>
      </c>
      <c r="O233" s="2">
        <f t="shared" si="329"/>
        <v>0</v>
      </c>
      <c r="P233" s="2">
        <f t="shared" si="329"/>
        <v>0</v>
      </c>
      <c r="Q233" s="54">
        <f t="shared" si="329"/>
        <v>0</v>
      </c>
      <c r="R233" s="2">
        <f t="shared" si="329"/>
        <v>0</v>
      </c>
      <c r="S233" s="2">
        <f t="shared" si="329"/>
        <v>0</v>
      </c>
      <c r="T233" s="2">
        <f t="shared" si="329"/>
        <v>0</v>
      </c>
      <c r="U233" s="2">
        <f t="shared" ref="U233:BK233" si="330">IF(U232=1, IF(U181&lt;0.5, 1, 0), 0)</f>
        <v>0</v>
      </c>
      <c r="V233" s="2">
        <f t="shared" si="330"/>
        <v>0</v>
      </c>
      <c r="W233" s="2">
        <f t="shared" si="330"/>
        <v>0</v>
      </c>
      <c r="X233" s="2">
        <f t="shared" si="330"/>
        <v>0</v>
      </c>
      <c r="Y233" s="54">
        <f t="shared" si="330"/>
        <v>0</v>
      </c>
      <c r="Z233" s="2">
        <f t="shared" si="330"/>
        <v>0</v>
      </c>
      <c r="AA233" s="54">
        <f t="shared" si="330"/>
        <v>0</v>
      </c>
      <c r="AB233" s="2">
        <f t="shared" si="330"/>
        <v>0</v>
      </c>
      <c r="AC233" s="2">
        <f t="shared" si="330"/>
        <v>0</v>
      </c>
      <c r="AD233" s="2">
        <f t="shared" si="330"/>
        <v>0</v>
      </c>
      <c r="AE233" s="2">
        <f t="shared" si="330"/>
        <v>0</v>
      </c>
      <c r="AF233" s="2">
        <f t="shared" si="330"/>
        <v>0</v>
      </c>
      <c r="AG233" s="2">
        <f t="shared" si="330"/>
        <v>0</v>
      </c>
      <c r="AH233" s="2">
        <f t="shared" si="330"/>
        <v>0</v>
      </c>
      <c r="AI233" s="2">
        <f t="shared" si="330"/>
        <v>0</v>
      </c>
      <c r="AJ233" s="2">
        <f t="shared" si="330"/>
        <v>0</v>
      </c>
      <c r="AK233" s="2">
        <f t="shared" si="330"/>
        <v>0</v>
      </c>
      <c r="AL233" s="2">
        <f t="shared" si="330"/>
        <v>0</v>
      </c>
      <c r="AM233" s="2">
        <f t="shared" si="330"/>
        <v>0</v>
      </c>
      <c r="AN233" s="2">
        <f t="shared" si="330"/>
        <v>0</v>
      </c>
      <c r="AO233" s="2">
        <f t="shared" si="330"/>
        <v>0</v>
      </c>
      <c r="AP233" s="2">
        <f t="shared" si="330"/>
        <v>0</v>
      </c>
      <c r="AQ233" s="2">
        <f t="shared" si="330"/>
        <v>0</v>
      </c>
      <c r="AR233" s="2">
        <f t="shared" si="330"/>
        <v>0</v>
      </c>
      <c r="AS233" s="2">
        <f t="shared" si="330"/>
        <v>0</v>
      </c>
      <c r="AT233" s="2">
        <f t="shared" si="330"/>
        <v>0</v>
      </c>
      <c r="AU233" s="54">
        <f t="shared" si="330"/>
        <v>0</v>
      </c>
      <c r="AV233" s="2">
        <f t="shared" si="330"/>
        <v>0</v>
      </c>
      <c r="AW233" s="2">
        <f t="shared" si="330"/>
        <v>0</v>
      </c>
      <c r="AX233" s="2">
        <f t="shared" si="330"/>
        <v>0</v>
      </c>
      <c r="AY233" s="2">
        <f t="shared" si="330"/>
        <v>0</v>
      </c>
      <c r="AZ233" s="2">
        <f t="shared" si="330"/>
        <v>0</v>
      </c>
      <c r="BA233" s="2">
        <f t="shared" si="330"/>
        <v>0</v>
      </c>
      <c r="BB233" s="2">
        <f t="shared" si="330"/>
        <v>0</v>
      </c>
      <c r="BC233" s="2">
        <f t="shared" si="330"/>
        <v>0</v>
      </c>
      <c r="BD233" s="2">
        <f t="shared" si="330"/>
        <v>0</v>
      </c>
      <c r="BE233" s="2">
        <f t="shared" si="330"/>
        <v>0</v>
      </c>
      <c r="BF233" s="2">
        <f t="shared" si="330"/>
        <v>0</v>
      </c>
      <c r="BG233" s="2">
        <f t="shared" si="330"/>
        <v>0</v>
      </c>
      <c r="BH233" s="2">
        <f t="shared" si="330"/>
        <v>0</v>
      </c>
      <c r="BI233" s="2">
        <f t="shared" si="330"/>
        <v>0</v>
      </c>
      <c r="BJ233" s="2">
        <f t="shared" si="330"/>
        <v>0</v>
      </c>
      <c r="BK233" s="2" t="e">
        <f t="shared" si="330"/>
        <v>#DIV/0!</v>
      </c>
      <c r="BM233" s="2">
        <f t="shared" si="329"/>
        <v>0</v>
      </c>
    </row>
    <row r="234" spans="1:65">
      <c r="A234" s="1" t="s">
        <v>67</v>
      </c>
      <c r="B234" s="54">
        <f>IF(B233=1, IF(B182&gt;7.5, 1, 0), 0)</f>
        <v>0</v>
      </c>
      <c r="C234" s="2">
        <f t="shared" ref="C234:BM234" si="331">IF(C233=1, IF(C182&gt;7.5, 1, 0), 0)</f>
        <v>0</v>
      </c>
      <c r="D234" s="2">
        <f t="shared" si="331"/>
        <v>0</v>
      </c>
      <c r="E234" s="2">
        <f t="shared" si="331"/>
        <v>0</v>
      </c>
      <c r="F234" s="2">
        <f t="shared" si="331"/>
        <v>0</v>
      </c>
      <c r="G234" s="2">
        <f t="shared" si="331"/>
        <v>0</v>
      </c>
      <c r="H234" s="2">
        <f t="shared" si="331"/>
        <v>0</v>
      </c>
      <c r="I234" s="2">
        <f t="shared" si="331"/>
        <v>0</v>
      </c>
      <c r="J234" s="2">
        <f t="shared" si="331"/>
        <v>0</v>
      </c>
      <c r="K234" s="54">
        <f t="shared" si="331"/>
        <v>0</v>
      </c>
      <c r="L234" s="2">
        <f t="shared" si="331"/>
        <v>0</v>
      </c>
      <c r="M234" s="2">
        <f t="shared" si="331"/>
        <v>0</v>
      </c>
      <c r="N234" s="2">
        <f t="shared" si="331"/>
        <v>0</v>
      </c>
      <c r="O234" s="2">
        <f t="shared" si="331"/>
        <v>0</v>
      </c>
      <c r="P234" s="2">
        <f t="shared" si="331"/>
        <v>0</v>
      </c>
      <c r="Q234" s="54">
        <f t="shared" si="331"/>
        <v>0</v>
      </c>
      <c r="R234" s="2">
        <f t="shared" si="331"/>
        <v>0</v>
      </c>
      <c r="S234" s="2">
        <f t="shared" si="331"/>
        <v>0</v>
      </c>
      <c r="T234" s="2">
        <f t="shared" si="331"/>
        <v>0</v>
      </c>
      <c r="U234" s="2">
        <f t="shared" ref="U234:BK234" si="332">IF(U233=1, IF(U182&gt;7.5, 1, 0), 0)</f>
        <v>0</v>
      </c>
      <c r="V234" s="2">
        <f t="shared" si="332"/>
        <v>0</v>
      </c>
      <c r="W234" s="2">
        <f t="shared" si="332"/>
        <v>0</v>
      </c>
      <c r="X234" s="2">
        <f t="shared" si="332"/>
        <v>0</v>
      </c>
      <c r="Y234" s="54">
        <f t="shared" si="332"/>
        <v>0</v>
      </c>
      <c r="Z234" s="2">
        <f t="shared" si="332"/>
        <v>0</v>
      </c>
      <c r="AA234" s="54">
        <f t="shared" si="332"/>
        <v>0</v>
      </c>
      <c r="AB234" s="2">
        <f t="shared" si="332"/>
        <v>0</v>
      </c>
      <c r="AC234" s="2">
        <f t="shared" si="332"/>
        <v>0</v>
      </c>
      <c r="AD234" s="2">
        <f t="shared" si="332"/>
        <v>0</v>
      </c>
      <c r="AE234" s="2">
        <f t="shared" si="332"/>
        <v>0</v>
      </c>
      <c r="AF234" s="2">
        <f t="shared" si="332"/>
        <v>0</v>
      </c>
      <c r="AG234" s="2">
        <f t="shared" si="332"/>
        <v>0</v>
      </c>
      <c r="AH234" s="2">
        <f t="shared" si="332"/>
        <v>0</v>
      </c>
      <c r="AI234" s="2">
        <f t="shared" si="332"/>
        <v>0</v>
      </c>
      <c r="AJ234" s="2">
        <f t="shared" si="332"/>
        <v>0</v>
      </c>
      <c r="AK234" s="2">
        <f t="shared" si="332"/>
        <v>0</v>
      </c>
      <c r="AL234" s="2">
        <f t="shared" si="332"/>
        <v>0</v>
      </c>
      <c r="AM234" s="2">
        <f t="shared" si="332"/>
        <v>0</v>
      </c>
      <c r="AN234" s="2">
        <f t="shared" si="332"/>
        <v>0</v>
      </c>
      <c r="AO234" s="2">
        <f t="shared" si="332"/>
        <v>0</v>
      </c>
      <c r="AP234" s="2">
        <f t="shared" si="332"/>
        <v>0</v>
      </c>
      <c r="AQ234" s="2">
        <f t="shared" si="332"/>
        <v>0</v>
      </c>
      <c r="AR234" s="2">
        <f t="shared" si="332"/>
        <v>0</v>
      </c>
      <c r="AS234" s="2">
        <f t="shared" si="332"/>
        <v>0</v>
      </c>
      <c r="AT234" s="2">
        <f t="shared" si="332"/>
        <v>0</v>
      </c>
      <c r="AU234" s="54">
        <f t="shared" si="332"/>
        <v>0</v>
      </c>
      <c r="AV234" s="2">
        <f t="shared" si="332"/>
        <v>0</v>
      </c>
      <c r="AW234" s="2">
        <f t="shared" si="332"/>
        <v>0</v>
      </c>
      <c r="AX234" s="2">
        <f t="shared" si="332"/>
        <v>0</v>
      </c>
      <c r="AY234" s="2">
        <f t="shared" si="332"/>
        <v>0</v>
      </c>
      <c r="AZ234" s="2">
        <f t="shared" si="332"/>
        <v>0</v>
      </c>
      <c r="BA234" s="2">
        <f t="shared" si="332"/>
        <v>0</v>
      </c>
      <c r="BB234" s="2">
        <f t="shared" si="332"/>
        <v>0</v>
      </c>
      <c r="BC234" s="2">
        <f t="shared" si="332"/>
        <v>0</v>
      </c>
      <c r="BD234" s="2">
        <f t="shared" si="332"/>
        <v>0</v>
      </c>
      <c r="BE234" s="2">
        <f t="shared" si="332"/>
        <v>0</v>
      </c>
      <c r="BF234" s="2">
        <f t="shared" si="332"/>
        <v>0</v>
      </c>
      <c r="BG234" s="2">
        <f t="shared" si="332"/>
        <v>0</v>
      </c>
      <c r="BH234" s="2">
        <f t="shared" si="332"/>
        <v>0</v>
      </c>
      <c r="BI234" s="2">
        <f t="shared" si="332"/>
        <v>0</v>
      </c>
      <c r="BJ234" s="2">
        <f t="shared" si="332"/>
        <v>0</v>
      </c>
      <c r="BK234" s="2" t="e">
        <f t="shared" si="332"/>
        <v>#DIV/0!</v>
      </c>
      <c r="BM234" s="2">
        <f t="shared" si="331"/>
        <v>0</v>
      </c>
    </row>
    <row r="235" spans="1:65">
      <c r="A235" s="37" t="s">
        <v>68</v>
      </c>
      <c r="B235" s="54">
        <f>IF(B234=1, IF(B182&gt;0.5, 47, 48), 0)</f>
        <v>0</v>
      </c>
      <c r="C235" s="2">
        <f t="shared" ref="C235:BM235" si="333">IF(C234=1, IF(C182&gt;0.5, 47, 48), 0)</f>
        <v>0</v>
      </c>
      <c r="D235" s="2">
        <f t="shared" si="333"/>
        <v>0</v>
      </c>
      <c r="E235" s="2">
        <f t="shared" si="333"/>
        <v>0</v>
      </c>
      <c r="F235" s="2">
        <f t="shared" si="333"/>
        <v>0</v>
      </c>
      <c r="G235" s="2">
        <f t="shared" si="333"/>
        <v>0</v>
      </c>
      <c r="H235" s="2">
        <f t="shared" si="333"/>
        <v>0</v>
      </c>
      <c r="I235" s="2">
        <f t="shared" si="333"/>
        <v>0</v>
      </c>
      <c r="J235" s="2">
        <f t="shared" si="333"/>
        <v>0</v>
      </c>
      <c r="K235" s="54">
        <f t="shared" si="333"/>
        <v>0</v>
      </c>
      <c r="L235" s="2">
        <f t="shared" si="333"/>
        <v>0</v>
      </c>
      <c r="M235" s="2">
        <f t="shared" si="333"/>
        <v>0</v>
      </c>
      <c r="N235" s="2">
        <f t="shared" si="333"/>
        <v>0</v>
      </c>
      <c r="O235" s="2">
        <f t="shared" si="333"/>
        <v>0</v>
      </c>
      <c r="P235" s="2">
        <f t="shared" si="333"/>
        <v>0</v>
      </c>
      <c r="Q235" s="54">
        <f t="shared" si="333"/>
        <v>0</v>
      </c>
      <c r="R235" s="2">
        <f t="shared" si="333"/>
        <v>0</v>
      </c>
      <c r="S235" s="2">
        <f t="shared" si="333"/>
        <v>0</v>
      </c>
      <c r="T235" s="2">
        <f t="shared" si="333"/>
        <v>0</v>
      </c>
      <c r="U235" s="2">
        <f t="shared" ref="U235:BK235" si="334">IF(U234=1, IF(U182&gt;0.5, 47, 48), 0)</f>
        <v>0</v>
      </c>
      <c r="V235" s="2">
        <f t="shared" si="334"/>
        <v>0</v>
      </c>
      <c r="W235" s="2">
        <f t="shared" si="334"/>
        <v>0</v>
      </c>
      <c r="X235" s="2">
        <f t="shared" si="334"/>
        <v>0</v>
      </c>
      <c r="Y235" s="54">
        <f t="shared" si="334"/>
        <v>0</v>
      </c>
      <c r="Z235" s="2">
        <f t="shared" si="334"/>
        <v>0</v>
      </c>
      <c r="AA235" s="54">
        <f t="shared" si="334"/>
        <v>0</v>
      </c>
      <c r="AB235" s="2">
        <f t="shared" si="334"/>
        <v>0</v>
      </c>
      <c r="AC235" s="2">
        <f t="shared" si="334"/>
        <v>0</v>
      </c>
      <c r="AD235" s="2">
        <f t="shared" si="334"/>
        <v>0</v>
      </c>
      <c r="AE235" s="2">
        <f t="shared" si="334"/>
        <v>0</v>
      </c>
      <c r="AF235" s="2">
        <f t="shared" si="334"/>
        <v>0</v>
      </c>
      <c r="AG235" s="2">
        <f t="shared" si="334"/>
        <v>0</v>
      </c>
      <c r="AH235" s="2">
        <f t="shared" si="334"/>
        <v>0</v>
      </c>
      <c r="AI235" s="2">
        <f t="shared" si="334"/>
        <v>0</v>
      </c>
      <c r="AJ235" s="2">
        <f t="shared" si="334"/>
        <v>0</v>
      </c>
      <c r="AK235" s="2">
        <f t="shared" si="334"/>
        <v>0</v>
      </c>
      <c r="AL235" s="2">
        <f t="shared" si="334"/>
        <v>0</v>
      </c>
      <c r="AM235" s="2">
        <f t="shared" si="334"/>
        <v>0</v>
      </c>
      <c r="AN235" s="2">
        <f t="shared" si="334"/>
        <v>0</v>
      </c>
      <c r="AO235" s="2">
        <f t="shared" si="334"/>
        <v>0</v>
      </c>
      <c r="AP235" s="2">
        <f t="shared" si="334"/>
        <v>0</v>
      </c>
      <c r="AQ235" s="2">
        <f t="shared" si="334"/>
        <v>0</v>
      </c>
      <c r="AR235" s="2">
        <f t="shared" si="334"/>
        <v>0</v>
      </c>
      <c r="AS235" s="2">
        <f t="shared" si="334"/>
        <v>0</v>
      </c>
      <c r="AT235" s="2">
        <f t="shared" si="334"/>
        <v>0</v>
      </c>
      <c r="AU235" s="54">
        <f t="shared" si="334"/>
        <v>0</v>
      </c>
      <c r="AV235" s="2">
        <f t="shared" si="334"/>
        <v>0</v>
      </c>
      <c r="AW235" s="2">
        <f t="shared" si="334"/>
        <v>0</v>
      </c>
      <c r="AX235" s="2">
        <f t="shared" si="334"/>
        <v>0</v>
      </c>
      <c r="AY235" s="2">
        <f t="shared" si="334"/>
        <v>0</v>
      </c>
      <c r="AZ235" s="2">
        <f t="shared" si="334"/>
        <v>0</v>
      </c>
      <c r="BA235" s="2">
        <f t="shared" si="334"/>
        <v>0</v>
      </c>
      <c r="BB235" s="2">
        <f t="shared" si="334"/>
        <v>0</v>
      </c>
      <c r="BC235" s="2">
        <f t="shared" si="334"/>
        <v>0</v>
      </c>
      <c r="BD235" s="2">
        <f t="shared" si="334"/>
        <v>0</v>
      </c>
      <c r="BE235" s="2">
        <f t="shared" si="334"/>
        <v>0</v>
      </c>
      <c r="BF235" s="2">
        <f t="shared" si="334"/>
        <v>0</v>
      </c>
      <c r="BG235" s="2">
        <f t="shared" si="334"/>
        <v>0</v>
      </c>
      <c r="BH235" s="2">
        <f t="shared" si="334"/>
        <v>0</v>
      </c>
      <c r="BI235" s="2">
        <f t="shared" si="334"/>
        <v>0</v>
      </c>
      <c r="BJ235" s="2">
        <f t="shared" si="334"/>
        <v>0</v>
      </c>
      <c r="BK235" s="2" t="e">
        <f t="shared" si="334"/>
        <v>#DIV/0!</v>
      </c>
      <c r="BM235" s="2">
        <f t="shared" si="333"/>
        <v>0</v>
      </c>
    </row>
    <row r="236" spans="1:65">
      <c r="A236" s="1" t="s">
        <v>69</v>
      </c>
      <c r="B236" s="54">
        <f>IF(B233=1, IF(B183&lt;=7.5, 1, 0), 0)</f>
        <v>0</v>
      </c>
      <c r="C236" s="2">
        <f t="shared" ref="C236:BM236" si="335">IF(C233=1, IF(C183&lt;=7.5, 1, 0), 0)</f>
        <v>0</v>
      </c>
      <c r="D236" s="2">
        <f t="shared" si="335"/>
        <v>0</v>
      </c>
      <c r="E236" s="2">
        <f t="shared" si="335"/>
        <v>0</v>
      </c>
      <c r="F236" s="2">
        <f t="shared" si="335"/>
        <v>0</v>
      </c>
      <c r="G236" s="2">
        <f t="shared" si="335"/>
        <v>0</v>
      </c>
      <c r="H236" s="2">
        <f t="shared" si="335"/>
        <v>0</v>
      </c>
      <c r="I236" s="2">
        <f t="shared" si="335"/>
        <v>0</v>
      </c>
      <c r="J236" s="2">
        <f t="shared" si="335"/>
        <v>0</v>
      </c>
      <c r="K236" s="54">
        <f t="shared" si="335"/>
        <v>0</v>
      </c>
      <c r="L236" s="2">
        <f t="shared" si="335"/>
        <v>0</v>
      </c>
      <c r="M236" s="2">
        <f t="shared" si="335"/>
        <v>0</v>
      </c>
      <c r="N236" s="2">
        <f t="shared" si="335"/>
        <v>0</v>
      </c>
      <c r="O236" s="2">
        <f t="shared" si="335"/>
        <v>0</v>
      </c>
      <c r="P236" s="2">
        <f t="shared" si="335"/>
        <v>0</v>
      </c>
      <c r="Q236" s="54">
        <f t="shared" si="335"/>
        <v>0</v>
      </c>
      <c r="R236" s="2">
        <f t="shared" si="335"/>
        <v>0</v>
      </c>
      <c r="S236" s="2">
        <f t="shared" si="335"/>
        <v>0</v>
      </c>
      <c r="T236" s="2">
        <f t="shared" si="335"/>
        <v>0</v>
      </c>
      <c r="U236" s="2">
        <f t="shared" ref="U236:BK236" si="336">IF(U233=1, IF(U183&lt;=7.5, 1, 0), 0)</f>
        <v>0</v>
      </c>
      <c r="V236" s="2">
        <f t="shared" si="336"/>
        <v>0</v>
      </c>
      <c r="W236" s="2">
        <f t="shared" si="336"/>
        <v>0</v>
      </c>
      <c r="X236" s="2">
        <f t="shared" si="336"/>
        <v>0</v>
      </c>
      <c r="Y236" s="54">
        <f t="shared" si="336"/>
        <v>0</v>
      </c>
      <c r="Z236" s="2">
        <f t="shared" si="336"/>
        <v>0</v>
      </c>
      <c r="AA236" s="54">
        <f t="shared" si="336"/>
        <v>0</v>
      </c>
      <c r="AB236" s="2">
        <f t="shared" si="336"/>
        <v>0</v>
      </c>
      <c r="AC236" s="2">
        <f t="shared" si="336"/>
        <v>0</v>
      </c>
      <c r="AD236" s="2">
        <f t="shared" si="336"/>
        <v>0</v>
      </c>
      <c r="AE236" s="2">
        <f t="shared" si="336"/>
        <v>0</v>
      </c>
      <c r="AF236" s="2">
        <f t="shared" si="336"/>
        <v>0</v>
      </c>
      <c r="AG236" s="2">
        <f t="shared" si="336"/>
        <v>0</v>
      </c>
      <c r="AH236" s="2">
        <f t="shared" si="336"/>
        <v>0</v>
      </c>
      <c r="AI236" s="2">
        <f t="shared" si="336"/>
        <v>0</v>
      </c>
      <c r="AJ236" s="2">
        <f t="shared" si="336"/>
        <v>0</v>
      </c>
      <c r="AK236" s="2">
        <f t="shared" si="336"/>
        <v>0</v>
      </c>
      <c r="AL236" s="2">
        <f t="shared" si="336"/>
        <v>0</v>
      </c>
      <c r="AM236" s="2">
        <f t="shared" si="336"/>
        <v>0</v>
      </c>
      <c r="AN236" s="2">
        <f t="shared" si="336"/>
        <v>0</v>
      </c>
      <c r="AO236" s="2">
        <f t="shared" si="336"/>
        <v>0</v>
      </c>
      <c r="AP236" s="2">
        <f t="shared" si="336"/>
        <v>0</v>
      </c>
      <c r="AQ236" s="2">
        <f t="shared" si="336"/>
        <v>0</v>
      </c>
      <c r="AR236" s="2">
        <f t="shared" si="336"/>
        <v>0</v>
      </c>
      <c r="AS236" s="2">
        <f t="shared" si="336"/>
        <v>0</v>
      </c>
      <c r="AT236" s="2">
        <f t="shared" si="336"/>
        <v>0</v>
      </c>
      <c r="AU236" s="54">
        <f t="shared" si="336"/>
        <v>0</v>
      </c>
      <c r="AV236" s="2">
        <f t="shared" si="336"/>
        <v>0</v>
      </c>
      <c r="AW236" s="2">
        <f t="shared" si="336"/>
        <v>0</v>
      </c>
      <c r="AX236" s="2">
        <f t="shared" si="336"/>
        <v>0</v>
      </c>
      <c r="AY236" s="2">
        <f t="shared" si="336"/>
        <v>0</v>
      </c>
      <c r="AZ236" s="2">
        <f t="shared" si="336"/>
        <v>0</v>
      </c>
      <c r="BA236" s="2">
        <f t="shared" si="336"/>
        <v>0</v>
      </c>
      <c r="BB236" s="2">
        <f t="shared" si="336"/>
        <v>0</v>
      </c>
      <c r="BC236" s="2">
        <f t="shared" si="336"/>
        <v>0</v>
      </c>
      <c r="BD236" s="2">
        <f t="shared" si="336"/>
        <v>0</v>
      </c>
      <c r="BE236" s="2">
        <f t="shared" si="336"/>
        <v>0</v>
      </c>
      <c r="BF236" s="2">
        <f t="shared" si="336"/>
        <v>0</v>
      </c>
      <c r="BG236" s="2">
        <f t="shared" si="336"/>
        <v>0</v>
      </c>
      <c r="BH236" s="2">
        <f t="shared" si="336"/>
        <v>0</v>
      </c>
      <c r="BI236" s="2">
        <f t="shared" si="336"/>
        <v>0</v>
      </c>
      <c r="BJ236" s="2">
        <f t="shared" si="336"/>
        <v>0</v>
      </c>
      <c r="BK236" s="2" t="e">
        <f t="shared" si="336"/>
        <v>#DIV/0!</v>
      </c>
      <c r="BM236" s="2">
        <f t="shared" si="335"/>
        <v>0</v>
      </c>
    </row>
    <row r="237" spans="1:65">
      <c r="A237" s="37" t="s">
        <v>70</v>
      </c>
      <c r="B237" s="54">
        <f>IF(B236=1, IF(B182&gt;0.5, 49, 50), 0)</f>
        <v>0</v>
      </c>
      <c r="C237" s="2">
        <f t="shared" ref="C237:BM237" si="337">IF(C236=1, IF(C182&gt;0.5, 49, 50), 0)</f>
        <v>0</v>
      </c>
      <c r="D237" s="2">
        <f t="shared" si="337"/>
        <v>0</v>
      </c>
      <c r="E237" s="2">
        <f t="shared" si="337"/>
        <v>0</v>
      </c>
      <c r="F237" s="2">
        <f t="shared" si="337"/>
        <v>0</v>
      </c>
      <c r="G237" s="2">
        <f t="shared" si="337"/>
        <v>0</v>
      </c>
      <c r="H237" s="2">
        <f t="shared" si="337"/>
        <v>0</v>
      </c>
      <c r="I237" s="2">
        <f t="shared" si="337"/>
        <v>0</v>
      </c>
      <c r="J237" s="2">
        <f t="shared" si="337"/>
        <v>0</v>
      </c>
      <c r="K237" s="54">
        <f t="shared" si="337"/>
        <v>0</v>
      </c>
      <c r="L237" s="2">
        <f t="shared" si="337"/>
        <v>0</v>
      </c>
      <c r="M237" s="2">
        <f t="shared" si="337"/>
        <v>0</v>
      </c>
      <c r="N237" s="2">
        <f t="shared" si="337"/>
        <v>0</v>
      </c>
      <c r="O237" s="2">
        <f t="shared" si="337"/>
        <v>0</v>
      </c>
      <c r="P237" s="2">
        <f t="shared" si="337"/>
        <v>0</v>
      </c>
      <c r="Q237" s="54">
        <f t="shared" si="337"/>
        <v>0</v>
      </c>
      <c r="R237" s="2">
        <f t="shared" si="337"/>
        <v>0</v>
      </c>
      <c r="S237" s="2">
        <f t="shared" si="337"/>
        <v>0</v>
      </c>
      <c r="T237" s="2">
        <f t="shared" si="337"/>
        <v>0</v>
      </c>
      <c r="U237" s="2">
        <f t="shared" ref="U237:BK237" si="338">IF(U236=1, IF(U182&gt;0.5, 49, 50), 0)</f>
        <v>0</v>
      </c>
      <c r="V237" s="2">
        <f t="shared" si="338"/>
        <v>0</v>
      </c>
      <c r="W237" s="2">
        <f t="shared" si="338"/>
        <v>0</v>
      </c>
      <c r="X237" s="2">
        <f t="shared" si="338"/>
        <v>0</v>
      </c>
      <c r="Y237" s="54">
        <f t="shared" si="338"/>
        <v>0</v>
      </c>
      <c r="Z237" s="2">
        <f t="shared" si="338"/>
        <v>0</v>
      </c>
      <c r="AA237" s="54">
        <f t="shared" si="338"/>
        <v>0</v>
      </c>
      <c r="AB237" s="2">
        <f t="shared" si="338"/>
        <v>0</v>
      </c>
      <c r="AC237" s="2">
        <f t="shared" si="338"/>
        <v>0</v>
      </c>
      <c r="AD237" s="2">
        <f t="shared" si="338"/>
        <v>0</v>
      </c>
      <c r="AE237" s="2">
        <f t="shared" si="338"/>
        <v>0</v>
      </c>
      <c r="AF237" s="2">
        <f t="shared" si="338"/>
        <v>0</v>
      </c>
      <c r="AG237" s="2">
        <f t="shared" si="338"/>
        <v>0</v>
      </c>
      <c r="AH237" s="2">
        <f t="shared" si="338"/>
        <v>0</v>
      </c>
      <c r="AI237" s="2">
        <f t="shared" si="338"/>
        <v>0</v>
      </c>
      <c r="AJ237" s="2">
        <f t="shared" si="338"/>
        <v>0</v>
      </c>
      <c r="AK237" s="2">
        <f t="shared" si="338"/>
        <v>0</v>
      </c>
      <c r="AL237" s="2">
        <f t="shared" si="338"/>
        <v>0</v>
      </c>
      <c r="AM237" s="2">
        <f t="shared" si="338"/>
        <v>0</v>
      </c>
      <c r="AN237" s="2">
        <f t="shared" si="338"/>
        <v>0</v>
      </c>
      <c r="AO237" s="2">
        <f t="shared" si="338"/>
        <v>0</v>
      </c>
      <c r="AP237" s="2">
        <f t="shared" si="338"/>
        <v>0</v>
      </c>
      <c r="AQ237" s="2">
        <f t="shared" si="338"/>
        <v>0</v>
      </c>
      <c r="AR237" s="2">
        <f t="shared" si="338"/>
        <v>0</v>
      </c>
      <c r="AS237" s="2">
        <f t="shared" si="338"/>
        <v>0</v>
      </c>
      <c r="AT237" s="2">
        <f t="shared" si="338"/>
        <v>0</v>
      </c>
      <c r="AU237" s="54">
        <f t="shared" si="338"/>
        <v>0</v>
      </c>
      <c r="AV237" s="2">
        <f t="shared" si="338"/>
        <v>0</v>
      </c>
      <c r="AW237" s="2">
        <f t="shared" si="338"/>
        <v>0</v>
      </c>
      <c r="AX237" s="2">
        <f t="shared" si="338"/>
        <v>0</v>
      </c>
      <c r="AY237" s="2">
        <f t="shared" si="338"/>
        <v>0</v>
      </c>
      <c r="AZ237" s="2">
        <f t="shared" si="338"/>
        <v>0</v>
      </c>
      <c r="BA237" s="2">
        <f t="shared" si="338"/>
        <v>0</v>
      </c>
      <c r="BB237" s="2">
        <f t="shared" si="338"/>
        <v>0</v>
      </c>
      <c r="BC237" s="2">
        <f t="shared" si="338"/>
        <v>0</v>
      </c>
      <c r="BD237" s="2">
        <f t="shared" si="338"/>
        <v>0</v>
      </c>
      <c r="BE237" s="2">
        <f t="shared" si="338"/>
        <v>0</v>
      </c>
      <c r="BF237" s="2">
        <f t="shared" si="338"/>
        <v>0</v>
      </c>
      <c r="BG237" s="2">
        <f t="shared" si="338"/>
        <v>0</v>
      </c>
      <c r="BH237" s="2">
        <f t="shared" si="338"/>
        <v>0</v>
      </c>
      <c r="BI237" s="2">
        <f t="shared" si="338"/>
        <v>0</v>
      </c>
      <c r="BJ237" s="2">
        <f t="shared" si="338"/>
        <v>0</v>
      </c>
      <c r="BK237" s="2" t="e">
        <f t="shared" si="338"/>
        <v>#DIV/0!</v>
      </c>
      <c r="BM237" s="2">
        <f t="shared" si="337"/>
        <v>0</v>
      </c>
    </row>
    <row r="238" spans="1:65">
      <c r="A238" s="38" t="s">
        <v>71</v>
      </c>
      <c r="B238" s="54">
        <f>IF(B232=1, IF(B181&gt;0.5, 1, 0), 0)</f>
        <v>0</v>
      </c>
      <c r="C238" s="2">
        <f t="shared" ref="C238:BM238" si="339">IF(C232=1, IF(C181&gt;0.5, 1, 0), 0)</f>
        <v>0</v>
      </c>
      <c r="D238" s="2">
        <f t="shared" si="339"/>
        <v>0</v>
      </c>
      <c r="E238" s="2">
        <f t="shared" si="339"/>
        <v>0</v>
      </c>
      <c r="F238" s="2">
        <f t="shared" si="339"/>
        <v>0</v>
      </c>
      <c r="G238" s="2">
        <f t="shared" si="339"/>
        <v>0</v>
      </c>
      <c r="H238" s="2">
        <f t="shared" si="339"/>
        <v>0</v>
      </c>
      <c r="I238" s="2">
        <f t="shared" si="339"/>
        <v>0</v>
      </c>
      <c r="J238" s="2">
        <f t="shared" si="339"/>
        <v>0</v>
      </c>
      <c r="K238" s="54">
        <f t="shared" si="339"/>
        <v>0</v>
      </c>
      <c r="L238" s="2">
        <f t="shared" si="339"/>
        <v>0</v>
      </c>
      <c r="M238" s="2">
        <f t="shared" si="339"/>
        <v>0</v>
      </c>
      <c r="N238" s="2">
        <f t="shared" si="339"/>
        <v>0</v>
      </c>
      <c r="O238" s="2">
        <f t="shared" si="339"/>
        <v>0</v>
      </c>
      <c r="P238" s="2">
        <f t="shared" si="339"/>
        <v>0</v>
      </c>
      <c r="Q238" s="54">
        <f t="shared" si="339"/>
        <v>0</v>
      </c>
      <c r="R238" s="2">
        <f t="shared" si="339"/>
        <v>0</v>
      </c>
      <c r="S238" s="2">
        <f t="shared" si="339"/>
        <v>0</v>
      </c>
      <c r="T238" s="2">
        <f t="shared" si="339"/>
        <v>0</v>
      </c>
      <c r="U238" s="2">
        <f t="shared" ref="U238:BK238" si="340">IF(U232=1, IF(U181&gt;0.5, 1, 0), 0)</f>
        <v>0</v>
      </c>
      <c r="V238" s="2">
        <f t="shared" si="340"/>
        <v>0</v>
      </c>
      <c r="W238" s="2">
        <f t="shared" si="340"/>
        <v>0</v>
      </c>
      <c r="X238" s="2">
        <f t="shared" si="340"/>
        <v>0</v>
      </c>
      <c r="Y238" s="54">
        <f t="shared" si="340"/>
        <v>0</v>
      </c>
      <c r="Z238" s="2">
        <f t="shared" si="340"/>
        <v>0</v>
      </c>
      <c r="AA238" s="54">
        <f t="shared" si="340"/>
        <v>0</v>
      </c>
      <c r="AB238" s="2">
        <f t="shared" si="340"/>
        <v>0</v>
      </c>
      <c r="AC238" s="2">
        <f t="shared" si="340"/>
        <v>0</v>
      </c>
      <c r="AD238" s="2">
        <f t="shared" si="340"/>
        <v>0</v>
      </c>
      <c r="AE238" s="2">
        <f t="shared" si="340"/>
        <v>0</v>
      </c>
      <c r="AF238" s="2">
        <f t="shared" si="340"/>
        <v>0</v>
      </c>
      <c r="AG238" s="2">
        <f t="shared" si="340"/>
        <v>0</v>
      </c>
      <c r="AH238" s="2">
        <f t="shared" si="340"/>
        <v>0</v>
      </c>
      <c r="AI238" s="2">
        <f t="shared" si="340"/>
        <v>0</v>
      </c>
      <c r="AJ238" s="2">
        <f t="shared" si="340"/>
        <v>0</v>
      </c>
      <c r="AK238" s="2">
        <f t="shared" si="340"/>
        <v>0</v>
      </c>
      <c r="AL238" s="2">
        <f t="shared" si="340"/>
        <v>0</v>
      </c>
      <c r="AM238" s="2">
        <f t="shared" si="340"/>
        <v>0</v>
      </c>
      <c r="AN238" s="2">
        <f t="shared" si="340"/>
        <v>0</v>
      </c>
      <c r="AO238" s="2">
        <f t="shared" si="340"/>
        <v>0</v>
      </c>
      <c r="AP238" s="2">
        <f t="shared" si="340"/>
        <v>0</v>
      </c>
      <c r="AQ238" s="2">
        <f t="shared" si="340"/>
        <v>0</v>
      </c>
      <c r="AR238" s="2">
        <f t="shared" si="340"/>
        <v>0</v>
      </c>
      <c r="AS238" s="2">
        <f t="shared" si="340"/>
        <v>0</v>
      </c>
      <c r="AT238" s="2">
        <f t="shared" si="340"/>
        <v>0</v>
      </c>
      <c r="AU238" s="54">
        <f t="shared" si="340"/>
        <v>0</v>
      </c>
      <c r="AV238" s="2">
        <f t="shared" si="340"/>
        <v>0</v>
      </c>
      <c r="AW238" s="2">
        <f t="shared" si="340"/>
        <v>0</v>
      </c>
      <c r="AX238" s="2">
        <f t="shared" si="340"/>
        <v>0</v>
      </c>
      <c r="AY238" s="2">
        <f t="shared" si="340"/>
        <v>0</v>
      </c>
      <c r="AZ238" s="2">
        <f t="shared" si="340"/>
        <v>0</v>
      </c>
      <c r="BA238" s="2">
        <f t="shared" si="340"/>
        <v>0</v>
      </c>
      <c r="BB238" s="2">
        <f t="shared" si="340"/>
        <v>0</v>
      </c>
      <c r="BC238" s="2">
        <f t="shared" si="340"/>
        <v>0</v>
      </c>
      <c r="BD238" s="2">
        <f t="shared" si="340"/>
        <v>0</v>
      </c>
      <c r="BE238" s="2">
        <f t="shared" si="340"/>
        <v>0</v>
      </c>
      <c r="BF238" s="2">
        <f t="shared" si="340"/>
        <v>0</v>
      </c>
      <c r="BG238" s="2">
        <f t="shared" si="340"/>
        <v>0</v>
      </c>
      <c r="BH238" s="2">
        <f t="shared" si="340"/>
        <v>0</v>
      </c>
      <c r="BI238" s="2">
        <f t="shared" si="340"/>
        <v>0</v>
      </c>
      <c r="BJ238" s="2">
        <f t="shared" si="340"/>
        <v>0</v>
      </c>
      <c r="BK238" s="2" t="e">
        <f t="shared" si="340"/>
        <v>#DIV/0!</v>
      </c>
      <c r="BM238" s="2">
        <f t="shared" si="339"/>
        <v>0</v>
      </c>
    </row>
    <row r="239" spans="1:65">
      <c r="A239" s="1" t="s">
        <v>72</v>
      </c>
      <c r="B239" s="54">
        <f>IF(B238=1, IF(B183&gt;7.5, 1, 0), 0)</f>
        <v>0</v>
      </c>
      <c r="C239" s="2">
        <f t="shared" ref="C239:BM239" si="341">IF(C238=1, IF(C183&gt;7.5, 1, 0), 0)</f>
        <v>0</v>
      </c>
      <c r="D239" s="2">
        <f t="shared" si="341"/>
        <v>0</v>
      </c>
      <c r="E239" s="2">
        <f t="shared" si="341"/>
        <v>0</v>
      </c>
      <c r="F239" s="2">
        <f t="shared" si="341"/>
        <v>0</v>
      </c>
      <c r="G239" s="2">
        <f t="shared" si="341"/>
        <v>0</v>
      </c>
      <c r="H239" s="2">
        <f t="shared" si="341"/>
        <v>0</v>
      </c>
      <c r="I239" s="2">
        <f t="shared" si="341"/>
        <v>0</v>
      </c>
      <c r="J239" s="2">
        <f t="shared" si="341"/>
        <v>0</v>
      </c>
      <c r="K239" s="54">
        <f t="shared" si="341"/>
        <v>0</v>
      </c>
      <c r="L239" s="2">
        <f t="shared" si="341"/>
        <v>0</v>
      </c>
      <c r="M239" s="2">
        <f t="shared" si="341"/>
        <v>0</v>
      </c>
      <c r="N239" s="2">
        <f t="shared" si="341"/>
        <v>0</v>
      </c>
      <c r="O239" s="2">
        <f t="shared" si="341"/>
        <v>0</v>
      </c>
      <c r="P239" s="2">
        <f t="shared" si="341"/>
        <v>0</v>
      </c>
      <c r="Q239" s="54">
        <f t="shared" si="341"/>
        <v>0</v>
      </c>
      <c r="R239" s="2">
        <f t="shared" si="341"/>
        <v>0</v>
      </c>
      <c r="S239" s="2">
        <f t="shared" si="341"/>
        <v>0</v>
      </c>
      <c r="T239" s="2">
        <f t="shared" si="341"/>
        <v>0</v>
      </c>
      <c r="U239" s="2">
        <f t="shared" ref="U239:BK239" si="342">IF(U238=1, IF(U183&gt;7.5, 1, 0), 0)</f>
        <v>0</v>
      </c>
      <c r="V239" s="2">
        <f t="shared" si="342"/>
        <v>0</v>
      </c>
      <c r="W239" s="2">
        <f t="shared" si="342"/>
        <v>0</v>
      </c>
      <c r="X239" s="2">
        <f t="shared" si="342"/>
        <v>0</v>
      </c>
      <c r="Y239" s="54">
        <f t="shared" si="342"/>
        <v>0</v>
      </c>
      <c r="Z239" s="2">
        <f t="shared" si="342"/>
        <v>0</v>
      </c>
      <c r="AA239" s="54">
        <f t="shared" si="342"/>
        <v>0</v>
      </c>
      <c r="AB239" s="2">
        <f t="shared" si="342"/>
        <v>0</v>
      </c>
      <c r="AC239" s="2">
        <f t="shared" si="342"/>
        <v>0</v>
      </c>
      <c r="AD239" s="2">
        <f t="shared" si="342"/>
        <v>0</v>
      </c>
      <c r="AE239" s="2">
        <f t="shared" si="342"/>
        <v>0</v>
      </c>
      <c r="AF239" s="2">
        <f t="shared" si="342"/>
        <v>0</v>
      </c>
      <c r="AG239" s="2">
        <f t="shared" si="342"/>
        <v>0</v>
      </c>
      <c r="AH239" s="2">
        <f t="shared" si="342"/>
        <v>0</v>
      </c>
      <c r="AI239" s="2">
        <f t="shared" si="342"/>
        <v>0</v>
      </c>
      <c r="AJ239" s="2">
        <f t="shared" si="342"/>
        <v>0</v>
      </c>
      <c r="AK239" s="2">
        <f t="shared" si="342"/>
        <v>0</v>
      </c>
      <c r="AL239" s="2">
        <f t="shared" si="342"/>
        <v>0</v>
      </c>
      <c r="AM239" s="2">
        <f t="shared" si="342"/>
        <v>0</v>
      </c>
      <c r="AN239" s="2">
        <f t="shared" si="342"/>
        <v>0</v>
      </c>
      <c r="AO239" s="2">
        <f t="shared" si="342"/>
        <v>0</v>
      </c>
      <c r="AP239" s="2">
        <f t="shared" si="342"/>
        <v>0</v>
      </c>
      <c r="AQ239" s="2">
        <f t="shared" si="342"/>
        <v>0</v>
      </c>
      <c r="AR239" s="2">
        <f t="shared" si="342"/>
        <v>0</v>
      </c>
      <c r="AS239" s="2">
        <f t="shared" si="342"/>
        <v>0</v>
      </c>
      <c r="AT239" s="2">
        <f t="shared" si="342"/>
        <v>0</v>
      </c>
      <c r="AU239" s="54">
        <f t="shared" si="342"/>
        <v>0</v>
      </c>
      <c r="AV239" s="2">
        <f t="shared" si="342"/>
        <v>0</v>
      </c>
      <c r="AW239" s="2">
        <f t="shared" si="342"/>
        <v>0</v>
      </c>
      <c r="AX239" s="2">
        <f t="shared" si="342"/>
        <v>0</v>
      </c>
      <c r="AY239" s="2">
        <f t="shared" si="342"/>
        <v>0</v>
      </c>
      <c r="AZ239" s="2">
        <f t="shared" si="342"/>
        <v>0</v>
      </c>
      <c r="BA239" s="2">
        <f t="shared" si="342"/>
        <v>0</v>
      </c>
      <c r="BB239" s="2">
        <f t="shared" si="342"/>
        <v>0</v>
      </c>
      <c r="BC239" s="2">
        <f t="shared" si="342"/>
        <v>0</v>
      </c>
      <c r="BD239" s="2">
        <f t="shared" si="342"/>
        <v>0</v>
      </c>
      <c r="BE239" s="2">
        <f t="shared" si="342"/>
        <v>0</v>
      </c>
      <c r="BF239" s="2">
        <f t="shared" si="342"/>
        <v>0</v>
      </c>
      <c r="BG239" s="2">
        <f t="shared" si="342"/>
        <v>0</v>
      </c>
      <c r="BH239" s="2">
        <f t="shared" si="342"/>
        <v>0</v>
      </c>
      <c r="BI239" s="2">
        <f t="shared" si="342"/>
        <v>0</v>
      </c>
      <c r="BJ239" s="2">
        <f t="shared" si="342"/>
        <v>0</v>
      </c>
      <c r="BK239" s="2" t="e">
        <f t="shared" si="342"/>
        <v>#DIV/0!</v>
      </c>
      <c r="BM239" s="2">
        <f t="shared" si="341"/>
        <v>0</v>
      </c>
    </row>
    <row r="240" spans="1:65">
      <c r="A240" s="37" t="s">
        <v>51</v>
      </c>
      <c r="B240" s="54">
        <f>IF(B239=1, IF(B182&gt;0.5, 51, 52), 0)</f>
        <v>0</v>
      </c>
      <c r="C240" s="2">
        <f t="shared" ref="C240:BM240" si="343">IF(C239=1, IF(C182&gt;0.5, 51, 52), 0)</f>
        <v>0</v>
      </c>
      <c r="D240" s="2">
        <f t="shared" si="343"/>
        <v>0</v>
      </c>
      <c r="E240" s="2">
        <f t="shared" si="343"/>
        <v>0</v>
      </c>
      <c r="F240" s="2">
        <f t="shared" si="343"/>
        <v>0</v>
      </c>
      <c r="G240" s="2">
        <f t="shared" si="343"/>
        <v>0</v>
      </c>
      <c r="H240" s="2">
        <f t="shared" si="343"/>
        <v>0</v>
      </c>
      <c r="I240" s="2">
        <f t="shared" si="343"/>
        <v>0</v>
      </c>
      <c r="J240" s="2">
        <f t="shared" si="343"/>
        <v>0</v>
      </c>
      <c r="K240" s="54">
        <f t="shared" si="343"/>
        <v>0</v>
      </c>
      <c r="L240" s="2">
        <f t="shared" si="343"/>
        <v>0</v>
      </c>
      <c r="M240" s="2">
        <f t="shared" si="343"/>
        <v>0</v>
      </c>
      <c r="N240" s="2">
        <f t="shared" si="343"/>
        <v>0</v>
      </c>
      <c r="O240" s="2">
        <f t="shared" si="343"/>
        <v>0</v>
      </c>
      <c r="P240" s="2">
        <f t="shared" si="343"/>
        <v>0</v>
      </c>
      <c r="Q240" s="54">
        <f t="shared" si="343"/>
        <v>0</v>
      </c>
      <c r="R240" s="2">
        <f t="shared" si="343"/>
        <v>0</v>
      </c>
      <c r="S240" s="2">
        <f t="shared" si="343"/>
        <v>0</v>
      </c>
      <c r="T240" s="2">
        <f t="shared" si="343"/>
        <v>0</v>
      </c>
      <c r="U240" s="2">
        <f t="shared" ref="U240:BK240" si="344">IF(U239=1, IF(U182&gt;0.5, 51, 52), 0)</f>
        <v>0</v>
      </c>
      <c r="V240" s="2">
        <f t="shared" si="344"/>
        <v>0</v>
      </c>
      <c r="W240" s="2">
        <f t="shared" si="344"/>
        <v>0</v>
      </c>
      <c r="X240" s="2">
        <f t="shared" si="344"/>
        <v>0</v>
      </c>
      <c r="Y240" s="54">
        <f t="shared" si="344"/>
        <v>0</v>
      </c>
      <c r="Z240" s="2">
        <f t="shared" si="344"/>
        <v>0</v>
      </c>
      <c r="AA240" s="54">
        <f t="shared" si="344"/>
        <v>0</v>
      </c>
      <c r="AB240" s="2">
        <f t="shared" si="344"/>
        <v>0</v>
      </c>
      <c r="AC240" s="2">
        <f t="shared" si="344"/>
        <v>0</v>
      </c>
      <c r="AD240" s="2">
        <f t="shared" si="344"/>
        <v>0</v>
      </c>
      <c r="AE240" s="2">
        <f t="shared" si="344"/>
        <v>0</v>
      </c>
      <c r="AF240" s="2">
        <f t="shared" si="344"/>
        <v>0</v>
      </c>
      <c r="AG240" s="2">
        <f t="shared" si="344"/>
        <v>0</v>
      </c>
      <c r="AH240" s="2">
        <f t="shared" si="344"/>
        <v>0</v>
      </c>
      <c r="AI240" s="2">
        <f t="shared" si="344"/>
        <v>0</v>
      </c>
      <c r="AJ240" s="2">
        <f t="shared" si="344"/>
        <v>0</v>
      </c>
      <c r="AK240" s="2">
        <f t="shared" si="344"/>
        <v>0</v>
      </c>
      <c r="AL240" s="2">
        <f t="shared" si="344"/>
        <v>0</v>
      </c>
      <c r="AM240" s="2">
        <f t="shared" si="344"/>
        <v>0</v>
      </c>
      <c r="AN240" s="2">
        <f t="shared" si="344"/>
        <v>0</v>
      </c>
      <c r="AO240" s="2">
        <f t="shared" si="344"/>
        <v>0</v>
      </c>
      <c r="AP240" s="2">
        <f t="shared" si="344"/>
        <v>0</v>
      </c>
      <c r="AQ240" s="2">
        <f t="shared" si="344"/>
        <v>0</v>
      </c>
      <c r="AR240" s="2">
        <f t="shared" si="344"/>
        <v>0</v>
      </c>
      <c r="AS240" s="2">
        <f t="shared" si="344"/>
        <v>0</v>
      </c>
      <c r="AT240" s="2">
        <f t="shared" si="344"/>
        <v>0</v>
      </c>
      <c r="AU240" s="54">
        <f t="shared" si="344"/>
        <v>0</v>
      </c>
      <c r="AV240" s="2">
        <f t="shared" si="344"/>
        <v>0</v>
      </c>
      <c r="AW240" s="2">
        <f t="shared" si="344"/>
        <v>0</v>
      </c>
      <c r="AX240" s="2">
        <f t="shared" si="344"/>
        <v>0</v>
      </c>
      <c r="AY240" s="2">
        <f t="shared" si="344"/>
        <v>0</v>
      </c>
      <c r="AZ240" s="2">
        <f t="shared" si="344"/>
        <v>0</v>
      </c>
      <c r="BA240" s="2">
        <f t="shared" si="344"/>
        <v>0</v>
      </c>
      <c r="BB240" s="2">
        <f t="shared" si="344"/>
        <v>0</v>
      </c>
      <c r="BC240" s="2">
        <f t="shared" si="344"/>
        <v>0</v>
      </c>
      <c r="BD240" s="2">
        <f t="shared" si="344"/>
        <v>0</v>
      </c>
      <c r="BE240" s="2">
        <f t="shared" si="344"/>
        <v>0</v>
      </c>
      <c r="BF240" s="2">
        <f t="shared" si="344"/>
        <v>0</v>
      </c>
      <c r="BG240" s="2">
        <f t="shared" si="344"/>
        <v>0</v>
      </c>
      <c r="BH240" s="2">
        <f t="shared" si="344"/>
        <v>0</v>
      </c>
      <c r="BI240" s="2">
        <f t="shared" si="344"/>
        <v>0</v>
      </c>
      <c r="BJ240" s="2">
        <f t="shared" si="344"/>
        <v>0</v>
      </c>
      <c r="BK240" s="2" t="e">
        <f t="shared" si="344"/>
        <v>#DIV/0!</v>
      </c>
      <c r="BM240" s="2">
        <f t="shared" si="343"/>
        <v>0</v>
      </c>
    </row>
    <row r="241" spans="1:65">
      <c r="A241" s="1" t="s">
        <v>52</v>
      </c>
      <c r="B241" s="54">
        <f>IF(B238=1, IF(B183&gt;6.5, IF(B183&lt;=7.5, 1, 0), 0), 0)</f>
        <v>0</v>
      </c>
      <c r="C241" s="2">
        <f t="shared" ref="C241:BM241" si="345">IF(C238=1, IF(C183&gt;6.5, IF(C183&lt;=7.5, 1, 0), 0), 0)</f>
        <v>0</v>
      </c>
      <c r="D241" s="2">
        <f t="shared" si="345"/>
        <v>0</v>
      </c>
      <c r="E241" s="2">
        <f t="shared" si="345"/>
        <v>0</v>
      </c>
      <c r="F241" s="2">
        <f t="shared" si="345"/>
        <v>0</v>
      </c>
      <c r="G241" s="2">
        <f t="shared" si="345"/>
        <v>0</v>
      </c>
      <c r="H241" s="2">
        <f t="shared" si="345"/>
        <v>0</v>
      </c>
      <c r="I241" s="2">
        <f t="shared" si="345"/>
        <v>0</v>
      </c>
      <c r="J241" s="2">
        <f t="shared" si="345"/>
        <v>0</v>
      </c>
      <c r="K241" s="54">
        <f t="shared" si="345"/>
        <v>0</v>
      </c>
      <c r="L241" s="2">
        <f t="shared" si="345"/>
        <v>0</v>
      </c>
      <c r="M241" s="2">
        <f t="shared" si="345"/>
        <v>0</v>
      </c>
      <c r="N241" s="2">
        <f t="shared" si="345"/>
        <v>0</v>
      </c>
      <c r="O241" s="2">
        <f t="shared" si="345"/>
        <v>0</v>
      </c>
      <c r="P241" s="2">
        <f t="shared" si="345"/>
        <v>0</v>
      </c>
      <c r="Q241" s="54">
        <f t="shared" si="345"/>
        <v>0</v>
      </c>
      <c r="R241" s="2">
        <f t="shared" si="345"/>
        <v>0</v>
      </c>
      <c r="S241" s="2">
        <f t="shared" si="345"/>
        <v>0</v>
      </c>
      <c r="T241" s="2">
        <f t="shared" si="345"/>
        <v>0</v>
      </c>
      <c r="U241" s="2">
        <f t="shared" ref="U241:BK241" si="346">IF(U238=1, IF(U183&gt;6.5, IF(U183&lt;=7.5, 1, 0), 0), 0)</f>
        <v>0</v>
      </c>
      <c r="V241" s="2">
        <f t="shared" si="346"/>
        <v>0</v>
      </c>
      <c r="W241" s="2">
        <f t="shared" si="346"/>
        <v>0</v>
      </c>
      <c r="X241" s="2">
        <f t="shared" si="346"/>
        <v>0</v>
      </c>
      <c r="Y241" s="54">
        <f t="shared" si="346"/>
        <v>0</v>
      </c>
      <c r="Z241" s="2">
        <f t="shared" si="346"/>
        <v>0</v>
      </c>
      <c r="AA241" s="54">
        <f t="shared" si="346"/>
        <v>0</v>
      </c>
      <c r="AB241" s="2">
        <f t="shared" si="346"/>
        <v>0</v>
      </c>
      <c r="AC241" s="2">
        <f t="shared" si="346"/>
        <v>0</v>
      </c>
      <c r="AD241" s="2">
        <f t="shared" si="346"/>
        <v>0</v>
      </c>
      <c r="AE241" s="2">
        <f t="shared" si="346"/>
        <v>0</v>
      </c>
      <c r="AF241" s="2">
        <f t="shared" si="346"/>
        <v>0</v>
      </c>
      <c r="AG241" s="2">
        <f t="shared" si="346"/>
        <v>0</v>
      </c>
      <c r="AH241" s="2">
        <f t="shared" si="346"/>
        <v>0</v>
      </c>
      <c r="AI241" s="2">
        <f t="shared" si="346"/>
        <v>0</v>
      </c>
      <c r="AJ241" s="2">
        <f t="shared" si="346"/>
        <v>0</v>
      </c>
      <c r="AK241" s="2">
        <f t="shared" si="346"/>
        <v>0</v>
      </c>
      <c r="AL241" s="2">
        <f t="shared" si="346"/>
        <v>0</v>
      </c>
      <c r="AM241" s="2">
        <f t="shared" si="346"/>
        <v>0</v>
      </c>
      <c r="AN241" s="2">
        <f t="shared" si="346"/>
        <v>0</v>
      </c>
      <c r="AO241" s="2">
        <f t="shared" si="346"/>
        <v>0</v>
      </c>
      <c r="AP241" s="2">
        <f t="shared" si="346"/>
        <v>0</v>
      </c>
      <c r="AQ241" s="2">
        <f t="shared" si="346"/>
        <v>0</v>
      </c>
      <c r="AR241" s="2">
        <f t="shared" si="346"/>
        <v>0</v>
      </c>
      <c r="AS241" s="2">
        <f t="shared" si="346"/>
        <v>0</v>
      </c>
      <c r="AT241" s="2">
        <f t="shared" si="346"/>
        <v>0</v>
      </c>
      <c r="AU241" s="54">
        <f t="shared" si="346"/>
        <v>0</v>
      </c>
      <c r="AV241" s="2">
        <f t="shared" si="346"/>
        <v>0</v>
      </c>
      <c r="AW241" s="2">
        <f t="shared" si="346"/>
        <v>0</v>
      </c>
      <c r="AX241" s="2">
        <f t="shared" si="346"/>
        <v>0</v>
      </c>
      <c r="AY241" s="2">
        <f t="shared" si="346"/>
        <v>0</v>
      </c>
      <c r="AZ241" s="2">
        <f t="shared" si="346"/>
        <v>0</v>
      </c>
      <c r="BA241" s="2">
        <f t="shared" si="346"/>
        <v>0</v>
      </c>
      <c r="BB241" s="2">
        <f t="shared" si="346"/>
        <v>0</v>
      </c>
      <c r="BC241" s="2">
        <f t="shared" si="346"/>
        <v>0</v>
      </c>
      <c r="BD241" s="2">
        <f t="shared" si="346"/>
        <v>0</v>
      </c>
      <c r="BE241" s="2">
        <f t="shared" si="346"/>
        <v>0</v>
      </c>
      <c r="BF241" s="2">
        <f t="shared" si="346"/>
        <v>0</v>
      </c>
      <c r="BG241" s="2">
        <f t="shared" si="346"/>
        <v>0</v>
      </c>
      <c r="BH241" s="2">
        <f t="shared" si="346"/>
        <v>0</v>
      </c>
      <c r="BI241" s="2">
        <f t="shared" si="346"/>
        <v>0</v>
      </c>
      <c r="BJ241" s="2">
        <f t="shared" si="346"/>
        <v>0</v>
      </c>
      <c r="BK241" s="2" t="e">
        <f t="shared" si="346"/>
        <v>#DIV/0!</v>
      </c>
      <c r="BM241" s="2">
        <f t="shared" si="345"/>
        <v>0</v>
      </c>
    </row>
    <row r="242" spans="1:65">
      <c r="A242" s="37" t="s">
        <v>53</v>
      </c>
      <c r="B242" s="54">
        <f>IF(B241=1, IF(B182&gt;0.5, 53, 54), 0)</f>
        <v>0</v>
      </c>
      <c r="C242" s="2">
        <f t="shared" ref="C242:BM242" si="347">IF(C241=1, IF(C182&gt;0.5, 53, 54), 0)</f>
        <v>0</v>
      </c>
      <c r="D242" s="2">
        <f t="shared" si="347"/>
        <v>0</v>
      </c>
      <c r="E242" s="2">
        <f t="shared" si="347"/>
        <v>0</v>
      </c>
      <c r="F242" s="2">
        <f t="shared" si="347"/>
        <v>0</v>
      </c>
      <c r="G242" s="2">
        <f t="shared" si="347"/>
        <v>0</v>
      </c>
      <c r="H242" s="2">
        <f t="shared" si="347"/>
        <v>0</v>
      </c>
      <c r="I242" s="2">
        <f t="shared" si="347"/>
        <v>0</v>
      </c>
      <c r="J242" s="2">
        <f t="shared" si="347"/>
        <v>0</v>
      </c>
      <c r="K242" s="54">
        <f t="shared" si="347"/>
        <v>0</v>
      </c>
      <c r="L242" s="2">
        <f t="shared" si="347"/>
        <v>0</v>
      </c>
      <c r="M242" s="2">
        <f t="shared" si="347"/>
        <v>0</v>
      </c>
      <c r="N242" s="2">
        <f t="shared" si="347"/>
        <v>0</v>
      </c>
      <c r="O242" s="2">
        <f t="shared" si="347"/>
        <v>0</v>
      </c>
      <c r="P242" s="2">
        <f t="shared" si="347"/>
        <v>0</v>
      </c>
      <c r="Q242" s="54">
        <f t="shared" si="347"/>
        <v>0</v>
      </c>
      <c r="R242" s="2">
        <f t="shared" si="347"/>
        <v>0</v>
      </c>
      <c r="S242" s="2">
        <f t="shared" si="347"/>
        <v>0</v>
      </c>
      <c r="T242" s="2">
        <f t="shared" si="347"/>
        <v>0</v>
      </c>
      <c r="U242" s="2">
        <f t="shared" ref="U242:BK242" si="348">IF(U241=1, IF(U182&gt;0.5, 53, 54), 0)</f>
        <v>0</v>
      </c>
      <c r="V242" s="2">
        <f t="shared" si="348"/>
        <v>0</v>
      </c>
      <c r="W242" s="2">
        <f t="shared" si="348"/>
        <v>0</v>
      </c>
      <c r="X242" s="2">
        <f t="shared" si="348"/>
        <v>0</v>
      </c>
      <c r="Y242" s="54">
        <f t="shared" si="348"/>
        <v>0</v>
      </c>
      <c r="Z242" s="2">
        <f t="shared" si="348"/>
        <v>0</v>
      </c>
      <c r="AA242" s="54">
        <f t="shared" si="348"/>
        <v>0</v>
      </c>
      <c r="AB242" s="2">
        <f t="shared" si="348"/>
        <v>0</v>
      </c>
      <c r="AC242" s="2">
        <f t="shared" si="348"/>
        <v>0</v>
      </c>
      <c r="AD242" s="2">
        <f t="shared" si="348"/>
        <v>0</v>
      </c>
      <c r="AE242" s="2">
        <f t="shared" si="348"/>
        <v>0</v>
      </c>
      <c r="AF242" s="2">
        <f t="shared" si="348"/>
        <v>0</v>
      </c>
      <c r="AG242" s="2">
        <f t="shared" si="348"/>
        <v>0</v>
      </c>
      <c r="AH242" s="2">
        <f t="shared" si="348"/>
        <v>0</v>
      </c>
      <c r="AI242" s="2">
        <f t="shared" si="348"/>
        <v>0</v>
      </c>
      <c r="AJ242" s="2">
        <f t="shared" si="348"/>
        <v>0</v>
      </c>
      <c r="AK242" s="2">
        <f t="shared" si="348"/>
        <v>0</v>
      </c>
      <c r="AL242" s="2">
        <f t="shared" si="348"/>
        <v>0</v>
      </c>
      <c r="AM242" s="2">
        <f t="shared" si="348"/>
        <v>0</v>
      </c>
      <c r="AN242" s="2">
        <f t="shared" si="348"/>
        <v>0</v>
      </c>
      <c r="AO242" s="2">
        <f t="shared" si="348"/>
        <v>0</v>
      </c>
      <c r="AP242" s="2">
        <f t="shared" si="348"/>
        <v>0</v>
      </c>
      <c r="AQ242" s="2">
        <f t="shared" si="348"/>
        <v>0</v>
      </c>
      <c r="AR242" s="2">
        <f t="shared" si="348"/>
        <v>0</v>
      </c>
      <c r="AS242" s="2">
        <f t="shared" si="348"/>
        <v>0</v>
      </c>
      <c r="AT242" s="2">
        <f t="shared" si="348"/>
        <v>0</v>
      </c>
      <c r="AU242" s="54">
        <f t="shared" si="348"/>
        <v>0</v>
      </c>
      <c r="AV242" s="2">
        <f t="shared" si="348"/>
        <v>0</v>
      </c>
      <c r="AW242" s="2">
        <f t="shared" si="348"/>
        <v>0</v>
      </c>
      <c r="AX242" s="2">
        <f t="shared" si="348"/>
        <v>0</v>
      </c>
      <c r="AY242" s="2">
        <f t="shared" si="348"/>
        <v>0</v>
      </c>
      <c r="AZ242" s="2">
        <f t="shared" si="348"/>
        <v>0</v>
      </c>
      <c r="BA242" s="2">
        <f t="shared" si="348"/>
        <v>0</v>
      </c>
      <c r="BB242" s="2">
        <f t="shared" si="348"/>
        <v>0</v>
      </c>
      <c r="BC242" s="2">
        <f t="shared" si="348"/>
        <v>0</v>
      </c>
      <c r="BD242" s="2">
        <f t="shared" si="348"/>
        <v>0</v>
      </c>
      <c r="BE242" s="2">
        <f t="shared" si="348"/>
        <v>0</v>
      </c>
      <c r="BF242" s="2">
        <f t="shared" si="348"/>
        <v>0</v>
      </c>
      <c r="BG242" s="2">
        <f t="shared" si="348"/>
        <v>0</v>
      </c>
      <c r="BH242" s="2">
        <f t="shared" si="348"/>
        <v>0</v>
      </c>
      <c r="BI242" s="2">
        <f t="shared" si="348"/>
        <v>0</v>
      </c>
      <c r="BJ242" s="2">
        <f t="shared" si="348"/>
        <v>0</v>
      </c>
      <c r="BK242" s="2" t="e">
        <f t="shared" si="348"/>
        <v>#DIV/0!</v>
      </c>
      <c r="BM242" s="2">
        <f t="shared" si="347"/>
        <v>0</v>
      </c>
    </row>
    <row r="243" spans="1:65">
      <c r="A243" s="1" t="s">
        <v>54</v>
      </c>
      <c r="B243" s="54">
        <f>IF(B238=1, IF(B183&lt;=6.5, 1, 0), 0)</f>
        <v>0</v>
      </c>
      <c r="C243" s="2">
        <f t="shared" ref="C243:BM243" si="349">IF(C238=1, IF(C183&lt;=6.5, 1, 0), 0)</f>
        <v>0</v>
      </c>
      <c r="D243" s="2">
        <f t="shared" si="349"/>
        <v>0</v>
      </c>
      <c r="E243" s="2">
        <f t="shared" si="349"/>
        <v>0</v>
      </c>
      <c r="F243" s="2">
        <f t="shared" si="349"/>
        <v>0</v>
      </c>
      <c r="G243" s="2">
        <f t="shared" si="349"/>
        <v>0</v>
      </c>
      <c r="H243" s="2">
        <f t="shared" si="349"/>
        <v>0</v>
      </c>
      <c r="I243" s="2">
        <f t="shared" si="349"/>
        <v>0</v>
      </c>
      <c r="J243" s="2">
        <f t="shared" si="349"/>
        <v>0</v>
      </c>
      <c r="K243" s="54">
        <f t="shared" si="349"/>
        <v>0</v>
      </c>
      <c r="L243" s="2">
        <f t="shared" si="349"/>
        <v>0</v>
      </c>
      <c r="M243" s="2">
        <f t="shared" si="349"/>
        <v>0</v>
      </c>
      <c r="N243" s="2">
        <f t="shared" si="349"/>
        <v>0</v>
      </c>
      <c r="O243" s="2">
        <f t="shared" si="349"/>
        <v>0</v>
      </c>
      <c r="P243" s="2">
        <f t="shared" si="349"/>
        <v>0</v>
      </c>
      <c r="Q243" s="54">
        <f t="shared" si="349"/>
        <v>0</v>
      </c>
      <c r="R243" s="2">
        <f t="shared" si="349"/>
        <v>0</v>
      </c>
      <c r="S243" s="2">
        <f t="shared" si="349"/>
        <v>0</v>
      </c>
      <c r="T243" s="2">
        <f t="shared" si="349"/>
        <v>0</v>
      </c>
      <c r="U243" s="2">
        <f t="shared" ref="U243:BK243" si="350">IF(U238=1, IF(U183&lt;=6.5, 1, 0), 0)</f>
        <v>0</v>
      </c>
      <c r="V243" s="2">
        <f t="shared" si="350"/>
        <v>0</v>
      </c>
      <c r="W243" s="2">
        <f t="shared" si="350"/>
        <v>0</v>
      </c>
      <c r="X243" s="2">
        <f t="shared" si="350"/>
        <v>0</v>
      </c>
      <c r="Y243" s="54">
        <f t="shared" si="350"/>
        <v>0</v>
      </c>
      <c r="Z243" s="2">
        <f t="shared" si="350"/>
        <v>0</v>
      </c>
      <c r="AA243" s="54">
        <f t="shared" si="350"/>
        <v>0</v>
      </c>
      <c r="AB243" s="2">
        <f t="shared" si="350"/>
        <v>0</v>
      </c>
      <c r="AC243" s="2">
        <f t="shared" si="350"/>
        <v>0</v>
      </c>
      <c r="AD243" s="2">
        <f t="shared" si="350"/>
        <v>0</v>
      </c>
      <c r="AE243" s="2">
        <f t="shared" si="350"/>
        <v>0</v>
      </c>
      <c r="AF243" s="2">
        <f t="shared" si="350"/>
        <v>0</v>
      </c>
      <c r="AG243" s="2">
        <f t="shared" si="350"/>
        <v>0</v>
      </c>
      <c r="AH243" s="2">
        <f t="shared" si="350"/>
        <v>0</v>
      </c>
      <c r="AI243" s="2">
        <f t="shared" si="350"/>
        <v>0</v>
      </c>
      <c r="AJ243" s="2">
        <f t="shared" si="350"/>
        <v>0</v>
      </c>
      <c r="AK243" s="2">
        <f t="shared" si="350"/>
        <v>0</v>
      </c>
      <c r="AL243" s="2">
        <f t="shared" si="350"/>
        <v>0</v>
      </c>
      <c r="AM243" s="2">
        <f t="shared" si="350"/>
        <v>0</v>
      </c>
      <c r="AN243" s="2">
        <f t="shared" si="350"/>
        <v>0</v>
      </c>
      <c r="AO243" s="2">
        <f t="shared" si="350"/>
        <v>0</v>
      </c>
      <c r="AP243" s="2">
        <f t="shared" si="350"/>
        <v>0</v>
      </c>
      <c r="AQ243" s="2">
        <f t="shared" si="350"/>
        <v>0</v>
      </c>
      <c r="AR243" s="2">
        <f t="shared" si="350"/>
        <v>0</v>
      </c>
      <c r="AS243" s="2">
        <f t="shared" si="350"/>
        <v>0</v>
      </c>
      <c r="AT243" s="2">
        <f t="shared" si="350"/>
        <v>0</v>
      </c>
      <c r="AU243" s="54">
        <f t="shared" si="350"/>
        <v>0</v>
      </c>
      <c r="AV243" s="2">
        <f t="shared" si="350"/>
        <v>0</v>
      </c>
      <c r="AW243" s="2">
        <f t="shared" si="350"/>
        <v>0</v>
      </c>
      <c r="AX243" s="2">
        <f t="shared" si="350"/>
        <v>0</v>
      </c>
      <c r="AY243" s="2">
        <f t="shared" si="350"/>
        <v>0</v>
      </c>
      <c r="AZ243" s="2">
        <f t="shared" si="350"/>
        <v>0</v>
      </c>
      <c r="BA243" s="2">
        <f t="shared" si="350"/>
        <v>0</v>
      </c>
      <c r="BB243" s="2">
        <f t="shared" si="350"/>
        <v>0</v>
      </c>
      <c r="BC243" s="2">
        <f t="shared" si="350"/>
        <v>0</v>
      </c>
      <c r="BD243" s="2">
        <f t="shared" si="350"/>
        <v>0</v>
      </c>
      <c r="BE243" s="2">
        <f t="shared" si="350"/>
        <v>0</v>
      </c>
      <c r="BF243" s="2">
        <f t="shared" si="350"/>
        <v>0</v>
      </c>
      <c r="BG243" s="2">
        <f t="shared" si="350"/>
        <v>0</v>
      </c>
      <c r="BH243" s="2">
        <f t="shared" si="350"/>
        <v>0</v>
      </c>
      <c r="BI243" s="2">
        <f t="shared" si="350"/>
        <v>0</v>
      </c>
      <c r="BJ243" s="2">
        <f t="shared" si="350"/>
        <v>0</v>
      </c>
      <c r="BK243" s="2" t="e">
        <f t="shared" si="350"/>
        <v>#DIV/0!</v>
      </c>
      <c r="BM243" s="2">
        <f t="shared" si="349"/>
        <v>0</v>
      </c>
    </row>
    <row r="244" spans="1:65">
      <c r="A244" s="37" t="s">
        <v>147</v>
      </c>
      <c r="B244" s="54">
        <f>IF(B243=1, IF(B182&gt;0.5, 55, 56), 0)</f>
        <v>0</v>
      </c>
      <c r="C244" s="2">
        <f t="shared" ref="C244:BM244" si="351">IF(C243=1, IF(C182&gt;0.5, 55, 56), 0)</f>
        <v>0</v>
      </c>
      <c r="D244" s="2">
        <f t="shared" si="351"/>
        <v>0</v>
      </c>
      <c r="E244" s="2">
        <f t="shared" si="351"/>
        <v>0</v>
      </c>
      <c r="F244" s="2">
        <f t="shared" si="351"/>
        <v>0</v>
      </c>
      <c r="G244" s="2">
        <f t="shared" si="351"/>
        <v>0</v>
      </c>
      <c r="H244" s="2">
        <f t="shared" si="351"/>
        <v>0</v>
      </c>
      <c r="I244" s="2">
        <f t="shared" si="351"/>
        <v>0</v>
      </c>
      <c r="J244" s="2">
        <f t="shared" si="351"/>
        <v>0</v>
      </c>
      <c r="K244" s="54">
        <f t="shared" si="351"/>
        <v>0</v>
      </c>
      <c r="L244" s="2">
        <f t="shared" si="351"/>
        <v>0</v>
      </c>
      <c r="M244" s="2">
        <f t="shared" si="351"/>
        <v>0</v>
      </c>
      <c r="N244" s="2">
        <f t="shared" si="351"/>
        <v>0</v>
      </c>
      <c r="O244" s="2">
        <f t="shared" si="351"/>
        <v>0</v>
      </c>
      <c r="P244" s="2">
        <f t="shared" si="351"/>
        <v>0</v>
      </c>
      <c r="Q244" s="54">
        <f t="shared" si="351"/>
        <v>0</v>
      </c>
      <c r="R244" s="2">
        <f t="shared" si="351"/>
        <v>0</v>
      </c>
      <c r="S244" s="2">
        <f t="shared" si="351"/>
        <v>0</v>
      </c>
      <c r="T244" s="2">
        <f t="shared" si="351"/>
        <v>0</v>
      </c>
      <c r="U244" s="2">
        <f t="shared" ref="U244:BK244" si="352">IF(U243=1, IF(U182&gt;0.5, 55, 56), 0)</f>
        <v>0</v>
      </c>
      <c r="V244" s="2">
        <f t="shared" si="352"/>
        <v>0</v>
      </c>
      <c r="W244" s="2">
        <f t="shared" si="352"/>
        <v>0</v>
      </c>
      <c r="X244" s="2">
        <f t="shared" si="352"/>
        <v>0</v>
      </c>
      <c r="Y244" s="54">
        <f t="shared" si="352"/>
        <v>0</v>
      </c>
      <c r="Z244" s="2">
        <f t="shared" si="352"/>
        <v>0</v>
      </c>
      <c r="AA244" s="54">
        <f t="shared" si="352"/>
        <v>0</v>
      </c>
      <c r="AB244" s="2">
        <f t="shared" si="352"/>
        <v>0</v>
      </c>
      <c r="AC244" s="2">
        <f t="shared" si="352"/>
        <v>0</v>
      </c>
      <c r="AD244" s="2">
        <f t="shared" si="352"/>
        <v>0</v>
      </c>
      <c r="AE244" s="2">
        <f t="shared" si="352"/>
        <v>0</v>
      </c>
      <c r="AF244" s="2">
        <f t="shared" si="352"/>
        <v>0</v>
      </c>
      <c r="AG244" s="2">
        <f t="shared" si="352"/>
        <v>0</v>
      </c>
      <c r="AH244" s="2">
        <f t="shared" si="352"/>
        <v>0</v>
      </c>
      <c r="AI244" s="2">
        <f t="shared" si="352"/>
        <v>0</v>
      </c>
      <c r="AJ244" s="2">
        <f t="shared" si="352"/>
        <v>0</v>
      </c>
      <c r="AK244" s="2">
        <f t="shared" si="352"/>
        <v>0</v>
      </c>
      <c r="AL244" s="2">
        <f t="shared" si="352"/>
        <v>0</v>
      </c>
      <c r="AM244" s="2">
        <f t="shared" si="352"/>
        <v>0</v>
      </c>
      <c r="AN244" s="2">
        <f t="shared" si="352"/>
        <v>0</v>
      </c>
      <c r="AO244" s="2">
        <f t="shared" si="352"/>
        <v>0</v>
      </c>
      <c r="AP244" s="2">
        <f t="shared" si="352"/>
        <v>0</v>
      </c>
      <c r="AQ244" s="2">
        <f t="shared" si="352"/>
        <v>0</v>
      </c>
      <c r="AR244" s="2">
        <f t="shared" si="352"/>
        <v>0</v>
      </c>
      <c r="AS244" s="2">
        <f t="shared" si="352"/>
        <v>0</v>
      </c>
      <c r="AT244" s="2">
        <f t="shared" si="352"/>
        <v>0</v>
      </c>
      <c r="AU244" s="54">
        <f t="shared" si="352"/>
        <v>0</v>
      </c>
      <c r="AV244" s="2">
        <f t="shared" si="352"/>
        <v>0</v>
      </c>
      <c r="AW244" s="2">
        <f t="shared" si="352"/>
        <v>0</v>
      </c>
      <c r="AX244" s="2">
        <f t="shared" si="352"/>
        <v>0</v>
      </c>
      <c r="AY244" s="2">
        <f t="shared" si="352"/>
        <v>0</v>
      </c>
      <c r="AZ244" s="2">
        <f t="shared" si="352"/>
        <v>0</v>
      </c>
      <c r="BA244" s="2">
        <f t="shared" si="352"/>
        <v>0</v>
      </c>
      <c r="BB244" s="2">
        <f t="shared" si="352"/>
        <v>0</v>
      </c>
      <c r="BC244" s="2">
        <f t="shared" si="352"/>
        <v>0</v>
      </c>
      <c r="BD244" s="2">
        <f t="shared" si="352"/>
        <v>0</v>
      </c>
      <c r="BE244" s="2">
        <f t="shared" si="352"/>
        <v>0</v>
      </c>
      <c r="BF244" s="2">
        <f t="shared" si="352"/>
        <v>0</v>
      </c>
      <c r="BG244" s="2">
        <f t="shared" si="352"/>
        <v>0</v>
      </c>
      <c r="BH244" s="2">
        <f t="shared" si="352"/>
        <v>0</v>
      </c>
      <c r="BI244" s="2">
        <f t="shared" si="352"/>
        <v>0</v>
      </c>
      <c r="BJ244" s="2">
        <f t="shared" si="352"/>
        <v>0</v>
      </c>
      <c r="BK244" s="2" t="e">
        <f t="shared" si="352"/>
        <v>#DIV/0!</v>
      </c>
      <c r="BM244" s="2">
        <f t="shared" si="351"/>
        <v>0</v>
      </c>
    </row>
    <row r="245" spans="1:65">
      <c r="A245" s="43" t="s">
        <v>148</v>
      </c>
    </row>
    <row r="246" spans="1:65">
      <c r="A246" s="48" t="s">
        <v>170</v>
      </c>
      <c r="B246" s="54">
        <f>IF(B180&gt;=1.34, 1, 0)</f>
        <v>0</v>
      </c>
      <c r="C246" s="2">
        <f t="shared" ref="C246:BM246" si="353">IF(C180&gt;=1.34, 1, 0)</f>
        <v>0</v>
      </c>
      <c r="D246" s="2">
        <f t="shared" si="353"/>
        <v>0</v>
      </c>
      <c r="E246" s="2">
        <f t="shared" si="353"/>
        <v>0</v>
      </c>
      <c r="F246" s="2">
        <f t="shared" si="353"/>
        <v>0</v>
      </c>
      <c r="G246" s="2">
        <f t="shared" si="353"/>
        <v>0</v>
      </c>
      <c r="H246" s="2">
        <f t="shared" si="353"/>
        <v>0</v>
      </c>
      <c r="I246" s="2">
        <f t="shared" si="353"/>
        <v>0</v>
      </c>
      <c r="J246" s="2">
        <f t="shared" si="353"/>
        <v>0</v>
      </c>
      <c r="K246" s="54">
        <f t="shared" si="353"/>
        <v>0</v>
      </c>
      <c r="L246" s="2">
        <f t="shared" si="353"/>
        <v>0</v>
      </c>
      <c r="M246" s="2">
        <f t="shared" si="353"/>
        <v>0</v>
      </c>
      <c r="N246" s="2">
        <f t="shared" si="353"/>
        <v>0</v>
      </c>
      <c r="O246" s="2">
        <f t="shared" si="353"/>
        <v>0</v>
      </c>
      <c r="P246" s="2">
        <f t="shared" si="353"/>
        <v>0</v>
      </c>
      <c r="Q246" s="54">
        <f t="shared" si="353"/>
        <v>0</v>
      </c>
      <c r="R246" s="2">
        <f t="shared" si="353"/>
        <v>0</v>
      </c>
      <c r="S246" s="2">
        <f t="shared" si="353"/>
        <v>0</v>
      </c>
      <c r="T246" s="2">
        <f t="shared" si="353"/>
        <v>0</v>
      </c>
      <c r="U246" s="2">
        <f t="shared" ref="U246:BK246" si="354">IF(U180&gt;=1.34, 1, 0)</f>
        <v>0</v>
      </c>
      <c r="V246" s="2">
        <f t="shared" si="354"/>
        <v>0</v>
      </c>
      <c r="W246" s="2">
        <f t="shared" si="354"/>
        <v>0</v>
      </c>
      <c r="X246" s="2">
        <f t="shared" si="354"/>
        <v>0</v>
      </c>
      <c r="Y246" s="54">
        <f t="shared" si="354"/>
        <v>0</v>
      </c>
      <c r="Z246" s="2">
        <f t="shared" si="354"/>
        <v>0</v>
      </c>
      <c r="AA246" s="54">
        <f t="shared" si="354"/>
        <v>0</v>
      </c>
      <c r="AB246" s="2">
        <f t="shared" si="354"/>
        <v>0</v>
      </c>
      <c r="AC246" s="2">
        <f t="shared" si="354"/>
        <v>0</v>
      </c>
      <c r="AD246" s="2">
        <f t="shared" si="354"/>
        <v>0</v>
      </c>
      <c r="AE246" s="2">
        <f t="shared" si="354"/>
        <v>0</v>
      </c>
      <c r="AF246" s="2">
        <f t="shared" si="354"/>
        <v>0</v>
      </c>
      <c r="AG246" s="2">
        <f t="shared" si="354"/>
        <v>0</v>
      </c>
      <c r="AH246" s="2">
        <f t="shared" si="354"/>
        <v>0</v>
      </c>
      <c r="AI246" s="2">
        <f t="shared" si="354"/>
        <v>0</v>
      </c>
      <c r="AJ246" s="2">
        <f t="shared" si="354"/>
        <v>0</v>
      </c>
      <c r="AK246" s="2">
        <f t="shared" si="354"/>
        <v>0</v>
      </c>
      <c r="AL246" s="2">
        <f t="shared" si="354"/>
        <v>0</v>
      </c>
      <c r="AM246" s="2">
        <f t="shared" si="354"/>
        <v>0</v>
      </c>
      <c r="AN246" s="2">
        <f t="shared" si="354"/>
        <v>0</v>
      </c>
      <c r="AO246" s="2">
        <f t="shared" si="354"/>
        <v>0</v>
      </c>
      <c r="AP246" s="2">
        <f t="shared" si="354"/>
        <v>0</v>
      </c>
      <c r="AQ246" s="2">
        <f t="shared" si="354"/>
        <v>0</v>
      </c>
      <c r="AR246" s="2">
        <f t="shared" si="354"/>
        <v>0</v>
      </c>
      <c r="AS246" s="2">
        <f t="shared" si="354"/>
        <v>0</v>
      </c>
      <c r="AT246" s="2">
        <f t="shared" si="354"/>
        <v>0</v>
      </c>
      <c r="AU246" s="54">
        <f t="shared" si="354"/>
        <v>0</v>
      </c>
      <c r="AV246" s="2">
        <f t="shared" si="354"/>
        <v>0</v>
      </c>
      <c r="AW246" s="2">
        <f t="shared" si="354"/>
        <v>0</v>
      </c>
      <c r="AX246" s="2">
        <f t="shared" si="354"/>
        <v>0</v>
      </c>
      <c r="AY246" s="2">
        <f t="shared" si="354"/>
        <v>0</v>
      </c>
      <c r="AZ246" s="2">
        <f t="shared" si="354"/>
        <v>0</v>
      </c>
      <c r="BA246" s="2">
        <f t="shared" si="354"/>
        <v>0</v>
      </c>
      <c r="BB246" s="2">
        <f t="shared" si="354"/>
        <v>0</v>
      </c>
      <c r="BC246" s="2">
        <f t="shared" si="354"/>
        <v>0</v>
      </c>
      <c r="BD246" s="2">
        <f t="shared" si="354"/>
        <v>0</v>
      </c>
      <c r="BE246" s="2">
        <f t="shared" si="354"/>
        <v>0</v>
      </c>
      <c r="BF246" s="2">
        <f t="shared" si="354"/>
        <v>0</v>
      </c>
      <c r="BG246" s="2">
        <f t="shared" si="354"/>
        <v>0</v>
      </c>
      <c r="BH246" s="2">
        <f t="shared" si="354"/>
        <v>0</v>
      </c>
      <c r="BI246" s="2">
        <f t="shared" si="354"/>
        <v>0</v>
      </c>
      <c r="BJ246" s="2">
        <f t="shared" si="354"/>
        <v>0</v>
      </c>
      <c r="BK246" s="2" t="e">
        <f t="shared" si="354"/>
        <v>#DIV/0!</v>
      </c>
      <c r="BM246" s="2">
        <f t="shared" si="353"/>
        <v>0</v>
      </c>
    </row>
    <row r="247" spans="1:65">
      <c r="A247" s="38" t="s">
        <v>149</v>
      </c>
      <c r="B247" s="54">
        <f>IF(B246=1, IF(B181&gt;0.5, 1, 0), 0)</f>
        <v>0</v>
      </c>
      <c r="C247" s="2">
        <f t="shared" ref="C247:BM247" si="355">IF(C246=1, IF(C181&gt;0.5, 1, 0), 0)</f>
        <v>0</v>
      </c>
      <c r="D247" s="2">
        <f t="shared" si="355"/>
        <v>0</v>
      </c>
      <c r="E247" s="2">
        <f t="shared" si="355"/>
        <v>0</v>
      </c>
      <c r="F247" s="2">
        <f t="shared" si="355"/>
        <v>0</v>
      </c>
      <c r="G247" s="2">
        <f t="shared" si="355"/>
        <v>0</v>
      </c>
      <c r="H247" s="2">
        <f t="shared" si="355"/>
        <v>0</v>
      </c>
      <c r="I247" s="2">
        <f t="shared" si="355"/>
        <v>0</v>
      </c>
      <c r="J247" s="2">
        <f t="shared" si="355"/>
        <v>0</v>
      </c>
      <c r="K247" s="54">
        <f t="shared" si="355"/>
        <v>0</v>
      </c>
      <c r="L247" s="2">
        <f t="shared" si="355"/>
        <v>0</v>
      </c>
      <c r="M247" s="2">
        <f t="shared" si="355"/>
        <v>0</v>
      </c>
      <c r="N247" s="2">
        <f t="shared" si="355"/>
        <v>0</v>
      </c>
      <c r="O247" s="2">
        <f t="shared" si="355"/>
        <v>0</v>
      </c>
      <c r="P247" s="2">
        <f t="shared" si="355"/>
        <v>0</v>
      </c>
      <c r="Q247" s="54">
        <f t="shared" si="355"/>
        <v>0</v>
      </c>
      <c r="R247" s="2">
        <f t="shared" si="355"/>
        <v>0</v>
      </c>
      <c r="S247" s="2">
        <f t="shared" si="355"/>
        <v>0</v>
      </c>
      <c r="T247" s="2">
        <f t="shared" si="355"/>
        <v>0</v>
      </c>
      <c r="U247" s="2">
        <f t="shared" ref="U247:BK247" si="356">IF(U246=1, IF(U181&gt;0.5, 1, 0), 0)</f>
        <v>0</v>
      </c>
      <c r="V247" s="2">
        <f t="shared" si="356"/>
        <v>0</v>
      </c>
      <c r="W247" s="2">
        <f t="shared" si="356"/>
        <v>0</v>
      </c>
      <c r="X247" s="2">
        <f t="shared" si="356"/>
        <v>0</v>
      </c>
      <c r="Y247" s="54">
        <f t="shared" si="356"/>
        <v>0</v>
      </c>
      <c r="Z247" s="2">
        <f t="shared" si="356"/>
        <v>0</v>
      </c>
      <c r="AA247" s="54">
        <f t="shared" si="356"/>
        <v>0</v>
      </c>
      <c r="AB247" s="2">
        <f t="shared" si="356"/>
        <v>0</v>
      </c>
      <c r="AC247" s="2">
        <f t="shared" si="356"/>
        <v>0</v>
      </c>
      <c r="AD247" s="2">
        <f t="shared" si="356"/>
        <v>0</v>
      </c>
      <c r="AE247" s="2">
        <f t="shared" si="356"/>
        <v>0</v>
      </c>
      <c r="AF247" s="2">
        <f t="shared" si="356"/>
        <v>0</v>
      </c>
      <c r="AG247" s="2">
        <f t="shared" si="356"/>
        <v>0</v>
      </c>
      <c r="AH247" s="2">
        <f t="shared" si="356"/>
        <v>0</v>
      </c>
      <c r="AI247" s="2">
        <f t="shared" si="356"/>
        <v>0</v>
      </c>
      <c r="AJ247" s="2">
        <f t="shared" si="356"/>
        <v>0</v>
      </c>
      <c r="AK247" s="2">
        <f t="shared" si="356"/>
        <v>0</v>
      </c>
      <c r="AL247" s="2">
        <f t="shared" si="356"/>
        <v>0</v>
      </c>
      <c r="AM247" s="2">
        <f t="shared" si="356"/>
        <v>0</v>
      </c>
      <c r="AN247" s="2">
        <f t="shared" si="356"/>
        <v>0</v>
      </c>
      <c r="AO247" s="2">
        <f t="shared" si="356"/>
        <v>0</v>
      </c>
      <c r="AP247" s="2">
        <f t="shared" si="356"/>
        <v>0</v>
      </c>
      <c r="AQ247" s="2">
        <f t="shared" si="356"/>
        <v>0</v>
      </c>
      <c r="AR247" s="2">
        <f t="shared" si="356"/>
        <v>0</v>
      </c>
      <c r="AS247" s="2">
        <f t="shared" si="356"/>
        <v>0</v>
      </c>
      <c r="AT247" s="2">
        <f t="shared" si="356"/>
        <v>0</v>
      </c>
      <c r="AU247" s="54">
        <f t="shared" si="356"/>
        <v>0</v>
      </c>
      <c r="AV247" s="2">
        <f t="shared" si="356"/>
        <v>0</v>
      </c>
      <c r="AW247" s="2">
        <f t="shared" si="356"/>
        <v>0</v>
      </c>
      <c r="AX247" s="2">
        <f t="shared" si="356"/>
        <v>0</v>
      </c>
      <c r="AY247" s="2">
        <f t="shared" si="356"/>
        <v>0</v>
      </c>
      <c r="AZ247" s="2">
        <f t="shared" si="356"/>
        <v>0</v>
      </c>
      <c r="BA247" s="2">
        <f t="shared" si="356"/>
        <v>0</v>
      </c>
      <c r="BB247" s="2">
        <f t="shared" si="356"/>
        <v>0</v>
      </c>
      <c r="BC247" s="2">
        <f t="shared" si="356"/>
        <v>0</v>
      </c>
      <c r="BD247" s="2">
        <f t="shared" si="356"/>
        <v>0</v>
      </c>
      <c r="BE247" s="2">
        <f t="shared" si="356"/>
        <v>0</v>
      </c>
      <c r="BF247" s="2">
        <f t="shared" si="356"/>
        <v>0</v>
      </c>
      <c r="BG247" s="2">
        <f t="shared" si="356"/>
        <v>0</v>
      </c>
      <c r="BH247" s="2">
        <f t="shared" si="356"/>
        <v>0</v>
      </c>
      <c r="BI247" s="2">
        <f t="shared" si="356"/>
        <v>0</v>
      </c>
      <c r="BJ247" s="2">
        <f t="shared" si="356"/>
        <v>0</v>
      </c>
      <c r="BK247" s="2" t="e">
        <f t="shared" si="356"/>
        <v>#DIV/0!</v>
      </c>
      <c r="BM247" s="2">
        <f t="shared" si="355"/>
        <v>0</v>
      </c>
    </row>
    <row r="248" spans="1:65">
      <c r="A248" s="1" t="s">
        <v>135</v>
      </c>
      <c r="B248" s="54">
        <f>IF(B247=1, IF(B185&lt;0.5, 1, 0), 0)</f>
        <v>0</v>
      </c>
      <c r="C248" s="2">
        <f t="shared" ref="C248:BM248" si="357">IF(C247=1, IF(C185&lt;0.5, 1, 0), 0)</f>
        <v>0</v>
      </c>
      <c r="D248" s="2">
        <f t="shared" si="357"/>
        <v>0</v>
      </c>
      <c r="E248" s="2">
        <f t="shared" si="357"/>
        <v>0</v>
      </c>
      <c r="F248" s="2">
        <f t="shared" si="357"/>
        <v>0</v>
      </c>
      <c r="G248" s="2">
        <f t="shared" si="357"/>
        <v>0</v>
      </c>
      <c r="H248" s="2">
        <f t="shared" si="357"/>
        <v>0</v>
      </c>
      <c r="I248" s="2">
        <f t="shared" si="357"/>
        <v>0</v>
      </c>
      <c r="J248" s="2">
        <f t="shared" si="357"/>
        <v>0</v>
      </c>
      <c r="K248" s="54">
        <f t="shared" si="357"/>
        <v>0</v>
      </c>
      <c r="L248" s="2">
        <f t="shared" si="357"/>
        <v>0</v>
      </c>
      <c r="M248" s="2">
        <f t="shared" si="357"/>
        <v>0</v>
      </c>
      <c r="N248" s="2">
        <f t="shared" si="357"/>
        <v>0</v>
      </c>
      <c r="O248" s="2">
        <f t="shared" si="357"/>
        <v>0</v>
      </c>
      <c r="P248" s="2">
        <f t="shared" si="357"/>
        <v>0</v>
      </c>
      <c r="Q248" s="54">
        <f t="shared" si="357"/>
        <v>0</v>
      </c>
      <c r="R248" s="2">
        <f t="shared" si="357"/>
        <v>0</v>
      </c>
      <c r="S248" s="2">
        <f t="shared" si="357"/>
        <v>0</v>
      </c>
      <c r="T248" s="2">
        <f t="shared" si="357"/>
        <v>0</v>
      </c>
      <c r="U248" s="2">
        <f t="shared" ref="U248:BK248" si="358">IF(U247=1, IF(U185&lt;0.5, 1, 0), 0)</f>
        <v>0</v>
      </c>
      <c r="V248" s="2">
        <f t="shared" si="358"/>
        <v>0</v>
      </c>
      <c r="W248" s="2">
        <f t="shared" si="358"/>
        <v>0</v>
      </c>
      <c r="X248" s="2">
        <f t="shared" si="358"/>
        <v>0</v>
      </c>
      <c r="Y248" s="54">
        <f t="shared" si="358"/>
        <v>0</v>
      </c>
      <c r="Z248" s="2">
        <f t="shared" si="358"/>
        <v>0</v>
      </c>
      <c r="AA248" s="54">
        <f t="shared" si="358"/>
        <v>0</v>
      </c>
      <c r="AB248" s="2">
        <f t="shared" si="358"/>
        <v>0</v>
      </c>
      <c r="AC248" s="2">
        <f t="shared" si="358"/>
        <v>0</v>
      </c>
      <c r="AD248" s="2">
        <f t="shared" si="358"/>
        <v>0</v>
      </c>
      <c r="AE248" s="2">
        <f t="shared" si="358"/>
        <v>0</v>
      </c>
      <c r="AF248" s="2">
        <f t="shared" si="358"/>
        <v>0</v>
      </c>
      <c r="AG248" s="2">
        <f t="shared" si="358"/>
        <v>0</v>
      </c>
      <c r="AH248" s="2">
        <f t="shared" si="358"/>
        <v>0</v>
      </c>
      <c r="AI248" s="2">
        <f t="shared" si="358"/>
        <v>0</v>
      </c>
      <c r="AJ248" s="2">
        <f t="shared" si="358"/>
        <v>0</v>
      </c>
      <c r="AK248" s="2">
        <f t="shared" si="358"/>
        <v>0</v>
      </c>
      <c r="AL248" s="2">
        <f t="shared" si="358"/>
        <v>0</v>
      </c>
      <c r="AM248" s="2">
        <f t="shared" si="358"/>
        <v>0</v>
      </c>
      <c r="AN248" s="2">
        <f t="shared" si="358"/>
        <v>0</v>
      </c>
      <c r="AO248" s="2">
        <f t="shared" si="358"/>
        <v>0</v>
      </c>
      <c r="AP248" s="2">
        <f t="shared" si="358"/>
        <v>0</v>
      </c>
      <c r="AQ248" s="2">
        <f t="shared" si="358"/>
        <v>0</v>
      </c>
      <c r="AR248" s="2">
        <f t="shared" si="358"/>
        <v>0</v>
      </c>
      <c r="AS248" s="2">
        <f t="shared" si="358"/>
        <v>0</v>
      </c>
      <c r="AT248" s="2">
        <f t="shared" si="358"/>
        <v>0</v>
      </c>
      <c r="AU248" s="54">
        <f t="shared" si="358"/>
        <v>0</v>
      </c>
      <c r="AV248" s="2">
        <f t="shared" si="358"/>
        <v>0</v>
      </c>
      <c r="AW248" s="2">
        <f t="shared" si="358"/>
        <v>0</v>
      </c>
      <c r="AX248" s="2">
        <f t="shared" si="358"/>
        <v>0</v>
      </c>
      <c r="AY248" s="2">
        <f t="shared" si="358"/>
        <v>0</v>
      </c>
      <c r="AZ248" s="2">
        <f t="shared" si="358"/>
        <v>0</v>
      </c>
      <c r="BA248" s="2">
        <f t="shared" si="358"/>
        <v>0</v>
      </c>
      <c r="BB248" s="2">
        <f t="shared" si="358"/>
        <v>0</v>
      </c>
      <c r="BC248" s="2">
        <f t="shared" si="358"/>
        <v>0</v>
      </c>
      <c r="BD248" s="2">
        <f t="shared" si="358"/>
        <v>0</v>
      </c>
      <c r="BE248" s="2">
        <f t="shared" si="358"/>
        <v>0</v>
      </c>
      <c r="BF248" s="2">
        <f t="shared" si="358"/>
        <v>0</v>
      </c>
      <c r="BG248" s="2">
        <f t="shared" si="358"/>
        <v>0</v>
      </c>
      <c r="BH248" s="2">
        <f t="shared" si="358"/>
        <v>0</v>
      </c>
      <c r="BI248" s="2">
        <f t="shared" si="358"/>
        <v>0</v>
      </c>
      <c r="BJ248" s="2">
        <f t="shared" si="358"/>
        <v>0</v>
      </c>
      <c r="BK248" s="2" t="e">
        <f t="shared" si="358"/>
        <v>#DIV/0!</v>
      </c>
      <c r="BM248" s="2">
        <f t="shared" si="357"/>
        <v>0</v>
      </c>
    </row>
    <row r="249" spans="1:65">
      <c r="A249" s="37" t="s">
        <v>150</v>
      </c>
      <c r="B249" s="54">
        <f>IF(B248=1, IF(B182&gt;0.5, 57, 58), 0)</f>
        <v>0</v>
      </c>
      <c r="C249" s="2">
        <f t="shared" ref="C249:BM249" si="359">IF(C248=1, IF(C182&gt;0.5, 57, 58), 0)</f>
        <v>0</v>
      </c>
      <c r="D249" s="2">
        <f t="shared" si="359"/>
        <v>0</v>
      </c>
      <c r="E249" s="2">
        <f t="shared" si="359"/>
        <v>0</v>
      </c>
      <c r="F249" s="2">
        <f t="shared" si="359"/>
        <v>0</v>
      </c>
      <c r="G249" s="2">
        <f t="shared" si="359"/>
        <v>0</v>
      </c>
      <c r="H249" s="2">
        <f t="shared" si="359"/>
        <v>0</v>
      </c>
      <c r="I249" s="2">
        <f t="shared" si="359"/>
        <v>0</v>
      </c>
      <c r="J249" s="2">
        <f t="shared" si="359"/>
        <v>0</v>
      </c>
      <c r="K249" s="54">
        <f t="shared" si="359"/>
        <v>0</v>
      </c>
      <c r="L249" s="2">
        <f t="shared" si="359"/>
        <v>0</v>
      </c>
      <c r="M249" s="2">
        <f t="shared" si="359"/>
        <v>0</v>
      </c>
      <c r="N249" s="2">
        <f t="shared" si="359"/>
        <v>0</v>
      </c>
      <c r="O249" s="2">
        <f t="shared" si="359"/>
        <v>0</v>
      </c>
      <c r="P249" s="2">
        <f t="shared" si="359"/>
        <v>0</v>
      </c>
      <c r="Q249" s="54">
        <f t="shared" si="359"/>
        <v>0</v>
      </c>
      <c r="R249" s="2">
        <f t="shared" si="359"/>
        <v>0</v>
      </c>
      <c r="S249" s="2">
        <f t="shared" si="359"/>
        <v>0</v>
      </c>
      <c r="T249" s="2">
        <f t="shared" si="359"/>
        <v>0</v>
      </c>
      <c r="U249" s="2">
        <f t="shared" ref="U249:BK249" si="360">IF(U248=1, IF(U182&gt;0.5, 57, 58), 0)</f>
        <v>0</v>
      </c>
      <c r="V249" s="2">
        <f t="shared" si="360"/>
        <v>0</v>
      </c>
      <c r="W249" s="2">
        <f t="shared" si="360"/>
        <v>0</v>
      </c>
      <c r="X249" s="2">
        <f t="shared" si="360"/>
        <v>0</v>
      </c>
      <c r="Y249" s="54">
        <f t="shared" si="360"/>
        <v>0</v>
      </c>
      <c r="Z249" s="2">
        <f t="shared" si="360"/>
        <v>0</v>
      </c>
      <c r="AA249" s="54">
        <f t="shared" si="360"/>
        <v>0</v>
      </c>
      <c r="AB249" s="2">
        <f t="shared" si="360"/>
        <v>0</v>
      </c>
      <c r="AC249" s="2">
        <f t="shared" si="360"/>
        <v>0</v>
      </c>
      <c r="AD249" s="2">
        <f t="shared" si="360"/>
        <v>0</v>
      </c>
      <c r="AE249" s="2">
        <f t="shared" si="360"/>
        <v>0</v>
      </c>
      <c r="AF249" s="2">
        <f t="shared" si="360"/>
        <v>0</v>
      </c>
      <c r="AG249" s="2">
        <f t="shared" si="360"/>
        <v>0</v>
      </c>
      <c r="AH249" s="2">
        <f t="shared" si="360"/>
        <v>0</v>
      </c>
      <c r="AI249" s="2">
        <f t="shared" si="360"/>
        <v>0</v>
      </c>
      <c r="AJ249" s="2">
        <f t="shared" si="360"/>
        <v>0</v>
      </c>
      <c r="AK249" s="2">
        <f t="shared" si="360"/>
        <v>0</v>
      </c>
      <c r="AL249" s="2">
        <f t="shared" si="360"/>
        <v>0</v>
      </c>
      <c r="AM249" s="2">
        <f t="shared" si="360"/>
        <v>0</v>
      </c>
      <c r="AN249" s="2">
        <f t="shared" si="360"/>
        <v>0</v>
      </c>
      <c r="AO249" s="2">
        <f t="shared" si="360"/>
        <v>0</v>
      </c>
      <c r="AP249" s="2">
        <f t="shared" si="360"/>
        <v>0</v>
      </c>
      <c r="AQ249" s="2">
        <f t="shared" si="360"/>
        <v>0</v>
      </c>
      <c r="AR249" s="2">
        <f t="shared" si="360"/>
        <v>0</v>
      </c>
      <c r="AS249" s="2">
        <f t="shared" si="360"/>
        <v>0</v>
      </c>
      <c r="AT249" s="2">
        <f t="shared" si="360"/>
        <v>0</v>
      </c>
      <c r="AU249" s="54">
        <f t="shared" si="360"/>
        <v>0</v>
      </c>
      <c r="AV249" s="2">
        <f t="shared" si="360"/>
        <v>0</v>
      </c>
      <c r="AW249" s="2">
        <f t="shared" si="360"/>
        <v>0</v>
      </c>
      <c r="AX249" s="2">
        <f t="shared" si="360"/>
        <v>0</v>
      </c>
      <c r="AY249" s="2">
        <f t="shared" si="360"/>
        <v>0</v>
      </c>
      <c r="AZ249" s="2">
        <f t="shared" si="360"/>
        <v>0</v>
      </c>
      <c r="BA249" s="2">
        <f t="shared" si="360"/>
        <v>0</v>
      </c>
      <c r="BB249" s="2">
        <f t="shared" si="360"/>
        <v>0</v>
      </c>
      <c r="BC249" s="2">
        <f t="shared" si="360"/>
        <v>0</v>
      </c>
      <c r="BD249" s="2">
        <f t="shared" si="360"/>
        <v>0</v>
      </c>
      <c r="BE249" s="2">
        <f t="shared" si="360"/>
        <v>0</v>
      </c>
      <c r="BF249" s="2">
        <f t="shared" si="360"/>
        <v>0</v>
      </c>
      <c r="BG249" s="2">
        <f t="shared" si="360"/>
        <v>0</v>
      </c>
      <c r="BH249" s="2">
        <f t="shared" si="360"/>
        <v>0</v>
      </c>
      <c r="BI249" s="2">
        <f t="shared" si="360"/>
        <v>0</v>
      </c>
      <c r="BJ249" s="2">
        <f t="shared" si="360"/>
        <v>0</v>
      </c>
      <c r="BK249" s="2" t="e">
        <f t="shared" si="360"/>
        <v>#DIV/0!</v>
      </c>
      <c r="BM249" s="2">
        <f t="shared" si="359"/>
        <v>0</v>
      </c>
    </row>
    <row r="250" spans="1:65">
      <c r="A250" s="1" t="s">
        <v>151</v>
      </c>
      <c r="B250" s="54">
        <f>IF(B247=1, IF(B185&gt;0.5, 1, 0), 0)</f>
        <v>0</v>
      </c>
      <c r="C250" s="2">
        <f t="shared" ref="C250:BM250" si="361">IF(C247=1, IF(C185&gt;0.5, 1, 0), 0)</f>
        <v>0</v>
      </c>
      <c r="D250" s="2">
        <f t="shared" si="361"/>
        <v>0</v>
      </c>
      <c r="E250" s="2">
        <f t="shared" si="361"/>
        <v>0</v>
      </c>
      <c r="F250" s="2">
        <f t="shared" si="361"/>
        <v>0</v>
      </c>
      <c r="G250" s="2">
        <f t="shared" si="361"/>
        <v>0</v>
      </c>
      <c r="H250" s="2">
        <f t="shared" si="361"/>
        <v>0</v>
      </c>
      <c r="I250" s="2">
        <f t="shared" si="361"/>
        <v>0</v>
      </c>
      <c r="J250" s="2">
        <f t="shared" si="361"/>
        <v>0</v>
      </c>
      <c r="K250" s="54">
        <f t="shared" si="361"/>
        <v>0</v>
      </c>
      <c r="L250" s="2">
        <f t="shared" si="361"/>
        <v>0</v>
      </c>
      <c r="M250" s="2">
        <f t="shared" si="361"/>
        <v>0</v>
      </c>
      <c r="N250" s="2">
        <f t="shared" si="361"/>
        <v>0</v>
      </c>
      <c r="O250" s="2">
        <f t="shared" si="361"/>
        <v>0</v>
      </c>
      <c r="P250" s="2">
        <f t="shared" si="361"/>
        <v>0</v>
      </c>
      <c r="Q250" s="54">
        <f t="shared" si="361"/>
        <v>0</v>
      </c>
      <c r="R250" s="2">
        <f t="shared" si="361"/>
        <v>0</v>
      </c>
      <c r="S250" s="2">
        <f t="shared" si="361"/>
        <v>0</v>
      </c>
      <c r="T250" s="2">
        <f t="shared" si="361"/>
        <v>0</v>
      </c>
      <c r="U250" s="2">
        <f t="shared" ref="U250:BK250" si="362">IF(U247=1, IF(U185&gt;0.5, 1, 0), 0)</f>
        <v>0</v>
      </c>
      <c r="V250" s="2">
        <f t="shared" si="362"/>
        <v>0</v>
      </c>
      <c r="W250" s="2">
        <f t="shared" si="362"/>
        <v>0</v>
      </c>
      <c r="X250" s="2">
        <f t="shared" si="362"/>
        <v>0</v>
      </c>
      <c r="Y250" s="54">
        <f t="shared" si="362"/>
        <v>0</v>
      </c>
      <c r="Z250" s="2">
        <f t="shared" si="362"/>
        <v>0</v>
      </c>
      <c r="AA250" s="54">
        <f t="shared" si="362"/>
        <v>0</v>
      </c>
      <c r="AB250" s="2">
        <f t="shared" si="362"/>
        <v>0</v>
      </c>
      <c r="AC250" s="2">
        <f t="shared" si="362"/>
        <v>0</v>
      </c>
      <c r="AD250" s="2">
        <f t="shared" si="362"/>
        <v>0</v>
      </c>
      <c r="AE250" s="2">
        <f t="shared" si="362"/>
        <v>0</v>
      </c>
      <c r="AF250" s="2">
        <f t="shared" si="362"/>
        <v>0</v>
      </c>
      <c r="AG250" s="2">
        <f t="shared" si="362"/>
        <v>0</v>
      </c>
      <c r="AH250" s="2">
        <f t="shared" si="362"/>
        <v>0</v>
      </c>
      <c r="AI250" s="2">
        <f t="shared" si="362"/>
        <v>0</v>
      </c>
      <c r="AJ250" s="2">
        <f t="shared" si="362"/>
        <v>0</v>
      </c>
      <c r="AK250" s="2">
        <f t="shared" si="362"/>
        <v>0</v>
      </c>
      <c r="AL250" s="2">
        <f t="shared" si="362"/>
        <v>0</v>
      </c>
      <c r="AM250" s="2">
        <f t="shared" si="362"/>
        <v>0</v>
      </c>
      <c r="AN250" s="2">
        <f t="shared" si="362"/>
        <v>0</v>
      </c>
      <c r="AO250" s="2">
        <f t="shared" si="362"/>
        <v>0</v>
      </c>
      <c r="AP250" s="2">
        <f t="shared" si="362"/>
        <v>0</v>
      </c>
      <c r="AQ250" s="2">
        <f t="shared" si="362"/>
        <v>0</v>
      </c>
      <c r="AR250" s="2">
        <f t="shared" si="362"/>
        <v>0</v>
      </c>
      <c r="AS250" s="2">
        <f t="shared" si="362"/>
        <v>0</v>
      </c>
      <c r="AT250" s="2">
        <f t="shared" si="362"/>
        <v>0</v>
      </c>
      <c r="AU250" s="54">
        <f t="shared" si="362"/>
        <v>0</v>
      </c>
      <c r="AV250" s="2">
        <f t="shared" si="362"/>
        <v>0</v>
      </c>
      <c r="AW250" s="2">
        <f t="shared" si="362"/>
        <v>0</v>
      </c>
      <c r="AX250" s="2">
        <f t="shared" si="362"/>
        <v>0</v>
      </c>
      <c r="AY250" s="2">
        <f t="shared" si="362"/>
        <v>0</v>
      </c>
      <c r="AZ250" s="2">
        <f t="shared" si="362"/>
        <v>0</v>
      </c>
      <c r="BA250" s="2">
        <f t="shared" si="362"/>
        <v>0</v>
      </c>
      <c r="BB250" s="2">
        <f t="shared" si="362"/>
        <v>0</v>
      </c>
      <c r="BC250" s="2">
        <f t="shared" si="362"/>
        <v>0</v>
      </c>
      <c r="BD250" s="2">
        <f t="shared" si="362"/>
        <v>0</v>
      </c>
      <c r="BE250" s="2">
        <f t="shared" si="362"/>
        <v>0</v>
      </c>
      <c r="BF250" s="2">
        <f t="shared" si="362"/>
        <v>0</v>
      </c>
      <c r="BG250" s="2">
        <f t="shared" si="362"/>
        <v>0</v>
      </c>
      <c r="BH250" s="2">
        <f t="shared" si="362"/>
        <v>0</v>
      </c>
      <c r="BI250" s="2">
        <f t="shared" si="362"/>
        <v>0</v>
      </c>
      <c r="BJ250" s="2">
        <f t="shared" si="362"/>
        <v>0</v>
      </c>
      <c r="BK250" s="2" t="e">
        <f t="shared" si="362"/>
        <v>#DIV/0!</v>
      </c>
      <c r="BM250" s="2">
        <f t="shared" si="361"/>
        <v>0</v>
      </c>
    </row>
    <row r="251" spans="1:65">
      <c r="A251" s="37" t="s">
        <v>136</v>
      </c>
      <c r="B251" s="54">
        <f>IF(B250=1, IF(B182&gt;0.5, 59, 60), 0)</f>
        <v>0</v>
      </c>
      <c r="C251" s="2">
        <f t="shared" ref="C251:BM251" si="363">IF(C250=1, IF(C182&gt;0.5, 59, 60), 0)</f>
        <v>0</v>
      </c>
      <c r="D251" s="2">
        <f t="shared" si="363"/>
        <v>0</v>
      </c>
      <c r="E251" s="2">
        <f t="shared" si="363"/>
        <v>0</v>
      </c>
      <c r="F251" s="2">
        <f t="shared" si="363"/>
        <v>0</v>
      </c>
      <c r="G251" s="2">
        <f t="shared" si="363"/>
        <v>0</v>
      </c>
      <c r="H251" s="2">
        <f t="shared" si="363"/>
        <v>0</v>
      </c>
      <c r="I251" s="2">
        <f t="shared" si="363"/>
        <v>0</v>
      </c>
      <c r="J251" s="2">
        <f t="shared" si="363"/>
        <v>0</v>
      </c>
      <c r="K251" s="54">
        <f t="shared" si="363"/>
        <v>0</v>
      </c>
      <c r="L251" s="2">
        <f t="shared" si="363"/>
        <v>0</v>
      </c>
      <c r="M251" s="2">
        <f t="shared" si="363"/>
        <v>0</v>
      </c>
      <c r="N251" s="2">
        <f t="shared" si="363"/>
        <v>0</v>
      </c>
      <c r="O251" s="2">
        <f t="shared" si="363"/>
        <v>0</v>
      </c>
      <c r="P251" s="2">
        <f t="shared" si="363"/>
        <v>0</v>
      </c>
      <c r="Q251" s="54">
        <f t="shared" si="363"/>
        <v>0</v>
      </c>
      <c r="R251" s="2">
        <f t="shared" si="363"/>
        <v>0</v>
      </c>
      <c r="S251" s="2">
        <f t="shared" si="363"/>
        <v>0</v>
      </c>
      <c r="T251" s="2">
        <f t="shared" si="363"/>
        <v>0</v>
      </c>
      <c r="U251" s="2">
        <f t="shared" ref="U251:BK251" si="364">IF(U250=1, IF(U182&gt;0.5, 59, 60), 0)</f>
        <v>0</v>
      </c>
      <c r="V251" s="2">
        <f t="shared" si="364"/>
        <v>0</v>
      </c>
      <c r="W251" s="2">
        <f t="shared" si="364"/>
        <v>0</v>
      </c>
      <c r="X251" s="2">
        <f t="shared" si="364"/>
        <v>0</v>
      </c>
      <c r="Y251" s="54">
        <f t="shared" si="364"/>
        <v>0</v>
      </c>
      <c r="Z251" s="2">
        <f t="shared" si="364"/>
        <v>0</v>
      </c>
      <c r="AA251" s="54">
        <f t="shared" si="364"/>
        <v>0</v>
      </c>
      <c r="AB251" s="2">
        <f t="shared" si="364"/>
        <v>0</v>
      </c>
      <c r="AC251" s="2">
        <f t="shared" si="364"/>
        <v>0</v>
      </c>
      <c r="AD251" s="2">
        <f t="shared" si="364"/>
        <v>0</v>
      </c>
      <c r="AE251" s="2">
        <f t="shared" si="364"/>
        <v>0</v>
      </c>
      <c r="AF251" s="2">
        <f t="shared" si="364"/>
        <v>0</v>
      </c>
      <c r="AG251" s="2">
        <f t="shared" si="364"/>
        <v>0</v>
      </c>
      <c r="AH251" s="2">
        <f t="shared" si="364"/>
        <v>0</v>
      </c>
      <c r="AI251" s="2">
        <f t="shared" si="364"/>
        <v>0</v>
      </c>
      <c r="AJ251" s="2">
        <f t="shared" si="364"/>
        <v>0</v>
      </c>
      <c r="AK251" s="2">
        <f t="shared" si="364"/>
        <v>0</v>
      </c>
      <c r="AL251" s="2">
        <f t="shared" si="364"/>
        <v>0</v>
      </c>
      <c r="AM251" s="2">
        <f t="shared" si="364"/>
        <v>0</v>
      </c>
      <c r="AN251" s="2">
        <f t="shared" si="364"/>
        <v>0</v>
      </c>
      <c r="AO251" s="2">
        <f t="shared" si="364"/>
        <v>0</v>
      </c>
      <c r="AP251" s="2">
        <f t="shared" si="364"/>
        <v>0</v>
      </c>
      <c r="AQ251" s="2">
        <f t="shared" si="364"/>
        <v>0</v>
      </c>
      <c r="AR251" s="2">
        <f t="shared" si="364"/>
        <v>0</v>
      </c>
      <c r="AS251" s="2">
        <f t="shared" si="364"/>
        <v>0</v>
      </c>
      <c r="AT251" s="2">
        <f t="shared" si="364"/>
        <v>0</v>
      </c>
      <c r="AU251" s="54">
        <f t="shared" si="364"/>
        <v>0</v>
      </c>
      <c r="AV251" s="2">
        <f t="shared" si="364"/>
        <v>0</v>
      </c>
      <c r="AW251" s="2">
        <f t="shared" si="364"/>
        <v>0</v>
      </c>
      <c r="AX251" s="2">
        <f t="shared" si="364"/>
        <v>0</v>
      </c>
      <c r="AY251" s="2">
        <f t="shared" si="364"/>
        <v>0</v>
      </c>
      <c r="AZ251" s="2">
        <f t="shared" si="364"/>
        <v>0</v>
      </c>
      <c r="BA251" s="2">
        <f t="shared" si="364"/>
        <v>0</v>
      </c>
      <c r="BB251" s="2">
        <f t="shared" si="364"/>
        <v>0</v>
      </c>
      <c r="BC251" s="2">
        <f t="shared" si="364"/>
        <v>0</v>
      </c>
      <c r="BD251" s="2">
        <f t="shared" si="364"/>
        <v>0</v>
      </c>
      <c r="BE251" s="2">
        <f t="shared" si="364"/>
        <v>0</v>
      </c>
      <c r="BF251" s="2">
        <f t="shared" si="364"/>
        <v>0</v>
      </c>
      <c r="BG251" s="2">
        <f t="shared" si="364"/>
        <v>0</v>
      </c>
      <c r="BH251" s="2">
        <f t="shared" si="364"/>
        <v>0</v>
      </c>
      <c r="BI251" s="2">
        <f t="shared" si="364"/>
        <v>0</v>
      </c>
      <c r="BJ251" s="2">
        <f t="shared" si="364"/>
        <v>0</v>
      </c>
      <c r="BK251" s="2" t="e">
        <f t="shared" si="364"/>
        <v>#DIV/0!</v>
      </c>
      <c r="BM251" s="2">
        <f t="shared" si="363"/>
        <v>0</v>
      </c>
    </row>
    <row r="252" spans="1:65">
      <c r="A252" s="38" t="s">
        <v>137</v>
      </c>
      <c r="B252" s="54">
        <f>IF(B246=1, IF(B181&gt;=0.5, 1, 0), 0)</f>
        <v>0</v>
      </c>
      <c r="C252" s="2">
        <f t="shared" ref="C252:BM252" si="365">IF(C246=1, IF(C181&gt;=0.5, 1, 0), 0)</f>
        <v>0</v>
      </c>
      <c r="D252" s="2">
        <f t="shared" si="365"/>
        <v>0</v>
      </c>
      <c r="E252" s="2">
        <f t="shared" si="365"/>
        <v>0</v>
      </c>
      <c r="F252" s="2">
        <f t="shared" si="365"/>
        <v>0</v>
      </c>
      <c r="G252" s="2">
        <f t="shared" si="365"/>
        <v>0</v>
      </c>
      <c r="H252" s="2">
        <f t="shared" si="365"/>
        <v>0</v>
      </c>
      <c r="I252" s="2">
        <f t="shared" si="365"/>
        <v>0</v>
      </c>
      <c r="J252" s="2">
        <f t="shared" si="365"/>
        <v>0</v>
      </c>
      <c r="K252" s="54">
        <f t="shared" si="365"/>
        <v>0</v>
      </c>
      <c r="L252" s="2">
        <f t="shared" si="365"/>
        <v>0</v>
      </c>
      <c r="M252" s="2">
        <f t="shared" si="365"/>
        <v>0</v>
      </c>
      <c r="N252" s="2">
        <f t="shared" si="365"/>
        <v>0</v>
      </c>
      <c r="O252" s="2">
        <f t="shared" si="365"/>
        <v>0</v>
      </c>
      <c r="P252" s="2">
        <f t="shared" si="365"/>
        <v>0</v>
      </c>
      <c r="Q252" s="54">
        <f t="shared" si="365"/>
        <v>0</v>
      </c>
      <c r="R252" s="2">
        <f t="shared" si="365"/>
        <v>0</v>
      </c>
      <c r="S252" s="2">
        <f t="shared" si="365"/>
        <v>0</v>
      </c>
      <c r="T252" s="2">
        <f t="shared" si="365"/>
        <v>0</v>
      </c>
      <c r="U252" s="2">
        <f t="shared" ref="U252:BK252" si="366">IF(U246=1, IF(U181&gt;=0.5, 1, 0), 0)</f>
        <v>0</v>
      </c>
      <c r="V252" s="2">
        <f t="shared" si="366"/>
        <v>0</v>
      </c>
      <c r="W252" s="2">
        <f t="shared" si="366"/>
        <v>0</v>
      </c>
      <c r="X252" s="2">
        <f t="shared" si="366"/>
        <v>0</v>
      </c>
      <c r="Y252" s="54">
        <f t="shared" si="366"/>
        <v>0</v>
      </c>
      <c r="Z252" s="2">
        <f t="shared" si="366"/>
        <v>0</v>
      </c>
      <c r="AA252" s="54">
        <f t="shared" si="366"/>
        <v>0</v>
      </c>
      <c r="AB252" s="2">
        <f t="shared" si="366"/>
        <v>0</v>
      </c>
      <c r="AC252" s="2">
        <f t="shared" si="366"/>
        <v>0</v>
      </c>
      <c r="AD252" s="2">
        <f t="shared" si="366"/>
        <v>0</v>
      </c>
      <c r="AE252" s="2">
        <f t="shared" si="366"/>
        <v>0</v>
      </c>
      <c r="AF252" s="2">
        <f t="shared" si="366"/>
        <v>0</v>
      </c>
      <c r="AG252" s="2">
        <f t="shared" si="366"/>
        <v>0</v>
      </c>
      <c r="AH252" s="2">
        <f t="shared" si="366"/>
        <v>0</v>
      </c>
      <c r="AI252" s="2">
        <f t="shared" si="366"/>
        <v>0</v>
      </c>
      <c r="AJ252" s="2">
        <f t="shared" si="366"/>
        <v>0</v>
      </c>
      <c r="AK252" s="2">
        <f t="shared" si="366"/>
        <v>0</v>
      </c>
      <c r="AL252" s="2">
        <f t="shared" si="366"/>
        <v>0</v>
      </c>
      <c r="AM252" s="2">
        <f t="shared" si="366"/>
        <v>0</v>
      </c>
      <c r="AN252" s="2">
        <f t="shared" si="366"/>
        <v>0</v>
      </c>
      <c r="AO252" s="2">
        <f t="shared" si="366"/>
        <v>0</v>
      </c>
      <c r="AP252" s="2">
        <f t="shared" si="366"/>
        <v>0</v>
      </c>
      <c r="AQ252" s="2">
        <f t="shared" si="366"/>
        <v>0</v>
      </c>
      <c r="AR252" s="2">
        <f t="shared" si="366"/>
        <v>0</v>
      </c>
      <c r="AS252" s="2">
        <f t="shared" si="366"/>
        <v>0</v>
      </c>
      <c r="AT252" s="2">
        <f t="shared" si="366"/>
        <v>0</v>
      </c>
      <c r="AU252" s="54">
        <f t="shared" si="366"/>
        <v>0</v>
      </c>
      <c r="AV252" s="2">
        <f t="shared" si="366"/>
        <v>0</v>
      </c>
      <c r="AW252" s="2">
        <f t="shared" si="366"/>
        <v>0</v>
      </c>
      <c r="AX252" s="2">
        <f t="shared" si="366"/>
        <v>0</v>
      </c>
      <c r="AY252" s="2">
        <f t="shared" si="366"/>
        <v>0</v>
      </c>
      <c r="AZ252" s="2">
        <f t="shared" si="366"/>
        <v>0</v>
      </c>
      <c r="BA252" s="2">
        <f t="shared" si="366"/>
        <v>0</v>
      </c>
      <c r="BB252" s="2">
        <f t="shared" si="366"/>
        <v>0</v>
      </c>
      <c r="BC252" s="2">
        <f t="shared" si="366"/>
        <v>0</v>
      </c>
      <c r="BD252" s="2">
        <f t="shared" si="366"/>
        <v>0</v>
      </c>
      <c r="BE252" s="2">
        <f t="shared" si="366"/>
        <v>0</v>
      </c>
      <c r="BF252" s="2">
        <f t="shared" si="366"/>
        <v>0</v>
      </c>
      <c r="BG252" s="2">
        <f t="shared" si="366"/>
        <v>0</v>
      </c>
      <c r="BH252" s="2">
        <f t="shared" si="366"/>
        <v>0</v>
      </c>
      <c r="BI252" s="2">
        <f t="shared" si="366"/>
        <v>0</v>
      </c>
      <c r="BJ252" s="2">
        <f t="shared" si="366"/>
        <v>0</v>
      </c>
      <c r="BK252" s="2" t="e">
        <f t="shared" si="366"/>
        <v>#DIV/0!</v>
      </c>
      <c r="BM252" s="2">
        <f t="shared" si="365"/>
        <v>0</v>
      </c>
    </row>
    <row r="253" spans="1:65">
      <c r="A253" s="1" t="s">
        <v>138</v>
      </c>
      <c r="B253" s="54">
        <f>IF(B252=1, IF(B185&lt;0.3, 1, 0), 0)</f>
        <v>0</v>
      </c>
      <c r="C253" s="2">
        <f t="shared" ref="C253:BM253" si="367">IF(C252=1, IF(C185&lt;0.3, 1, 0), 0)</f>
        <v>0</v>
      </c>
      <c r="D253" s="2">
        <f t="shared" si="367"/>
        <v>0</v>
      </c>
      <c r="E253" s="2">
        <f t="shared" si="367"/>
        <v>0</v>
      </c>
      <c r="F253" s="2">
        <f t="shared" si="367"/>
        <v>0</v>
      </c>
      <c r="G253" s="2">
        <f t="shared" si="367"/>
        <v>0</v>
      </c>
      <c r="H253" s="2">
        <f t="shared" si="367"/>
        <v>0</v>
      </c>
      <c r="I253" s="2">
        <f t="shared" si="367"/>
        <v>0</v>
      </c>
      <c r="J253" s="2">
        <f t="shared" si="367"/>
        <v>0</v>
      </c>
      <c r="K253" s="54">
        <f t="shared" si="367"/>
        <v>0</v>
      </c>
      <c r="L253" s="2">
        <f t="shared" si="367"/>
        <v>0</v>
      </c>
      <c r="M253" s="2">
        <f t="shared" si="367"/>
        <v>0</v>
      </c>
      <c r="N253" s="2">
        <f t="shared" si="367"/>
        <v>0</v>
      </c>
      <c r="O253" s="2">
        <f t="shared" si="367"/>
        <v>0</v>
      </c>
      <c r="P253" s="2">
        <f t="shared" si="367"/>
        <v>0</v>
      </c>
      <c r="Q253" s="54">
        <f t="shared" si="367"/>
        <v>0</v>
      </c>
      <c r="R253" s="2">
        <f t="shared" si="367"/>
        <v>0</v>
      </c>
      <c r="S253" s="2">
        <f t="shared" si="367"/>
        <v>0</v>
      </c>
      <c r="T253" s="2">
        <f t="shared" si="367"/>
        <v>0</v>
      </c>
      <c r="U253" s="2">
        <f t="shared" ref="U253:BK253" si="368">IF(U252=1, IF(U185&lt;0.3, 1, 0), 0)</f>
        <v>0</v>
      </c>
      <c r="V253" s="2">
        <f t="shared" si="368"/>
        <v>0</v>
      </c>
      <c r="W253" s="2">
        <f t="shared" si="368"/>
        <v>0</v>
      </c>
      <c r="X253" s="2">
        <f t="shared" si="368"/>
        <v>0</v>
      </c>
      <c r="Y253" s="54">
        <f t="shared" si="368"/>
        <v>0</v>
      </c>
      <c r="Z253" s="2">
        <f t="shared" si="368"/>
        <v>0</v>
      </c>
      <c r="AA253" s="54">
        <f t="shared" si="368"/>
        <v>0</v>
      </c>
      <c r="AB253" s="2">
        <f t="shared" si="368"/>
        <v>0</v>
      </c>
      <c r="AC253" s="2">
        <f t="shared" si="368"/>
        <v>0</v>
      </c>
      <c r="AD253" s="2">
        <f t="shared" si="368"/>
        <v>0</v>
      </c>
      <c r="AE253" s="2">
        <f t="shared" si="368"/>
        <v>0</v>
      </c>
      <c r="AF253" s="2">
        <f t="shared" si="368"/>
        <v>0</v>
      </c>
      <c r="AG253" s="2">
        <f t="shared" si="368"/>
        <v>0</v>
      </c>
      <c r="AH253" s="2">
        <f t="shared" si="368"/>
        <v>0</v>
      </c>
      <c r="AI253" s="2">
        <f t="shared" si="368"/>
        <v>0</v>
      </c>
      <c r="AJ253" s="2">
        <f t="shared" si="368"/>
        <v>0</v>
      </c>
      <c r="AK253" s="2">
        <f t="shared" si="368"/>
        <v>0</v>
      </c>
      <c r="AL253" s="2">
        <f t="shared" si="368"/>
        <v>0</v>
      </c>
      <c r="AM253" s="2">
        <f t="shared" si="368"/>
        <v>0</v>
      </c>
      <c r="AN253" s="2">
        <f t="shared" si="368"/>
        <v>0</v>
      </c>
      <c r="AO253" s="2">
        <f t="shared" si="368"/>
        <v>0</v>
      </c>
      <c r="AP253" s="2">
        <f t="shared" si="368"/>
        <v>0</v>
      </c>
      <c r="AQ253" s="2">
        <f t="shared" si="368"/>
        <v>0</v>
      </c>
      <c r="AR253" s="2">
        <f t="shared" si="368"/>
        <v>0</v>
      </c>
      <c r="AS253" s="2">
        <f t="shared" si="368"/>
        <v>0</v>
      </c>
      <c r="AT253" s="2">
        <f t="shared" si="368"/>
        <v>0</v>
      </c>
      <c r="AU253" s="54">
        <f t="shared" si="368"/>
        <v>0</v>
      </c>
      <c r="AV253" s="2">
        <f t="shared" si="368"/>
        <v>0</v>
      </c>
      <c r="AW253" s="2">
        <f t="shared" si="368"/>
        <v>0</v>
      </c>
      <c r="AX253" s="2">
        <f t="shared" si="368"/>
        <v>0</v>
      </c>
      <c r="AY253" s="2">
        <f t="shared" si="368"/>
        <v>0</v>
      </c>
      <c r="AZ253" s="2">
        <f t="shared" si="368"/>
        <v>0</v>
      </c>
      <c r="BA253" s="2">
        <f t="shared" si="368"/>
        <v>0</v>
      </c>
      <c r="BB253" s="2">
        <f t="shared" si="368"/>
        <v>0</v>
      </c>
      <c r="BC253" s="2">
        <f t="shared" si="368"/>
        <v>0</v>
      </c>
      <c r="BD253" s="2">
        <f t="shared" si="368"/>
        <v>0</v>
      </c>
      <c r="BE253" s="2">
        <f t="shared" si="368"/>
        <v>0</v>
      </c>
      <c r="BF253" s="2">
        <f t="shared" si="368"/>
        <v>0</v>
      </c>
      <c r="BG253" s="2">
        <f t="shared" si="368"/>
        <v>0</v>
      </c>
      <c r="BH253" s="2">
        <f t="shared" si="368"/>
        <v>0</v>
      </c>
      <c r="BI253" s="2">
        <f t="shared" si="368"/>
        <v>0</v>
      </c>
      <c r="BJ253" s="2">
        <f t="shared" si="368"/>
        <v>0</v>
      </c>
      <c r="BK253" s="2" t="e">
        <f t="shared" si="368"/>
        <v>#DIV/0!</v>
      </c>
      <c r="BM253" s="2">
        <f t="shared" si="367"/>
        <v>0</v>
      </c>
    </row>
    <row r="254" spans="1:65">
      <c r="A254" s="37" t="s">
        <v>139</v>
      </c>
      <c r="B254" s="54">
        <f>IF(B253=1, IF(B182&gt;0.5, 61, 62), 0)</f>
        <v>0</v>
      </c>
      <c r="C254" s="2">
        <f t="shared" ref="C254:BM254" si="369">IF(C253=1, IF(C182&gt;0.5, 61, 62), 0)</f>
        <v>0</v>
      </c>
      <c r="D254" s="2">
        <f t="shared" si="369"/>
        <v>0</v>
      </c>
      <c r="E254" s="2">
        <f t="shared" si="369"/>
        <v>0</v>
      </c>
      <c r="F254" s="2">
        <f t="shared" si="369"/>
        <v>0</v>
      </c>
      <c r="G254" s="2">
        <f t="shared" si="369"/>
        <v>0</v>
      </c>
      <c r="H254" s="2">
        <f t="shared" si="369"/>
        <v>0</v>
      </c>
      <c r="I254" s="2">
        <f t="shared" si="369"/>
        <v>0</v>
      </c>
      <c r="J254" s="2">
        <f t="shared" si="369"/>
        <v>0</v>
      </c>
      <c r="K254" s="54">
        <f t="shared" si="369"/>
        <v>0</v>
      </c>
      <c r="L254" s="2">
        <f t="shared" si="369"/>
        <v>0</v>
      </c>
      <c r="M254" s="2">
        <f t="shared" si="369"/>
        <v>0</v>
      </c>
      <c r="N254" s="2">
        <f t="shared" si="369"/>
        <v>0</v>
      </c>
      <c r="O254" s="2">
        <f t="shared" si="369"/>
        <v>0</v>
      </c>
      <c r="P254" s="2">
        <f t="shared" si="369"/>
        <v>0</v>
      </c>
      <c r="Q254" s="54">
        <f t="shared" si="369"/>
        <v>0</v>
      </c>
      <c r="R254" s="2">
        <f t="shared" si="369"/>
        <v>0</v>
      </c>
      <c r="S254" s="2">
        <f t="shared" si="369"/>
        <v>0</v>
      </c>
      <c r="T254" s="2">
        <f t="shared" si="369"/>
        <v>0</v>
      </c>
      <c r="U254" s="2">
        <f t="shared" ref="U254:BK254" si="370">IF(U253=1, IF(U182&gt;0.5, 61, 62), 0)</f>
        <v>0</v>
      </c>
      <c r="V254" s="2">
        <f t="shared" si="370"/>
        <v>0</v>
      </c>
      <c r="W254" s="2">
        <f t="shared" si="370"/>
        <v>0</v>
      </c>
      <c r="X254" s="2">
        <f t="shared" si="370"/>
        <v>0</v>
      </c>
      <c r="Y254" s="54">
        <f t="shared" si="370"/>
        <v>0</v>
      </c>
      <c r="Z254" s="2">
        <f t="shared" si="370"/>
        <v>0</v>
      </c>
      <c r="AA254" s="54">
        <f t="shared" si="370"/>
        <v>0</v>
      </c>
      <c r="AB254" s="2">
        <f t="shared" si="370"/>
        <v>0</v>
      </c>
      <c r="AC254" s="2">
        <f t="shared" si="370"/>
        <v>0</v>
      </c>
      <c r="AD254" s="2">
        <f t="shared" si="370"/>
        <v>0</v>
      </c>
      <c r="AE254" s="2">
        <f t="shared" si="370"/>
        <v>0</v>
      </c>
      <c r="AF254" s="2">
        <f t="shared" si="370"/>
        <v>0</v>
      </c>
      <c r="AG254" s="2">
        <f t="shared" si="370"/>
        <v>0</v>
      </c>
      <c r="AH254" s="2">
        <f t="shared" si="370"/>
        <v>0</v>
      </c>
      <c r="AI254" s="2">
        <f t="shared" si="370"/>
        <v>0</v>
      </c>
      <c r="AJ254" s="2">
        <f t="shared" si="370"/>
        <v>0</v>
      </c>
      <c r="AK254" s="2">
        <f t="shared" si="370"/>
        <v>0</v>
      </c>
      <c r="AL254" s="2">
        <f t="shared" si="370"/>
        <v>0</v>
      </c>
      <c r="AM254" s="2">
        <f t="shared" si="370"/>
        <v>0</v>
      </c>
      <c r="AN254" s="2">
        <f t="shared" si="370"/>
        <v>0</v>
      </c>
      <c r="AO254" s="2">
        <f t="shared" si="370"/>
        <v>0</v>
      </c>
      <c r="AP254" s="2">
        <f t="shared" si="370"/>
        <v>0</v>
      </c>
      <c r="AQ254" s="2">
        <f t="shared" si="370"/>
        <v>0</v>
      </c>
      <c r="AR254" s="2">
        <f t="shared" si="370"/>
        <v>0</v>
      </c>
      <c r="AS254" s="2">
        <f t="shared" si="370"/>
        <v>0</v>
      </c>
      <c r="AT254" s="2">
        <f t="shared" si="370"/>
        <v>0</v>
      </c>
      <c r="AU254" s="54">
        <f t="shared" si="370"/>
        <v>0</v>
      </c>
      <c r="AV254" s="2">
        <f t="shared" si="370"/>
        <v>0</v>
      </c>
      <c r="AW254" s="2">
        <f t="shared" si="370"/>
        <v>0</v>
      </c>
      <c r="AX254" s="2">
        <f t="shared" si="370"/>
        <v>0</v>
      </c>
      <c r="AY254" s="2">
        <f t="shared" si="370"/>
        <v>0</v>
      </c>
      <c r="AZ254" s="2">
        <f t="shared" si="370"/>
        <v>0</v>
      </c>
      <c r="BA254" s="2">
        <f t="shared" si="370"/>
        <v>0</v>
      </c>
      <c r="BB254" s="2">
        <f t="shared" si="370"/>
        <v>0</v>
      </c>
      <c r="BC254" s="2">
        <f t="shared" si="370"/>
        <v>0</v>
      </c>
      <c r="BD254" s="2">
        <f t="shared" si="370"/>
        <v>0</v>
      </c>
      <c r="BE254" s="2">
        <f t="shared" si="370"/>
        <v>0</v>
      </c>
      <c r="BF254" s="2">
        <f t="shared" si="370"/>
        <v>0</v>
      </c>
      <c r="BG254" s="2">
        <f t="shared" si="370"/>
        <v>0</v>
      </c>
      <c r="BH254" s="2">
        <f t="shared" si="370"/>
        <v>0</v>
      </c>
      <c r="BI254" s="2">
        <f t="shared" si="370"/>
        <v>0</v>
      </c>
      <c r="BJ254" s="2">
        <f t="shared" si="370"/>
        <v>0</v>
      </c>
      <c r="BK254" s="2" t="e">
        <f t="shared" si="370"/>
        <v>#DIV/0!</v>
      </c>
      <c r="BM254" s="2">
        <f t="shared" si="369"/>
        <v>0</v>
      </c>
    </row>
    <row r="255" spans="1:65">
      <c r="A255" s="1" t="s">
        <v>140</v>
      </c>
      <c r="B255" s="54">
        <f>IF(B252=1,IF(B185&gt;0.3,IF(B185&lt;=0.7,1,0),0),0)</f>
        <v>0</v>
      </c>
      <c r="C255" s="2">
        <f t="shared" ref="C255:BM255" si="371">IF(C252=1,IF(C185&gt;0.3,IF(C185&lt;=0.7,1,0),0),0)</f>
        <v>0</v>
      </c>
      <c r="D255" s="2">
        <f t="shared" si="371"/>
        <v>0</v>
      </c>
      <c r="E255" s="2">
        <f t="shared" si="371"/>
        <v>0</v>
      </c>
      <c r="F255" s="2">
        <f t="shared" si="371"/>
        <v>0</v>
      </c>
      <c r="G255" s="2">
        <f t="shared" si="371"/>
        <v>0</v>
      </c>
      <c r="H255" s="2">
        <f t="shared" si="371"/>
        <v>0</v>
      </c>
      <c r="I255" s="2">
        <f t="shared" si="371"/>
        <v>0</v>
      </c>
      <c r="J255" s="2">
        <f t="shared" si="371"/>
        <v>0</v>
      </c>
      <c r="K255" s="54">
        <f t="shared" si="371"/>
        <v>0</v>
      </c>
      <c r="L255" s="2">
        <f t="shared" si="371"/>
        <v>0</v>
      </c>
      <c r="M255" s="2">
        <f t="shared" si="371"/>
        <v>0</v>
      </c>
      <c r="N255" s="2">
        <f t="shared" si="371"/>
        <v>0</v>
      </c>
      <c r="O255" s="2">
        <f t="shared" si="371"/>
        <v>0</v>
      </c>
      <c r="P255" s="2">
        <f t="shared" si="371"/>
        <v>0</v>
      </c>
      <c r="Q255" s="54">
        <f t="shared" si="371"/>
        <v>0</v>
      </c>
      <c r="R255" s="2">
        <f t="shared" si="371"/>
        <v>0</v>
      </c>
      <c r="S255" s="2">
        <f t="shared" si="371"/>
        <v>0</v>
      </c>
      <c r="T255" s="2">
        <f t="shared" si="371"/>
        <v>0</v>
      </c>
      <c r="U255" s="2">
        <f t="shared" ref="U255:BK255" si="372">IF(U252=1,IF(U185&gt;0.3,IF(U185&lt;=0.7,1,0),0),0)</f>
        <v>0</v>
      </c>
      <c r="V255" s="2">
        <f t="shared" si="372"/>
        <v>0</v>
      </c>
      <c r="W255" s="2">
        <f t="shared" si="372"/>
        <v>0</v>
      </c>
      <c r="X255" s="2">
        <f t="shared" si="372"/>
        <v>0</v>
      </c>
      <c r="Y255" s="54">
        <f t="shared" si="372"/>
        <v>0</v>
      </c>
      <c r="Z255" s="2">
        <f t="shared" si="372"/>
        <v>0</v>
      </c>
      <c r="AA255" s="54">
        <f t="shared" si="372"/>
        <v>0</v>
      </c>
      <c r="AB255" s="2">
        <f t="shared" si="372"/>
        <v>0</v>
      </c>
      <c r="AC255" s="2">
        <f t="shared" si="372"/>
        <v>0</v>
      </c>
      <c r="AD255" s="2">
        <f t="shared" si="372"/>
        <v>0</v>
      </c>
      <c r="AE255" s="2">
        <f t="shared" si="372"/>
        <v>0</v>
      </c>
      <c r="AF255" s="2">
        <f t="shared" si="372"/>
        <v>0</v>
      </c>
      <c r="AG255" s="2">
        <f t="shared" si="372"/>
        <v>0</v>
      </c>
      <c r="AH255" s="2">
        <f t="shared" si="372"/>
        <v>0</v>
      </c>
      <c r="AI255" s="2">
        <f t="shared" si="372"/>
        <v>0</v>
      </c>
      <c r="AJ255" s="2">
        <f t="shared" si="372"/>
        <v>0</v>
      </c>
      <c r="AK255" s="2">
        <f t="shared" si="372"/>
        <v>0</v>
      </c>
      <c r="AL255" s="2">
        <f t="shared" si="372"/>
        <v>0</v>
      </c>
      <c r="AM255" s="2">
        <f t="shared" si="372"/>
        <v>0</v>
      </c>
      <c r="AN255" s="2">
        <f t="shared" si="372"/>
        <v>0</v>
      </c>
      <c r="AO255" s="2">
        <f t="shared" si="372"/>
        <v>0</v>
      </c>
      <c r="AP255" s="2">
        <f t="shared" si="372"/>
        <v>0</v>
      </c>
      <c r="AQ255" s="2">
        <f t="shared" si="372"/>
        <v>0</v>
      </c>
      <c r="AR255" s="2">
        <f t="shared" si="372"/>
        <v>0</v>
      </c>
      <c r="AS255" s="2">
        <f t="shared" si="372"/>
        <v>0</v>
      </c>
      <c r="AT255" s="2">
        <f t="shared" si="372"/>
        <v>0</v>
      </c>
      <c r="AU255" s="54">
        <f t="shared" si="372"/>
        <v>0</v>
      </c>
      <c r="AV255" s="2">
        <f t="shared" si="372"/>
        <v>0</v>
      </c>
      <c r="AW255" s="2">
        <f t="shared" si="372"/>
        <v>0</v>
      </c>
      <c r="AX255" s="2">
        <f t="shared" si="372"/>
        <v>0</v>
      </c>
      <c r="AY255" s="2">
        <f t="shared" si="372"/>
        <v>0</v>
      </c>
      <c r="AZ255" s="2">
        <f t="shared" si="372"/>
        <v>0</v>
      </c>
      <c r="BA255" s="2">
        <f t="shared" si="372"/>
        <v>0</v>
      </c>
      <c r="BB255" s="2">
        <f t="shared" si="372"/>
        <v>0</v>
      </c>
      <c r="BC255" s="2">
        <f t="shared" si="372"/>
        <v>0</v>
      </c>
      <c r="BD255" s="2">
        <f t="shared" si="372"/>
        <v>0</v>
      </c>
      <c r="BE255" s="2">
        <f t="shared" si="372"/>
        <v>0</v>
      </c>
      <c r="BF255" s="2">
        <f t="shared" si="372"/>
        <v>0</v>
      </c>
      <c r="BG255" s="2">
        <f t="shared" si="372"/>
        <v>0</v>
      </c>
      <c r="BH255" s="2">
        <f t="shared" si="372"/>
        <v>0</v>
      </c>
      <c r="BI255" s="2">
        <f t="shared" si="372"/>
        <v>0</v>
      </c>
      <c r="BJ255" s="2">
        <f t="shared" si="372"/>
        <v>0</v>
      </c>
      <c r="BK255" s="2" t="e">
        <f t="shared" si="372"/>
        <v>#DIV/0!</v>
      </c>
      <c r="BM255" s="2">
        <f t="shared" si="371"/>
        <v>0</v>
      </c>
    </row>
    <row r="256" spans="1:65">
      <c r="A256" s="37" t="s">
        <v>141</v>
      </c>
      <c r="B256" s="54">
        <f>IF(B255=1, 63, 0)</f>
        <v>0</v>
      </c>
      <c r="C256" s="2">
        <f t="shared" ref="C256:BM256" si="373">IF(C255=1, 63, 0)</f>
        <v>0</v>
      </c>
      <c r="D256" s="2">
        <f t="shared" si="373"/>
        <v>0</v>
      </c>
      <c r="E256" s="2">
        <f t="shared" si="373"/>
        <v>0</v>
      </c>
      <c r="F256" s="2">
        <f t="shared" si="373"/>
        <v>0</v>
      </c>
      <c r="G256" s="2">
        <f t="shared" si="373"/>
        <v>0</v>
      </c>
      <c r="H256" s="2">
        <f t="shared" si="373"/>
        <v>0</v>
      </c>
      <c r="I256" s="2">
        <f t="shared" si="373"/>
        <v>0</v>
      </c>
      <c r="J256" s="2">
        <f t="shared" si="373"/>
        <v>0</v>
      </c>
      <c r="K256" s="54">
        <f t="shared" si="373"/>
        <v>0</v>
      </c>
      <c r="L256" s="2">
        <f t="shared" si="373"/>
        <v>0</v>
      </c>
      <c r="M256" s="2">
        <f t="shared" si="373"/>
        <v>0</v>
      </c>
      <c r="N256" s="2">
        <f t="shared" si="373"/>
        <v>0</v>
      </c>
      <c r="O256" s="2">
        <f t="shared" si="373"/>
        <v>0</v>
      </c>
      <c r="P256" s="2">
        <f t="shared" si="373"/>
        <v>0</v>
      </c>
      <c r="Q256" s="54">
        <f t="shared" si="373"/>
        <v>0</v>
      </c>
      <c r="R256" s="2">
        <f t="shared" si="373"/>
        <v>0</v>
      </c>
      <c r="S256" s="2">
        <f t="shared" si="373"/>
        <v>0</v>
      </c>
      <c r="T256" s="2">
        <f t="shared" si="373"/>
        <v>0</v>
      </c>
      <c r="U256" s="2">
        <f t="shared" ref="U256:BK256" si="374">IF(U255=1, 63, 0)</f>
        <v>0</v>
      </c>
      <c r="V256" s="2">
        <f t="shared" si="374"/>
        <v>0</v>
      </c>
      <c r="W256" s="2">
        <f t="shared" si="374"/>
        <v>0</v>
      </c>
      <c r="X256" s="2">
        <f t="shared" si="374"/>
        <v>0</v>
      </c>
      <c r="Y256" s="54">
        <f t="shared" si="374"/>
        <v>0</v>
      </c>
      <c r="Z256" s="2">
        <f t="shared" si="374"/>
        <v>0</v>
      </c>
      <c r="AA256" s="54">
        <f t="shared" si="374"/>
        <v>0</v>
      </c>
      <c r="AB256" s="2">
        <f t="shared" si="374"/>
        <v>0</v>
      </c>
      <c r="AC256" s="2">
        <f t="shared" si="374"/>
        <v>0</v>
      </c>
      <c r="AD256" s="2">
        <f t="shared" si="374"/>
        <v>0</v>
      </c>
      <c r="AE256" s="2">
        <f t="shared" si="374"/>
        <v>0</v>
      </c>
      <c r="AF256" s="2">
        <f t="shared" si="374"/>
        <v>0</v>
      </c>
      <c r="AG256" s="2">
        <f t="shared" si="374"/>
        <v>0</v>
      </c>
      <c r="AH256" s="2">
        <f t="shared" si="374"/>
        <v>0</v>
      </c>
      <c r="AI256" s="2">
        <f t="shared" si="374"/>
        <v>0</v>
      </c>
      <c r="AJ256" s="2">
        <f t="shared" si="374"/>
        <v>0</v>
      </c>
      <c r="AK256" s="2">
        <f t="shared" si="374"/>
        <v>0</v>
      </c>
      <c r="AL256" s="2">
        <f t="shared" si="374"/>
        <v>0</v>
      </c>
      <c r="AM256" s="2">
        <f t="shared" si="374"/>
        <v>0</v>
      </c>
      <c r="AN256" s="2">
        <f t="shared" si="374"/>
        <v>0</v>
      </c>
      <c r="AO256" s="2">
        <f t="shared" si="374"/>
        <v>0</v>
      </c>
      <c r="AP256" s="2">
        <f t="shared" si="374"/>
        <v>0</v>
      </c>
      <c r="AQ256" s="2">
        <f t="shared" si="374"/>
        <v>0</v>
      </c>
      <c r="AR256" s="2">
        <f t="shared" si="374"/>
        <v>0</v>
      </c>
      <c r="AS256" s="2">
        <f t="shared" si="374"/>
        <v>0</v>
      </c>
      <c r="AT256" s="2">
        <f t="shared" si="374"/>
        <v>0</v>
      </c>
      <c r="AU256" s="54">
        <f t="shared" si="374"/>
        <v>0</v>
      </c>
      <c r="AV256" s="2">
        <f t="shared" si="374"/>
        <v>0</v>
      </c>
      <c r="AW256" s="2">
        <f t="shared" si="374"/>
        <v>0</v>
      </c>
      <c r="AX256" s="2">
        <f t="shared" si="374"/>
        <v>0</v>
      </c>
      <c r="AY256" s="2">
        <f t="shared" si="374"/>
        <v>0</v>
      </c>
      <c r="AZ256" s="2">
        <f t="shared" si="374"/>
        <v>0</v>
      </c>
      <c r="BA256" s="2">
        <f t="shared" si="374"/>
        <v>0</v>
      </c>
      <c r="BB256" s="2">
        <f t="shared" si="374"/>
        <v>0</v>
      </c>
      <c r="BC256" s="2">
        <f t="shared" si="374"/>
        <v>0</v>
      </c>
      <c r="BD256" s="2">
        <f t="shared" si="374"/>
        <v>0</v>
      </c>
      <c r="BE256" s="2">
        <f t="shared" si="374"/>
        <v>0</v>
      </c>
      <c r="BF256" s="2">
        <f t="shared" si="374"/>
        <v>0</v>
      </c>
      <c r="BG256" s="2">
        <f t="shared" si="374"/>
        <v>0</v>
      </c>
      <c r="BH256" s="2">
        <f t="shared" si="374"/>
        <v>0</v>
      </c>
      <c r="BI256" s="2">
        <f t="shared" si="374"/>
        <v>0</v>
      </c>
      <c r="BJ256" s="2">
        <f t="shared" si="374"/>
        <v>0</v>
      </c>
      <c r="BK256" s="2" t="e">
        <f t="shared" si="374"/>
        <v>#DIV/0!</v>
      </c>
      <c r="BM256" s="2">
        <f t="shared" si="373"/>
        <v>0</v>
      </c>
    </row>
    <row r="257" spans="1:65">
      <c r="A257" s="1" t="s">
        <v>142</v>
      </c>
      <c r="B257" s="54">
        <f>IF(B252=1, IF(B185&gt;=0.7, 1, 0), 0)</f>
        <v>0</v>
      </c>
      <c r="C257" s="2">
        <f t="shared" ref="C257:BM257" si="375">IF(C252=1, IF(C185&gt;=0.7, 1, 0), 0)</f>
        <v>0</v>
      </c>
      <c r="D257" s="2">
        <f t="shared" si="375"/>
        <v>0</v>
      </c>
      <c r="E257" s="2">
        <f t="shared" si="375"/>
        <v>0</v>
      </c>
      <c r="F257" s="2">
        <f t="shared" si="375"/>
        <v>0</v>
      </c>
      <c r="G257" s="2">
        <f t="shared" si="375"/>
        <v>0</v>
      </c>
      <c r="H257" s="2">
        <f t="shared" si="375"/>
        <v>0</v>
      </c>
      <c r="I257" s="2">
        <f t="shared" si="375"/>
        <v>0</v>
      </c>
      <c r="J257" s="2">
        <f t="shared" si="375"/>
        <v>0</v>
      </c>
      <c r="K257" s="54">
        <f t="shared" si="375"/>
        <v>0</v>
      </c>
      <c r="L257" s="2">
        <f t="shared" si="375"/>
        <v>0</v>
      </c>
      <c r="M257" s="2">
        <f t="shared" si="375"/>
        <v>0</v>
      </c>
      <c r="N257" s="2">
        <f t="shared" si="375"/>
        <v>0</v>
      </c>
      <c r="O257" s="2">
        <f t="shared" si="375"/>
        <v>0</v>
      </c>
      <c r="P257" s="2">
        <f t="shared" si="375"/>
        <v>0</v>
      </c>
      <c r="Q257" s="54">
        <f t="shared" si="375"/>
        <v>0</v>
      </c>
      <c r="R257" s="2">
        <f t="shared" si="375"/>
        <v>0</v>
      </c>
      <c r="S257" s="2">
        <f t="shared" si="375"/>
        <v>0</v>
      </c>
      <c r="T257" s="2">
        <f t="shared" si="375"/>
        <v>0</v>
      </c>
      <c r="U257" s="2">
        <f t="shared" ref="U257:BK257" si="376">IF(U252=1, IF(U185&gt;=0.7, 1, 0), 0)</f>
        <v>0</v>
      </c>
      <c r="V257" s="2">
        <f t="shared" si="376"/>
        <v>0</v>
      </c>
      <c r="W257" s="2">
        <f t="shared" si="376"/>
        <v>0</v>
      </c>
      <c r="X257" s="2">
        <f t="shared" si="376"/>
        <v>0</v>
      </c>
      <c r="Y257" s="54">
        <f t="shared" si="376"/>
        <v>0</v>
      </c>
      <c r="Z257" s="2">
        <f t="shared" si="376"/>
        <v>0</v>
      </c>
      <c r="AA257" s="54">
        <f t="shared" si="376"/>
        <v>0</v>
      </c>
      <c r="AB257" s="2">
        <f t="shared" si="376"/>
        <v>0</v>
      </c>
      <c r="AC257" s="2">
        <f t="shared" si="376"/>
        <v>0</v>
      </c>
      <c r="AD257" s="2">
        <f t="shared" si="376"/>
        <v>0</v>
      </c>
      <c r="AE257" s="2">
        <f t="shared" si="376"/>
        <v>0</v>
      </c>
      <c r="AF257" s="2">
        <f t="shared" si="376"/>
        <v>0</v>
      </c>
      <c r="AG257" s="2">
        <f t="shared" si="376"/>
        <v>0</v>
      </c>
      <c r="AH257" s="2">
        <f t="shared" si="376"/>
        <v>0</v>
      </c>
      <c r="AI257" s="2">
        <f t="shared" si="376"/>
        <v>0</v>
      </c>
      <c r="AJ257" s="2">
        <f t="shared" si="376"/>
        <v>0</v>
      </c>
      <c r="AK257" s="2">
        <f t="shared" si="376"/>
        <v>0</v>
      </c>
      <c r="AL257" s="2">
        <f t="shared" si="376"/>
        <v>0</v>
      </c>
      <c r="AM257" s="2">
        <f t="shared" si="376"/>
        <v>0</v>
      </c>
      <c r="AN257" s="2">
        <f t="shared" si="376"/>
        <v>0</v>
      </c>
      <c r="AO257" s="2">
        <f t="shared" si="376"/>
        <v>0</v>
      </c>
      <c r="AP257" s="2">
        <f t="shared" si="376"/>
        <v>0</v>
      </c>
      <c r="AQ257" s="2">
        <f t="shared" si="376"/>
        <v>0</v>
      </c>
      <c r="AR257" s="2">
        <f t="shared" si="376"/>
        <v>0</v>
      </c>
      <c r="AS257" s="2">
        <f t="shared" si="376"/>
        <v>0</v>
      </c>
      <c r="AT257" s="2">
        <f t="shared" si="376"/>
        <v>0</v>
      </c>
      <c r="AU257" s="54">
        <f t="shared" si="376"/>
        <v>0</v>
      </c>
      <c r="AV257" s="2">
        <f t="shared" si="376"/>
        <v>0</v>
      </c>
      <c r="AW257" s="2">
        <f t="shared" si="376"/>
        <v>0</v>
      </c>
      <c r="AX257" s="2">
        <f t="shared" si="376"/>
        <v>0</v>
      </c>
      <c r="AY257" s="2">
        <f t="shared" si="376"/>
        <v>0</v>
      </c>
      <c r="AZ257" s="2">
        <f t="shared" si="376"/>
        <v>0</v>
      </c>
      <c r="BA257" s="2">
        <f t="shared" si="376"/>
        <v>0</v>
      </c>
      <c r="BB257" s="2">
        <f t="shared" si="376"/>
        <v>0</v>
      </c>
      <c r="BC257" s="2">
        <f t="shared" si="376"/>
        <v>0</v>
      </c>
      <c r="BD257" s="2">
        <f t="shared" si="376"/>
        <v>0</v>
      </c>
      <c r="BE257" s="2">
        <f t="shared" si="376"/>
        <v>0</v>
      </c>
      <c r="BF257" s="2">
        <f t="shared" si="376"/>
        <v>0</v>
      </c>
      <c r="BG257" s="2">
        <f t="shared" si="376"/>
        <v>0</v>
      </c>
      <c r="BH257" s="2">
        <f t="shared" si="376"/>
        <v>0</v>
      </c>
      <c r="BI257" s="2">
        <f t="shared" si="376"/>
        <v>0</v>
      </c>
      <c r="BJ257" s="2">
        <f t="shared" si="376"/>
        <v>0</v>
      </c>
      <c r="BK257" s="2" t="e">
        <f t="shared" si="376"/>
        <v>#DIV/0!</v>
      </c>
      <c r="BM257" s="2">
        <f t="shared" si="375"/>
        <v>0</v>
      </c>
    </row>
    <row r="258" spans="1:65">
      <c r="A258" s="37" t="s">
        <v>143</v>
      </c>
      <c r="B258" s="54">
        <f>IF(B257=1, IF(B182&gt;0.5, 64, 65), 0)</f>
        <v>0</v>
      </c>
      <c r="C258" s="2">
        <f t="shared" ref="C258:BM258" si="377">IF(C257=1, IF(C182&gt;0.5, 64, 65), 0)</f>
        <v>0</v>
      </c>
      <c r="D258" s="2">
        <f t="shared" si="377"/>
        <v>0</v>
      </c>
      <c r="E258" s="2">
        <f t="shared" si="377"/>
        <v>0</v>
      </c>
      <c r="F258" s="2">
        <f t="shared" si="377"/>
        <v>0</v>
      </c>
      <c r="G258" s="2">
        <f t="shared" si="377"/>
        <v>0</v>
      </c>
      <c r="H258" s="2">
        <f t="shared" si="377"/>
        <v>0</v>
      </c>
      <c r="I258" s="2">
        <f t="shared" si="377"/>
        <v>0</v>
      </c>
      <c r="J258" s="2">
        <f t="shared" si="377"/>
        <v>0</v>
      </c>
      <c r="K258" s="54">
        <f t="shared" si="377"/>
        <v>0</v>
      </c>
      <c r="L258" s="2">
        <f t="shared" si="377"/>
        <v>0</v>
      </c>
      <c r="M258" s="2">
        <f t="shared" si="377"/>
        <v>0</v>
      </c>
      <c r="N258" s="2">
        <f t="shared" si="377"/>
        <v>0</v>
      </c>
      <c r="O258" s="2">
        <f t="shared" si="377"/>
        <v>0</v>
      </c>
      <c r="P258" s="2">
        <f t="shared" si="377"/>
        <v>0</v>
      </c>
      <c r="Q258" s="54">
        <f t="shared" si="377"/>
        <v>0</v>
      </c>
      <c r="R258" s="2">
        <f t="shared" si="377"/>
        <v>0</v>
      </c>
      <c r="S258" s="2">
        <f t="shared" si="377"/>
        <v>0</v>
      </c>
      <c r="T258" s="2">
        <f t="shared" si="377"/>
        <v>0</v>
      </c>
      <c r="U258" s="2">
        <f t="shared" ref="U258:BK258" si="378">IF(U257=1, IF(U182&gt;0.5, 64, 65), 0)</f>
        <v>0</v>
      </c>
      <c r="V258" s="2">
        <f t="shared" si="378"/>
        <v>0</v>
      </c>
      <c r="W258" s="2">
        <f t="shared" si="378"/>
        <v>0</v>
      </c>
      <c r="X258" s="2">
        <f t="shared" si="378"/>
        <v>0</v>
      </c>
      <c r="Y258" s="54">
        <f t="shared" si="378"/>
        <v>0</v>
      </c>
      <c r="Z258" s="2">
        <f t="shared" si="378"/>
        <v>0</v>
      </c>
      <c r="AA258" s="54">
        <f t="shared" si="378"/>
        <v>0</v>
      </c>
      <c r="AB258" s="2">
        <f t="shared" si="378"/>
        <v>0</v>
      </c>
      <c r="AC258" s="2">
        <f t="shared" si="378"/>
        <v>0</v>
      </c>
      <c r="AD258" s="2">
        <f t="shared" si="378"/>
        <v>0</v>
      </c>
      <c r="AE258" s="2">
        <f t="shared" si="378"/>
        <v>0</v>
      </c>
      <c r="AF258" s="2">
        <f t="shared" si="378"/>
        <v>0</v>
      </c>
      <c r="AG258" s="2">
        <f t="shared" si="378"/>
        <v>0</v>
      </c>
      <c r="AH258" s="2">
        <f t="shared" si="378"/>
        <v>0</v>
      </c>
      <c r="AI258" s="2">
        <f t="shared" si="378"/>
        <v>0</v>
      </c>
      <c r="AJ258" s="2">
        <f t="shared" si="378"/>
        <v>0</v>
      </c>
      <c r="AK258" s="2">
        <f t="shared" si="378"/>
        <v>0</v>
      </c>
      <c r="AL258" s="2">
        <f t="shared" si="378"/>
        <v>0</v>
      </c>
      <c r="AM258" s="2">
        <f t="shared" si="378"/>
        <v>0</v>
      </c>
      <c r="AN258" s="2">
        <f t="shared" si="378"/>
        <v>0</v>
      </c>
      <c r="AO258" s="2">
        <f t="shared" si="378"/>
        <v>0</v>
      </c>
      <c r="AP258" s="2">
        <f t="shared" si="378"/>
        <v>0</v>
      </c>
      <c r="AQ258" s="2">
        <f t="shared" si="378"/>
        <v>0</v>
      </c>
      <c r="AR258" s="2">
        <f t="shared" si="378"/>
        <v>0</v>
      </c>
      <c r="AS258" s="2">
        <f t="shared" si="378"/>
        <v>0</v>
      </c>
      <c r="AT258" s="2">
        <f t="shared" si="378"/>
        <v>0</v>
      </c>
      <c r="AU258" s="54">
        <f t="shared" si="378"/>
        <v>0</v>
      </c>
      <c r="AV258" s="2">
        <f t="shared" si="378"/>
        <v>0</v>
      </c>
      <c r="AW258" s="2">
        <f t="shared" si="378"/>
        <v>0</v>
      </c>
      <c r="AX258" s="2">
        <f t="shared" si="378"/>
        <v>0</v>
      </c>
      <c r="AY258" s="2">
        <f t="shared" si="378"/>
        <v>0</v>
      </c>
      <c r="AZ258" s="2">
        <f t="shared" si="378"/>
        <v>0</v>
      </c>
      <c r="BA258" s="2">
        <f t="shared" si="378"/>
        <v>0</v>
      </c>
      <c r="BB258" s="2">
        <f t="shared" si="378"/>
        <v>0</v>
      </c>
      <c r="BC258" s="2">
        <f t="shared" si="378"/>
        <v>0</v>
      </c>
      <c r="BD258" s="2">
        <f t="shared" si="378"/>
        <v>0</v>
      </c>
      <c r="BE258" s="2">
        <f t="shared" si="378"/>
        <v>0</v>
      </c>
      <c r="BF258" s="2">
        <f t="shared" si="378"/>
        <v>0</v>
      </c>
      <c r="BG258" s="2">
        <f t="shared" si="378"/>
        <v>0</v>
      </c>
      <c r="BH258" s="2">
        <f t="shared" si="378"/>
        <v>0</v>
      </c>
      <c r="BI258" s="2">
        <f t="shared" si="378"/>
        <v>0</v>
      </c>
      <c r="BJ258" s="2">
        <f t="shared" si="378"/>
        <v>0</v>
      </c>
      <c r="BK258" s="2" t="e">
        <f t="shared" si="378"/>
        <v>#DIV/0!</v>
      </c>
      <c r="BM258" s="2">
        <f t="shared" si="377"/>
        <v>0</v>
      </c>
    </row>
    <row r="260" spans="1:65">
      <c r="A260" s="1" t="s">
        <v>144</v>
      </c>
      <c r="B260" s="60">
        <f>SUM(B189+B191+B195+B198+B200+B202+B204+B206+B210+B212+B214+B216+B218+B222+B224+B226+B228+B235+B237+B240+B242+B244+B249+B251+B254+B256+B258)</f>
        <v>17</v>
      </c>
      <c r="C260" s="3">
        <f t="shared" ref="C260:BM260" si="379">SUM(C189+C191+C195+C198+C200+C202+C204+C206+C210+C212+C214+C216+C218+C222+C224+C226+C228+C235+C237+C240+C242+C244+C249+C251+C254+C256+C258)</f>
        <v>17</v>
      </c>
      <c r="D260" s="3">
        <f t="shared" si="379"/>
        <v>17</v>
      </c>
      <c r="E260" s="3">
        <f t="shared" si="379"/>
        <v>17</v>
      </c>
      <c r="F260" s="3">
        <f t="shared" si="379"/>
        <v>17</v>
      </c>
      <c r="G260" s="3">
        <f t="shared" si="379"/>
        <v>17</v>
      </c>
      <c r="H260" s="3">
        <f t="shared" si="379"/>
        <v>17</v>
      </c>
      <c r="I260" s="3">
        <f t="shared" si="379"/>
        <v>17</v>
      </c>
      <c r="J260" s="3">
        <f t="shared" si="379"/>
        <v>17</v>
      </c>
      <c r="K260" s="60">
        <f t="shared" si="379"/>
        <v>17</v>
      </c>
      <c r="L260" s="3">
        <f t="shared" si="379"/>
        <v>17</v>
      </c>
      <c r="M260" s="3">
        <f t="shared" si="379"/>
        <v>17</v>
      </c>
      <c r="N260" s="3">
        <f t="shared" si="379"/>
        <v>17</v>
      </c>
      <c r="O260" s="3">
        <f t="shared" si="379"/>
        <v>17</v>
      </c>
      <c r="P260" s="3">
        <f t="shared" si="379"/>
        <v>17</v>
      </c>
      <c r="Q260" s="60">
        <f t="shared" si="379"/>
        <v>15</v>
      </c>
      <c r="R260" s="3">
        <f t="shared" si="379"/>
        <v>30</v>
      </c>
      <c r="S260" s="3">
        <f t="shared" si="379"/>
        <v>30</v>
      </c>
      <c r="T260" s="3">
        <f t="shared" si="379"/>
        <v>30</v>
      </c>
      <c r="U260" s="3">
        <f t="shared" ref="U260:BK260" si="380">SUM(U189+U191+U195+U198+U200+U202+U204+U206+U210+U212+U214+U216+U218+U222+U224+U226+U228+U235+U237+U240+U242+U244+U249+U251+U254+U256+U258)</f>
        <v>30</v>
      </c>
      <c r="V260" s="3">
        <f t="shared" si="380"/>
        <v>30</v>
      </c>
      <c r="W260" s="3">
        <f t="shared" si="380"/>
        <v>17</v>
      </c>
      <c r="X260" s="3">
        <f t="shared" si="380"/>
        <v>27</v>
      </c>
      <c r="Y260" s="60">
        <f t="shared" si="380"/>
        <v>21</v>
      </c>
      <c r="Z260" s="3">
        <f t="shared" si="380"/>
        <v>17</v>
      </c>
      <c r="AA260" s="60">
        <f t="shared" si="380"/>
        <v>17</v>
      </c>
      <c r="AB260" s="3">
        <f t="shared" si="380"/>
        <v>19</v>
      </c>
      <c r="AC260" s="3">
        <f t="shared" si="380"/>
        <v>30</v>
      </c>
      <c r="AD260" s="3">
        <f t="shared" si="380"/>
        <v>30</v>
      </c>
      <c r="AE260" s="3">
        <f t="shared" si="380"/>
        <v>30</v>
      </c>
      <c r="AF260" s="3">
        <f t="shared" si="380"/>
        <v>30</v>
      </c>
      <c r="AG260" s="3">
        <f t="shared" si="380"/>
        <v>33</v>
      </c>
      <c r="AH260" s="3">
        <f t="shared" si="380"/>
        <v>30</v>
      </c>
      <c r="AI260" s="3">
        <f t="shared" si="380"/>
        <v>30</v>
      </c>
      <c r="AJ260" s="3">
        <f t="shared" si="380"/>
        <v>30</v>
      </c>
      <c r="AK260" s="3">
        <f t="shared" si="380"/>
        <v>30</v>
      </c>
      <c r="AL260" s="3">
        <f t="shared" si="380"/>
        <v>30</v>
      </c>
      <c r="AM260" s="3">
        <f t="shared" si="380"/>
        <v>30</v>
      </c>
      <c r="AN260" s="3">
        <f t="shared" si="380"/>
        <v>27</v>
      </c>
      <c r="AO260" s="3">
        <f t="shared" si="380"/>
        <v>27</v>
      </c>
      <c r="AP260" s="3">
        <f t="shared" si="380"/>
        <v>17</v>
      </c>
      <c r="AQ260" s="3">
        <f t="shared" si="380"/>
        <v>17</v>
      </c>
      <c r="AR260" s="3">
        <f t="shared" si="380"/>
        <v>17</v>
      </c>
      <c r="AS260" s="3">
        <f t="shared" si="380"/>
        <v>17</v>
      </c>
      <c r="AT260" s="3">
        <f t="shared" si="380"/>
        <v>17</v>
      </c>
      <c r="AU260" s="60">
        <f t="shared" si="380"/>
        <v>17</v>
      </c>
      <c r="AV260" s="3">
        <f t="shared" si="380"/>
        <v>17</v>
      </c>
      <c r="AW260" s="3">
        <f t="shared" si="380"/>
        <v>17</v>
      </c>
      <c r="AX260" s="3">
        <f t="shared" si="380"/>
        <v>17</v>
      </c>
      <c r="AY260" s="3">
        <f t="shared" si="380"/>
        <v>17</v>
      </c>
      <c r="AZ260" s="3">
        <f t="shared" si="380"/>
        <v>17</v>
      </c>
      <c r="BA260" s="3">
        <f t="shared" si="380"/>
        <v>19</v>
      </c>
      <c r="BB260" s="3">
        <f t="shared" si="380"/>
        <v>19</v>
      </c>
      <c r="BC260" s="3">
        <f t="shared" si="380"/>
        <v>30</v>
      </c>
      <c r="BD260" s="3">
        <f t="shared" si="380"/>
        <v>19</v>
      </c>
      <c r="BE260" s="3">
        <f t="shared" si="380"/>
        <v>30</v>
      </c>
      <c r="BF260" s="3">
        <f t="shared" si="380"/>
        <v>30</v>
      </c>
      <c r="BG260" s="3">
        <f t="shared" si="380"/>
        <v>30</v>
      </c>
      <c r="BH260" s="3">
        <f t="shared" si="380"/>
        <v>30</v>
      </c>
      <c r="BI260" s="3">
        <f t="shared" si="380"/>
        <v>30</v>
      </c>
      <c r="BJ260" s="3">
        <f t="shared" si="380"/>
        <v>30</v>
      </c>
      <c r="BK260" s="3" t="e">
        <f t="shared" si="380"/>
        <v>#DIV/0!</v>
      </c>
      <c r="BL260" s="3"/>
      <c r="BM260" s="3">
        <f t="shared" si="379"/>
        <v>17</v>
      </c>
    </row>
    <row r="261" spans="1:65">
      <c r="A261" s="1" t="s">
        <v>146</v>
      </c>
      <c r="B261" s="60">
        <f>VALUE(2)</f>
        <v>2</v>
      </c>
      <c r="C261" s="3">
        <f t="shared" ref="C261:BM261" si="381">VALUE(2)</f>
        <v>2</v>
      </c>
      <c r="D261" s="3">
        <f t="shared" si="381"/>
        <v>2</v>
      </c>
      <c r="E261" s="3">
        <f t="shared" si="381"/>
        <v>2</v>
      </c>
      <c r="F261" s="3">
        <f t="shared" si="381"/>
        <v>2</v>
      </c>
      <c r="G261" s="3">
        <f t="shared" si="381"/>
        <v>2</v>
      </c>
      <c r="H261" s="3">
        <f t="shared" si="381"/>
        <v>2</v>
      </c>
      <c r="I261" s="3">
        <f t="shared" si="381"/>
        <v>2</v>
      </c>
      <c r="J261" s="3">
        <f t="shared" si="381"/>
        <v>2</v>
      </c>
      <c r="K261" s="60">
        <f t="shared" si="381"/>
        <v>2</v>
      </c>
      <c r="L261" s="3">
        <f t="shared" si="381"/>
        <v>2</v>
      </c>
      <c r="M261" s="3">
        <f t="shared" si="381"/>
        <v>2</v>
      </c>
      <c r="N261" s="3">
        <f t="shared" si="381"/>
        <v>2</v>
      </c>
      <c r="O261" s="3">
        <f t="shared" si="381"/>
        <v>2</v>
      </c>
      <c r="P261" s="3">
        <f t="shared" si="381"/>
        <v>2</v>
      </c>
      <c r="Q261" s="60">
        <f t="shared" si="381"/>
        <v>2</v>
      </c>
      <c r="R261" s="3">
        <f t="shared" si="381"/>
        <v>2</v>
      </c>
      <c r="S261" s="3">
        <f t="shared" si="381"/>
        <v>2</v>
      </c>
      <c r="T261" s="3">
        <f t="shared" si="381"/>
        <v>2</v>
      </c>
      <c r="U261" s="3">
        <f t="shared" si="381"/>
        <v>2</v>
      </c>
      <c r="V261" s="3">
        <f t="shared" si="381"/>
        <v>2</v>
      </c>
      <c r="W261" s="3">
        <f t="shared" si="381"/>
        <v>2</v>
      </c>
      <c r="X261" s="3">
        <f t="shared" si="381"/>
        <v>2</v>
      </c>
      <c r="Y261" s="60">
        <f t="shared" si="381"/>
        <v>2</v>
      </c>
      <c r="Z261" s="3">
        <f t="shared" si="381"/>
        <v>2</v>
      </c>
      <c r="AA261" s="60">
        <f t="shared" si="381"/>
        <v>2</v>
      </c>
      <c r="AB261" s="3">
        <f t="shared" si="381"/>
        <v>2</v>
      </c>
      <c r="AC261" s="3">
        <f t="shared" si="381"/>
        <v>2</v>
      </c>
      <c r="AD261" s="3">
        <f t="shared" si="381"/>
        <v>2</v>
      </c>
      <c r="AE261" s="3">
        <f t="shared" si="381"/>
        <v>2</v>
      </c>
      <c r="AF261" s="3">
        <f t="shared" si="381"/>
        <v>2</v>
      </c>
      <c r="AG261" s="3">
        <f t="shared" si="381"/>
        <v>2</v>
      </c>
      <c r="AH261" s="3">
        <f t="shared" si="381"/>
        <v>2</v>
      </c>
      <c r="AI261" s="3">
        <f t="shared" si="381"/>
        <v>2</v>
      </c>
      <c r="AJ261" s="3">
        <f t="shared" si="381"/>
        <v>2</v>
      </c>
      <c r="AK261" s="3">
        <f t="shared" si="381"/>
        <v>2</v>
      </c>
      <c r="AL261" s="3">
        <f t="shared" si="381"/>
        <v>2</v>
      </c>
      <c r="AM261" s="3">
        <f t="shared" si="381"/>
        <v>2</v>
      </c>
      <c r="AN261" s="3">
        <f t="shared" si="381"/>
        <v>2</v>
      </c>
      <c r="AO261" s="3">
        <f t="shared" si="381"/>
        <v>2</v>
      </c>
      <c r="AP261" s="3">
        <f t="shared" si="381"/>
        <v>2</v>
      </c>
      <c r="AQ261" s="3">
        <f t="shared" si="381"/>
        <v>2</v>
      </c>
      <c r="AR261" s="3">
        <f t="shared" si="381"/>
        <v>2</v>
      </c>
      <c r="AS261" s="3">
        <f t="shared" si="381"/>
        <v>2</v>
      </c>
      <c r="AT261" s="3">
        <f t="shared" si="381"/>
        <v>2</v>
      </c>
      <c r="AU261" s="60">
        <f t="shared" si="381"/>
        <v>2</v>
      </c>
      <c r="AV261" s="3">
        <f t="shared" si="381"/>
        <v>2</v>
      </c>
      <c r="AW261" s="3">
        <f t="shared" si="381"/>
        <v>2</v>
      </c>
      <c r="AX261" s="3">
        <f t="shared" si="381"/>
        <v>2</v>
      </c>
      <c r="AY261" s="3">
        <f t="shared" si="381"/>
        <v>2</v>
      </c>
      <c r="AZ261" s="3">
        <f t="shared" si="381"/>
        <v>2</v>
      </c>
      <c r="BA261" s="3">
        <f t="shared" si="381"/>
        <v>2</v>
      </c>
      <c r="BB261" s="3">
        <f t="shared" si="381"/>
        <v>2</v>
      </c>
      <c r="BC261" s="3">
        <f t="shared" si="381"/>
        <v>2</v>
      </c>
      <c r="BD261" s="3">
        <f t="shared" si="381"/>
        <v>2</v>
      </c>
      <c r="BE261" s="3">
        <f t="shared" si="381"/>
        <v>2</v>
      </c>
      <c r="BF261" s="3">
        <f t="shared" si="381"/>
        <v>2</v>
      </c>
      <c r="BG261" s="3">
        <f t="shared" si="381"/>
        <v>2</v>
      </c>
      <c r="BH261" s="3">
        <f t="shared" si="381"/>
        <v>2</v>
      </c>
      <c r="BI261" s="3">
        <f t="shared" si="381"/>
        <v>2</v>
      </c>
      <c r="BJ261" s="3">
        <f t="shared" si="381"/>
        <v>2</v>
      </c>
      <c r="BK261" s="3">
        <f t="shared" si="381"/>
        <v>2</v>
      </c>
      <c r="BL261" s="3"/>
      <c r="BM261" s="3">
        <f t="shared" si="381"/>
        <v>2</v>
      </c>
    </row>
    <row r="262" spans="1:65">
      <c r="A262" s="1" t="s">
        <v>145</v>
      </c>
      <c r="B262" s="54" t="str">
        <f>ADDRESS(B260,B261,,,"AN")</f>
        <v>AN!$B$17</v>
      </c>
      <c r="C262" s="2" t="str">
        <f t="shared" ref="C262:BM262" si="382">ADDRESS(C260,C261,,,"AN")</f>
        <v>AN!$B$17</v>
      </c>
      <c r="D262" s="2" t="str">
        <f t="shared" si="382"/>
        <v>AN!$B$17</v>
      </c>
      <c r="E262" s="2" t="str">
        <f t="shared" si="382"/>
        <v>AN!$B$17</v>
      </c>
      <c r="F262" s="2" t="str">
        <f t="shared" si="382"/>
        <v>AN!$B$17</v>
      </c>
      <c r="G262" s="2" t="str">
        <f t="shared" si="382"/>
        <v>AN!$B$17</v>
      </c>
      <c r="H262" s="2" t="str">
        <f t="shared" si="382"/>
        <v>AN!$B$17</v>
      </c>
      <c r="I262" s="2" t="str">
        <f t="shared" si="382"/>
        <v>AN!$B$17</v>
      </c>
      <c r="J262" s="2" t="str">
        <f t="shared" si="382"/>
        <v>AN!$B$17</v>
      </c>
      <c r="K262" s="54" t="str">
        <f t="shared" si="382"/>
        <v>AN!$B$17</v>
      </c>
      <c r="L262" s="2" t="str">
        <f t="shared" si="382"/>
        <v>AN!$B$17</v>
      </c>
      <c r="M262" s="2" t="str">
        <f t="shared" si="382"/>
        <v>AN!$B$17</v>
      </c>
      <c r="N262" s="2" t="str">
        <f t="shared" si="382"/>
        <v>AN!$B$17</v>
      </c>
      <c r="O262" s="2" t="str">
        <f t="shared" si="382"/>
        <v>AN!$B$17</v>
      </c>
      <c r="P262" s="2" t="str">
        <f t="shared" si="382"/>
        <v>AN!$B$17</v>
      </c>
      <c r="Q262" s="54" t="str">
        <f t="shared" si="382"/>
        <v>AN!$B$15</v>
      </c>
      <c r="R262" s="2" t="str">
        <f t="shared" si="382"/>
        <v>AN!$B$30</v>
      </c>
      <c r="S262" s="2" t="str">
        <f t="shared" si="382"/>
        <v>AN!$B$30</v>
      </c>
      <c r="T262" s="2" t="str">
        <f t="shared" si="382"/>
        <v>AN!$B$30</v>
      </c>
      <c r="U262" s="2" t="str">
        <f t="shared" ref="U262:BK262" si="383">ADDRESS(U260,U261,,,"AN")</f>
        <v>AN!$B$30</v>
      </c>
      <c r="V262" s="2" t="str">
        <f t="shared" si="383"/>
        <v>AN!$B$30</v>
      </c>
      <c r="W262" s="2" t="str">
        <f t="shared" si="383"/>
        <v>AN!$B$17</v>
      </c>
      <c r="X262" s="2" t="str">
        <f t="shared" si="383"/>
        <v>AN!$B$27</v>
      </c>
      <c r="Y262" s="54" t="str">
        <f t="shared" si="383"/>
        <v>AN!$B$21</v>
      </c>
      <c r="Z262" s="2" t="str">
        <f t="shared" si="383"/>
        <v>AN!$B$17</v>
      </c>
      <c r="AA262" s="54" t="str">
        <f t="shared" si="383"/>
        <v>AN!$B$17</v>
      </c>
      <c r="AB262" s="2" t="str">
        <f t="shared" si="383"/>
        <v>AN!$B$19</v>
      </c>
      <c r="AC262" s="2" t="str">
        <f t="shared" si="383"/>
        <v>AN!$B$30</v>
      </c>
      <c r="AD262" s="2" t="str">
        <f t="shared" si="383"/>
        <v>AN!$B$30</v>
      </c>
      <c r="AE262" s="2" t="str">
        <f t="shared" si="383"/>
        <v>AN!$B$30</v>
      </c>
      <c r="AF262" s="2" t="str">
        <f t="shared" si="383"/>
        <v>AN!$B$30</v>
      </c>
      <c r="AG262" s="2" t="str">
        <f t="shared" si="383"/>
        <v>AN!$B$33</v>
      </c>
      <c r="AH262" s="2" t="str">
        <f t="shared" si="383"/>
        <v>AN!$B$30</v>
      </c>
      <c r="AI262" s="2" t="str">
        <f t="shared" si="383"/>
        <v>AN!$B$30</v>
      </c>
      <c r="AJ262" s="2" t="str">
        <f t="shared" si="383"/>
        <v>AN!$B$30</v>
      </c>
      <c r="AK262" s="2" t="str">
        <f t="shared" si="383"/>
        <v>AN!$B$30</v>
      </c>
      <c r="AL262" s="2" t="str">
        <f t="shared" si="383"/>
        <v>AN!$B$30</v>
      </c>
      <c r="AM262" s="2" t="str">
        <f t="shared" si="383"/>
        <v>AN!$B$30</v>
      </c>
      <c r="AN262" s="2" t="str">
        <f t="shared" si="383"/>
        <v>AN!$B$27</v>
      </c>
      <c r="AO262" s="2" t="str">
        <f t="shared" si="383"/>
        <v>AN!$B$27</v>
      </c>
      <c r="AP262" s="2" t="str">
        <f t="shared" si="383"/>
        <v>AN!$B$17</v>
      </c>
      <c r="AQ262" s="2" t="str">
        <f t="shared" si="383"/>
        <v>AN!$B$17</v>
      </c>
      <c r="AR262" s="2" t="str">
        <f t="shared" si="383"/>
        <v>AN!$B$17</v>
      </c>
      <c r="AS262" s="2" t="str">
        <f t="shared" si="383"/>
        <v>AN!$B$17</v>
      </c>
      <c r="AT262" s="2" t="str">
        <f t="shared" si="383"/>
        <v>AN!$B$17</v>
      </c>
      <c r="AU262" s="54" t="str">
        <f t="shared" si="383"/>
        <v>AN!$B$17</v>
      </c>
      <c r="AV262" s="2" t="str">
        <f t="shared" si="383"/>
        <v>AN!$B$17</v>
      </c>
      <c r="AW262" s="2" t="str">
        <f t="shared" si="383"/>
        <v>AN!$B$17</v>
      </c>
      <c r="AX262" s="2" t="str">
        <f t="shared" si="383"/>
        <v>AN!$B$17</v>
      </c>
      <c r="AY262" s="2" t="str">
        <f t="shared" si="383"/>
        <v>AN!$B$17</v>
      </c>
      <c r="AZ262" s="2" t="str">
        <f t="shared" si="383"/>
        <v>AN!$B$17</v>
      </c>
      <c r="BA262" s="2" t="str">
        <f t="shared" si="383"/>
        <v>AN!$B$19</v>
      </c>
      <c r="BB262" s="2" t="str">
        <f t="shared" si="383"/>
        <v>AN!$B$19</v>
      </c>
      <c r="BC262" s="2" t="str">
        <f t="shared" si="383"/>
        <v>AN!$B$30</v>
      </c>
      <c r="BD262" s="2" t="str">
        <f t="shared" si="383"/>
        <v>AN!$B$19</v>
      </c>
      <c r="BE262" s="2" t="str">
        <f t="shared" si="383"/>
        <v>AN!$B$30</v>
      </c>
      <c r="BF262" s="2" t="str">
        <f t="shared" si="383"/>
        <v>AN!$B$30</v>
      </c>
      <c r="BG262" s="2" t="str">
        <f t="shared" si="383"/>
        <v>AN!$B$30</v>
      </c>
      <c r="BH262" s="2" t="str">
        <f t="shared" si="383"/>
        <v>AN!$B$30</v>
      </c>
      <c r="BI262" s="2" t="str">
        <f t="shared" si="383"/>
        <v>AN!$B$30</v>
      </c>
      <c r="BJ262" s="2" t="str">
        <f t="shared" si="383"/>
        <v>AN!$B$30</v>
      </c>
      <c r="BK262" s="2" t="e">
        <f t="shared" si="383"/>
        <v>#DIV/0!</v>
      </c>
      <c r="BM262" s="2" t="str">
        <f t="shared" si="382"/>
        <v>AN!$B$17</v>
      </c>
    </row>
    <row r="263" spans="1:65">
      <c r="B263" s="61" t="str">
        <f ca="1">INDIRECT(B262)</f>
        <v xml:space="preserve">Magnesio-Hbl </v>
      </c>
      <c r="C263" s="40" t="str">
        <f t="shared" ref="C263:BM263" ca="1" si="384">INDIRECT(C262)</f>
        <v xml:space="preserve">Magnesio-Hbl </v>
      </c>
      <c r="D263" s="40" t="str">
        <f t="shared" ca="1" si="384"/>
        <v xml:space="preserve">Magnesio-Hbl </v>
      </c>
      <c r="E263" s="40" t="str">
        <f t="shared" ca="1" si="384"/>
        <v xml:space="preserve">Magnesio-Hbl </v>
      </c>
      <c r="F263" s="40" t="str">
        <f t="shared" ca="1" si="384"/>
        <v xml:space="preserve">Magnesio-Hbl </v>
      </c>
      <c r="G263" s="40" t="str">
        <f t="shared" ca="1" si="384"/>
        <v xml:space="preserve">Magnesio-Hbl </v>
      </c>
      <c r="H263" s="40" t="str">
        <f t="shared" ca="1" si="384"/>
        <v xml:space="preserve">Magnesio-Hbl </v>
      </c>
      <c r="I263" s="40" t="str">
        <f t="shared" ca="1" si="384"/>
        <v xml:space="preserve">Magnesio-Hbl </v>
      </c>
      <c r="J263" s="40" t="str">
        <f t="shared" ca="1" si="384"/>
        <v xml:space="preserve">Magnesio-Hbl </v>
      </c>
      <c r="K263" s="61" t="str">
        <f t="shared" ca="1" si="384"/>
        <v xml:space="preserve">Magnesio-Hbl </v>
      </c>
      <c r="L263" s="40" t="str">
        <f t="shared" ca="1" si="384"/>
        <v xml:space="preserve">Magnesio-Hbl </v>
      </c>
      <c r="M263" s="40" t="str">
        <f t="shared" ca="1" si="384"/>
        <v xml:space="preserve">Magnesio-Hbl </v>
      </c>
      <c r="N263" s="40" t="str">
        <f t="shared" ca="1" si="384"/>
        <v xml:space="preserve">Magnesio-Hbl </v>
      </c>
      <c r="O263" s="40" t="str">
        <f t="shared" ca="1" si="384"/>
        <v xml:space="preserve">Magnesio-Hbl </v>
      </c>
      <c r="P263" s="40" t="str">
        <f t="shared" ca="1" si="384"/>
        <v xml:space="preserve">Magnesio-Hbl </v>
      </c>
      <c r="Q263" s="61" t="str">
        <f t="shared" ca="1" si="384"/>
        <v>Actinolitic Hbl</v>
      </c>
      <c r="R263" s="40" t="str">
        <f t="shared" ca="1" si="384"/>
        <v>Ferroan Paragasitic Hbl</v>
      </c>
      <c r="S263" s="40" t="str">
        <f t="shared" ca="1" si="384"/>
        <v>Ferroan Paragasitic Hbl</v>
      </c>
      <c r="T263" s="40" t="str">
        <f t="shared" ca="1" si="384"/>
        <v>Ferroan Paragasitic Hbl</v>
      </c>
      <c r="U263" s="40" t="str">
        <f t="shared" ref="U263:BK263" ca="1" si="385">INDIRECT(U262)</f>
        <v>Ferroan Paragasitic Hbl</v>
      </c>
      <c r="V263" s="40" t="str">
        <f t="shared" ca="1" si="385"/>
        <v>Ferroan Paragasitic Hbl</v>
      </c>
      <c r="W263" s="40" t="str">
        <f t="shared" ca="1" si="385"/>
        <v xml:space="preserve">Magnesio-Hbl </v>
      </c>
      <c r="X263" s="40" t="str">
        <f t="shared" ca="1" si="385"/>
        <v>Edenitic Hbl</v>
      </c>
      <c r="Y263" s="61" t="str">
        <f t="shared" ca="1" si="385"/>
        <v>Tschermakite</v>
      </c>
      <c r="Z263" s="40" t="str">
        <f t="shared" ca="1" si="385"/>
        <v xml:space="preserve">Magnesio-Hbl </v>
      </c>
      <c r="AA263" s="61" t="str">
        <f t="shared" ca="1" si="385"/>
        <v xml:space="preserve">Magnesio-Hbl </v>
      </c>
      <c r="AB263" s="40" t="str">
        <f t="shared" ca="1" si="385"/>
        <v>Tschermakitic Hbl</v>
      </c>
      <c r="AC263" s="40" t="str">
        <f t="shared" ca="1" si="385"/>
        <v>Ferroan Paragasitic Hbl</v>
      </c>
      <c r="AD263" s="40" t="str">
        <f t="shared" ca="1" si="385"/>
        <v>Ferroan Paragasitic Hbl</v>
      </c>
      <c r="AE263" s="40" t="str">
        <f t="shared" ca="1" si="385"/>
        <v>Ferroan Paragasitic Hbl</v>
      </c>
      <c r="AF263" s="40" t="str">
        <f t="shared" ca="1" si="385"/>
        <v>Ferroan Paragasitic Hbl</v>
      </c>
      <c r="AG263" s="40" t="str">
        <f t="shared" ca="1" si="385"/>
        <v>Ferroan Paragasite</v>
      </c>
      <c r="AH263" s="40" t="str">
        <f t="shared" ca="1" si="385"/>
        <v>Ferroan Paragasitic Hbl</v>
      </c>
      <c r="AI263" s="40" t="str">
        <f t="shared" ca="1" si="385"/>
        <v>Ferroan Paragasitic Hbl</v>
      </c>
      <c r="AJ263" s="40" t="str">
        <f t="shared" ca="1" si="385"/>
        <v>Ferroan Paragasitic Hbl</v>
      </c>
      <c r="AK263" s="40" t="str">
        <f t="shared" ca="1" si="385"/>
        <v>Ferroan Paragasitic Hbl</v>
      </c>
      <c r="AL263" s="40" t="str">
        <f t="shared" ca="1" si="385"/>
        <v>Ferroan Paragasitic Hbl</v>
      </c>
      <c r="AM263" s="40" t="str">
        <f t="shared" ca="1" si="385"/>
        <v>Ferroan Paragasitic Hbl</v>
      </c>
      <c r="AN263" s="40" t="str">
        <f t="shared" ca="1" si="385"/>
        <v>Edenitic Hbl</v>
      </c>
      <c r="AO263" s="40" t="str">
        <f t="shared" ca="1" si="385"/>
        <v>Edenitic Hbl</v>
      </c>
      <c r="AP263" s="40" t="str">
        <f t="shared" ca="1" si="385"/>
        <v xml:space="preserve">Magnesio-Hbl </v>
      </c>
      <c r="AQ263" s="40" t="str">
        <f t="shared" ca="1" si="385"/>
        <v xml:space="preserve">Magnesio-Hbl </v>
      </c>
      <c r="AR263" s="40" t="str">
        <f t="shared" ca="1" si="385"/>
        <v xml:space="preserve">Magnesio-Hbl </v>
      </c>
      <c r="AS263" s="40" t="str">
        <f t="shared" ca="1" si="385"/>
        <v xml:space="preserve">Magnesio-Hbl </v>
      </c>
      <c r="AT263" s="40" t="str">
        <f t="shared" ca="1" si="385"/>
        <v xml:space="preserve">Magnesio-Hbl </v>
      </c>
      <c r="AU263" s="61" t="str">
        <f t="shared" ca="1" si="385"/>
        <v xml:space="preserve">Magnesio-Hbl </v>
      </c>
      <c r="AV263" s="40" t="str">
        <f t="shared" ca="1" si="385"/>
        <v xml:space="preserve">Magnesio-Hbl </v>
      </c>
      <c r="AW263" s="40" t="str">
        <f t="shared" ca="1" si="385"/>
        <v xml:space="preserve">Magnesio-Hbl </v>
      </c>
      <c r="AX263" s="40" t="str">
        <f t="shared" ca="1" si="385"/>
        <v xml:space="preserve">Magnesio-Hbl </v>
      </c>
      <c r="AY263" s="40" t="str">
        <f t="shared" ca="1" si="385"/>
        <v xml:space="preserve">Magnesio-Hbl </v>
      </c>
      <c r="AZ263" s="40" t="str">
        <f t="shared" ca="1" si="385"/>
        <v xml:space="preserve">Magnesio-Hbl </v>
      </c>
      <c r="BA263" s="40" t="str">
        <f t="shared" ca="1" si="385"/>
        <v>Tschermakitic Hbl</v>
      </c>
      <c r="BB263" s="40" t="str">
        <f t="shared" ca="1" si="385"/>
        <v>Tschermakitic Hbl</v>
      </c>
      <c r="BC263" s="40" t="str">
        <f t="shared" ca="1" si="385"/>
        <v>Ferroan Paragasitic Hbl</v>
      </c>
      <c r="BD263" s="40" t="str">
        <f t="shared" ca="1" si="385"/>
        <v>Tschermakitic Hbl</v>
      </c>
      <c r="BE263" s="40" t="str">
        <f t="shared" ca="1" si="385"/>
        <v>Ferroan Paragasitic Hbl</v>
      </c>
      <c r="BF263" s="40" t="str">
        <f t="shared" ca="1" si="385"/>
        <v>Ferroan Paragasitic Hbl</v>
      </c>
      <c r="BG263" s="40" t="str">
        <f t="shared" ca="1" si="385"/>
        <v>Ferroan Paragasitic Hbl</v>
      </c>
      <c r="BH263" s="40" t="str">
        <f t="shared" ca="1" si="385"/>
        <v>Ferroan Paragasitic Hbl</v>
      </c>
      <c r="BI263" s="40" t="str">
        <f t="shared" ca="1" si="385"/>
        <v>Ferroan Paragasitic Hbl</v>
      </c>
      <c r="BJ263" s="40" t="str">
        <f t="shared" ca="1" si="385"/>
        <v>Ferroan Paragasitic Hbl</v>
      </c>
      <c r="BK263" s="40" t="e">
        <f t="shared" ca="1" si="385"/>
        <v>#DIV/0!</v>
      </c>
      <c r="BL263" s="40"/>
      <c r="BM263" s="40" t="str">
        <f t="shared" ca="1" si="384"/>
        <v xml:space="preserve">Magnesio-Hbl 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workbookViewId="0">
      <selection activeCell="A32" sqref="A32:IV32"/>
    </sheetView>
  </sheetViews>
  <sheetFormatPr baseColWidth="10" defaultRowHeight="13"/>
  <cols>
    <col min="2" max="2" width="27.796875" style="1" customWidth="1"/>
    <col min="3" max="12" width="11" style="2" customWidth="1"/>
    <col min="13" max="15" width="11" style="1" customWidth="1"/>
  </cols>
  <sheetData>
    <row r="1" spans="1:2">
      <c r="B1" s="1" t="s">
        <v>102</v>
      </c>
    </row>
    <row r="3" spans="1:2">
      <c r="A3">
        <v>3</v>
      </c>
      <c r="B3" s="1" t="s">
        <v>187</v>
      </c>
    </row>
    <row r="4" spans="1:2">
      <c r="A4">
        <v>4</v>
      </c>
      <c r="B4" s="2" t="s">
        <v>188</v>
      </c>
    </row>
    <row r="5" spans="1:2">
      <c r="A5">
        <v>5</v>
      </c>
      <c r="B5" s="2" t="s">
        <v>189</v>
      </c>
    </row>
    <row r="6" spans="1:2">
      <c r="A6">
        <v>6</v>
      </c>
      <c r="B6" s="2" t="s">
        <v>190</v>
      </c>
    </row>
    <row r="7" spans="1:2">
      <c r="A7">
        <v>7</v>
      </c>
      <c r="B7" s="2" t="s">
        <v>191</v>
      </c>
    </row>
    <row r="8" spans="1:2">
      <c r="A8">
        <v>8</v>
      </c>
      <c r="B8" s="2" t="s">
        <v>192</v>
      </c>
    </row>
    <row r="9" spans="1:2">
      <c r="A9">
        <v>9</v>
      </c>
      <c r="B9" s="2" t="s">
        <v>193</v>
      </c>
    </row>
    <row r="10" spans="1:2">
      <c r="A10">
        <v>10</v>
      </c>
      <c r="B10" s="2" t="s">
        <v>194</v>
      </c>
    </row>
    <row r="11" spans="1:2">
      <c r="A11">
        <v>11</v>
      </c>
      <c r="B11" s="2" t="s">
        <v>195</v>
      </c>
    </row>
    <row r="12" spans="1:2">
      <c r="A12">
        <v>12</v>
      </c>
      <c r="B12" s="2" t="s">
        <v>196</v>
      </c>
    </row>
    <row r="13" spans="1:2">
      <c r="A13">
        <v>13</v>
      </c>
      <c r="B13" s="2" t="s">
        <v>197</v>
      </c>
    </row>
    <row r="14" spans="1:2">
      <c r="A14">
        <v>14</v>
      </c>
      <c r="B14" s="2" t="s">
        <v>198</v>
      </c>
    </row>
    <row r="15" spans="1:2">
      <c r="A15">
        <v>15</v>
      </c>
      <c r="B15" s="2" t="s">
        <v>199</v>
      </c>
    </row>
    <row r="16" spans="1:2">
      <c r="A16">
        <v>16</v>
      </c>
      <c r="B16" s="2" t="s">
        <v>200</v>
      </c>
    </row>
    <row r="17" spans="1:2">
      <c r="A17">
        <v>17</v>
      </c>
      <c r="B17" s="2" t="s">
        <v>201</v>
      </c>
    </row>
    <row r="18" spans="1:2">
      <c r="A18">
        <v>18</v>
      </c>
      <c r="B18" s="2" t="s">
        <v>202</v>
      </c>
    </row>
    <row r="19" spans="1:2">
      <c r="A19">
        <v>19</v>
      </c>
      <c r="B19" s="2" t="s">
        <v>23</v>
      </c>
    </row>
    <row r="20" spans="1:2">
      <c r="A20">
        <v>20</v>
      </c>
      <c r="B20" s="39" t="s">
        <v>203</v>
      </c>
    </row>
    <row r="21" spans="1:2">
      <c r="A21">
        <v>21</v>
      </c>
      <c r="B21" s="2" t="s">
        <v>24</v>
      </c>
    </row>
    <row r="22" spans="1:2">
      <c r="A22">
        <v>22</v>
      </c>
      <c r="B22" s="2" t="s">
        <v>204</v>
      </c>
    </row>
    <row r="23" spans="1:2">
      <c r="A23">
        <v>23</v>
      </c>
      <c r="B23" s="2" t="s">
        <v>205</v>
      </c>
    </row>
    <row r="24" spans="1:2">
      <c r="A24">
        <v>24</v>
      </c>
      <c r="B24" s="2" t="s">
        <v>206</v>
      </c>
    </row>
    <row r="25" spans="1:2">
      <c r="A25">
        <v>25</v>
      </c>
      <c r="B25" s="2" t="s">
        <v>207</v>
      </c>
    </row>
    <row r="26" spans="1:2">
      <c r="A26">
        <v>26</v>
      </c>
      <c r="B26" s="2" t="s">
        <v>208</v>
      </c>
    </row>
    <row r="27" spans="1:2">
      <c r="A27">
        <v>27</v>
      </c>
      <c r="B27" s="2" t="s">
        <v>25</v>
      </c>
    </row>
    <row r="28" spans="1:2">
      <c r="A28">
        <v>28</v>
      </c>
      <c r="B28" s="2" t="s">
        <v>160</v>
      </c>
    </row>
    <row r="29" spans="1:2">
      <c r="A29">
        <v>29</v>
      </c>
      <c r="B29" s="2" t="s">
        <v>161</v>
      </c>
    </row>
    <row r="30" spans="1:2">
      <c r="A30">
        <v>30</v>
      </c>
      <c r="B30" s="2" t="s">
        <v>162</v>
      </c>
    </row>
    <row r="31" spans="1:2">
      <c r="A31">
        <v>31</v>
      </c>
      <c r="B31" s="2" t="s">
        <v>163</v>
      </c>
    </row>
    <row r="32" spans="1:2">
      <c r="A32">
        <v>32</v>
      </c>
      <c r="B32" s="2" t="s">
        <v>164</v>
      </c>
    </row>
    <row r="33" spans="1:2">
      <c r="A33">
        <v>33</v>
      </c>
      <c r="B33" s="2" t="s">
        <v>165</v>
      </c>
    </row>
    <row r="34" spans="1:2">
      <c r="A34">
        <v>34</v>
      </c>
      <c r="B34" s="2" t="s">
        <v>166</v>
      </c>
    </row>
    <row r="35" spans="1:2">
      <c r="A35">
        <v>35</v>
      </c>
      <c r="B35" s="2" t="s">
        <v>205</v>
      </c>
    </row>
    <row r="36" spans="1:2">
      <c r="A36">
        <v>36</v>
      </c>
      <c r="B36" s="2" t="s">
        <v>206</v>
      </c>
    </row>
    <row r="37" spans="1:2">
      <c r="A37">
        <v>37</v>
      </c>
      <c r="B37" s="2" t="s">
        <v>167</v>
      </c>
    </row>
    <row r="38" spans="1:2">
      <c r="A38">
        <v>38</v>
      </c>
      <c r="B38" s="2" t="s">
        <v>168</v>
      </c>
    </row>
    <row r="39" spans="1:2">
      <c r="A39">
        <v>39</v>
      </c>
      <c r="B39" s="2" t="s">
        <v>25</v>
      </c>
    </row>
    <row r="40" spans="1:2">
      <c r="A40">
        <v>40</v>
      </c>
      <c r="B40" s="2" t="s">
        <v>169</v>
      </c>
    </row>
    <row r="41" spans="1:2">
      <c r="A41">
        <v>41</v>
      </c>
      <c r="B41" s="2" t="s">
        <v>152</v>
      </c>
    </row>
    <row r="42" spans="1:2">
      <c r="A42">
        <v>42</v>
      </c>
      <c r="B42" s="2" t="s">
        <v>153</v>
      </c>
    </row>
    <row r="43" spans="1:2">
      <c r="A43">
        <v>43</v>
      </c>
      <c r="B43" s="2" t="s">
        <v>2</v>
      </c>
    </row>
    <row r="44" spans="1:2">
      <c r="A44">
        <v>44</v>
      </c>
      <c r="B44" s="2" t="s">
        <v>154</v>
      </c>
    </row>
    <row r="45" spans="1:2">
      <c r="A45">
        <v>45</v>
      </c>
      <c r="B45" s="2" t="s">
        <v>155</v>
      </c>
    </row>
    <row r="46" spans="1:2">
      <c r="A46">
        <v>46</v>
      </c>
      <c r="B46" s="2" t="s">
        <v>3</v>
      </c>
    </row>
    <row r="47" spans="1:2">
      <c r="A47">
        <v>47</v>
      </c>
      <c r="B47" s="2" t="s">
        <v>156</v>
      </c>
    </row>
    <row r="48" spans="1:2">
      <c r="A48">
        <v>48</v>
      </c>
      <c r="B48" s="2" t="s">
        <v>157</v>
      </c>
    </row>
    <row r="49" spans="1:2">
      <c r="A49">
        <v>49</v>
      </c>
      <c r="B49" s="2" t="s">
        <v>173</v>
      </c>
    </row>
    <row r="50" spans="1:2">
      <c r="A50">
        <v>50</v>
      </c>
      <c r="B50" s="2" t="s">
        <v>174</v>
      </c>
    </row>
    <row r="51" spans="1:2">
      <c r="A51">
        <v>51</v>
      </c>
      <c r="B51" s="2" t="s">
        <v>175</v>
      </c>
    </row>
    <row r="52" spans="1:2">
      <c r="A52">
        <v>52</v>
      </c>
      <c r="B52" s="2" t="s">
        <v>176</v>
      </c>
    </row>
    <row r="53" spans="1:2">
      <c r="A53">
        <v>53</v>
      </c>
      <c r="B53" s="2" t="s">
        <v>177</v>
      </c>
    </row>
    <row r="54" spans="1:2">
      <c r="A54">
        <v>54</v>
      </c>
      <c r="B54" s="2" t="s">
        <v>178</v>
      </c>
    </row>
    <row r="55" spans="1:2">
      <c r="A55">
        <v>55</v>
      </c>
      <c r="B55" s="2" t="s">
        <v>179</v>
      </c>
    </row>
    <row r="56" spans="1:2">
      <c r="A56">
        <v>56</v>
      </c>
      <c r="B56" s="2" t="s">
        <v>6</v>
      </c>
    </row>
    <row r="57" spans="1:2">
      <c r="A57">
        <v>57</v>
      </c>
      <c r="B57" s="2" t="s">
        <v>7</v>
      </c>
    </row>
    <row r="58" spans="1:2">
      <c r="A58">
        <v>58</v>
      </c>
      <c r="B58" s="2" t="s">
        <v>8</v>
      </c>
    </row>
    <row r="59" spans="1:2">
      <c r="A59">
        <v>59</v>
      </c>
      <c r="B59" s="2" t="s">
        <v>9</v>
      </c>
    </row>
    <row r="60" spans="1:2">
      <c r="A60">
        <v>60</v>
      </c>
      <c r="B60" s="2" t="s">
        <v>96</v>
      </c>
    </row>
    <row r="61" spans="1:2">
      <c r="A61">
        <v>61</v>
      </c>
      <c r="B61" s="2" t="s">
        <v>97</v>
      </c>
    </row>
    <row r="62" spans="1:2">
      <c r="A62">
        <v>62</v>
      </c>
      <c r="B62" s="2" t="s">
        <v>98</v>
      </c>
    </row>
    <row r="63" spans="1:2">
      <c r="A63">
        <v>63</v>
      </c>
      <c r="B63" s="2" t="s">
        <v>99</v>
      </c>
    </row>
    <row r="64" spans="1:2">
      <c r="A64">
        <v>64</v>
      </c>
      <c r="B64" s="2" t="s">
        <v>100</v>
      </c>
    </row>
    <row r="65" spans="1:2">
      <c r="A65">
        <v>65</v>
      </c>
      <c r="B65" s="2" t="s">
        <v>101</v>
      </c>
    </row>
  </sheetData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activeCell="B1" sqref="B1:G14"/>
    </sheetView>
  </sheetViews>
  <sheetFormatPr baseColWidth="10" defaultRowHeight="13"/>
  <cols>
    <col min="1" max="7" width="11" style="1" customWidth="1"/>
  </cols>
  <sheetData>
    <row r="1" spans="1:7">
      <c r="A1" s="49" t="s">
        <v>216</v>
      </c>
      <c r="B1" s="49" t="s">
        <v>217</v>
      </c>
      <c r="C1" s="49" t="s">
        <v>218</v>
      </c>
      <c r="D1" s="49" t="s">
        <v>219</v>
      </c>
      <c r="E1" s="49" t="s">
        <v>220</v>
      </c>
      <c r="F1" s="49" t="s">
        <v>221</v>
      </c>
      <c r="G1" s="49" t="s">
        <v>222</v>
      </c>
    </row>
    <row r="2" spans="1:7">
      <c r="A2" s="49"/>
      <c r="B2" s="49"/>
      <c r="C2" s="49"/>
      <c r="D2" s="49"/>
      <c r="E2" s="49"/>
      <c r="F2" s="49"/>
      <c r="G2" s="49"/>
    </row>
    <row r="3" spans="1:7">
      <c r="A3" s="1" t="s">
        <v>223</v>
      </c>
      <c r="B3" s="2">
        <v>41.398000000000003</v>
      </c>
      <c r="C3" s="2">
        <v>40.155000000000001</v>
      </c>
      <c r="D3" s="2">
        <v>41.290999999999997</v>
      </c>
      <c r="E3" s="2">
        <v>42.216999999999999</v>
      </c>
      <c r="F3" s="2">
        <v>42.323999999999998</v>
      </c>
      <c r="G3" s="2">
        <v>42.97</v>
      </c>
    </row>
    <row r="4" spans="1:7">
      <c r="A4" s="1" t="s">
        <v>224</v>
      </c>
      <c r="B4" s="2">
        <v>2.1680000000000001</v>
      </c>
      <c r="C4" s="2">
        <v>2.569</v>
      </c>
      <c r="D4" s="2">
        <v>2.2570000000000001</v>
      </c>
      <c r="E4" s="2">
        <v>2.0630000000000002</v>
      </c>
      <c r="F4" s="2">
        <v>2.012</v>
      </c>
      <c r="G4" s="2">
        <v>2.2330000000000001</v>
      </c>
    </row>
    <row r="5" spans="1:7">
      <c r="A5" s="1" t="s">
        <v>225</v>
      </c>
      <c r="B5" s="2">
        <v>1.2E-2</v>
      </c>
      <c r="C5" s="2">
        <v>1.2E-2</v>
      </c>
      <c r="D5" s="2">
        <v>2.1999999999999999E-2</v>
      </c>
      <c r="E5" s="2">
        <v>2.3E-2</v>
      </c>
      <c r="F5" s="2">
        <v>0</v>
      </c>
      <c r="G5" s="2">
        <v>2.5000000000000001E-2</v>
      </c>
    </row>
    <row r="6" spans="1:7">
      <c r="A6" s="1" t="s">
        <v>226</v>
      </c>
      <c r="B6" s="2">
        <v>14.983000000000001</v>
      </c>
      <c r="C6" s="2">
        <v>14.856999999999999</v>
      </c>
      <c r="D6" s="2">
        <v>14.055999999999999</v>
      </c>
      <c r="E6" s="2">
        <v>13.571999999999999</v>
      </c>
      <c r="F6" s="2">
        <v>13.952</v>
      </c>
      <c r="G6" s="2">
        <v>14.994999999999999</v>
      </c>
    </row>
    <row r="7" spans="1:7">
      <c r="A7" s="1" t="s">
        <v>227</v>
      </c>
      <c r="B7" s="2">
        <v>8.1289999999999996</v>
      </c>
      <c r="C7" s="2">
        <v>8.9949999999999992</v>
      </c>
      <c r="D7" s="2">
        <v>7.7640000000000002</v>
      </c>
      <c r="E7" s="2">
        <v>7.5170000000000003</v>
      </c>
      <c r="F7" s="2">
        <v>7.6689999999999996</v>
      </c>
      <c r="G7" s="2">
        <v>7.46</v>
      </c>
    </row>
    <row r="8" spans="1:7">
      <c r="A8" s="1" t="s">
        <v>228</v>
      </c>
      <c r="B8" s="2">
        <v>4.5999999999999999E-2</v>
      </c>
      <c r="C8" s="2">
        <v>0.04</v>
      </c>
      <c r="D8" s="2">
        <v>1.7000000000000001E-2</v>
      </c>
      <c r="E8" s="2">
        <v>3.6999999999999998E-2</v>
      </c>
      <c r="F8" s="2">
        <v>0.127</v>
      </c>
      <c r="G8" s="2">
        <v>7.0000000000000007E-2</v>
      </c>
    </row>
    <row r="9" spans="1:7">
      <c r="A9" s="1" t="s">
        <v>114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</row>
    <row r="10" spans="1:7">
      <c r="A10" s="1" t="s">
        <v>229</v>
      </c>
      <c r="B10" s="2">
        <v>15.058999999999999</v>
      </c>
      <c r="C10" s="2">
        <v>14.205</v>
      </c>
      <c r="D10" s="2">
        <v>15.976000000000001</v>
      </c>
      <c r="E10" s="2">
        <v>15.644</v>
      </c>
      <c r="F10" s="2">
        <v>15.638999999999999</v>
      </c>
      <c r="G10" s="2">
        <v>15.208</v>
      </c>
    </row>
    <row r="11" spans="1:7">
      <c r="A11" s="1" t="s">
        <v>230</v>
      </c>
      <c r="B11" s="2">
        <v>10.791</v>
      </c>
      <c r="C11" s="2">
        <v>11.061999999999999</v>
      </c>
      <c r="D11" s="2">
        <v>10.499000000000001</v>
      </c>
      <c r="E11" s="2">
        <v>10.555</v>
      </c>
      <c r="F11" s="2">
        <v>10.452999999999999</v>
      </c>
      <c r="G11" s="2">
        <v>10.291</v>
      </c>
    </row>
    <row r="12" spans="1:7">
      <c r="A12" s="1" t="s">
        <v>231</v>
      </c>
      <c r="B12" s="2">
        <v>2.6379999999999999</v>
      </c>
      <c r="C12" s="2">
        <v>2.5609999999999999</v>
      </c>
      <c r="D12" s="2">
        <v>2.8090000000000002</v>
      </c>
      <c r="E12" s="2">
        <v>2.6760000000000002</v>
      </c>
      <c r="F12" s="2">
        <v>2.6240000000000001</v>
      </c>
      <c r="G12" s="2">
        <v>2.569</v>
      </c>
    </row>
    <row r="13" spans="1:7">
      <c r="A13" s="1" t="s">
        <v>232</v>
      </c>
      <c r="B13" s="2">
        <v>2.0009999999999999</v>
      </c>
      <c r="C13" s="2">
        <v>1.855</v>
      </c>
      <c r="D13" s="2">
        <v>2</v>
      </c>
      <c r="E13" s="2">
        <v>2.149</v>
      </c>
      <c r="F13" s="2">
        <v>2.2149999999999999</v>
      </c>
      <c r="G13" s="2">
        <v>2.2570000000000001</v>
      </c>
    </row>
    <row r="14" spans="1:7">
      <c r="B14" s="2">
        <f t="shared" ref="B14:G14" si="0">SUM(B3:B13)</f>
        <v>97.225000000000023</v>
      </c>
      <c r="C14" s="2">
        <f t="shared" si="0"/>
        <v>96.311000000000021</v>
      </c>
      <c r="D14" s="2">
        <f t="shared" si="0"/>
        <v>96.690999999999974</v>
      </c>
      <c r="E14" s="2">
        <f t="shared" si="0"/>
        <v>96.453000000000017</v>
      </c>
      <c r="F14" s="2">
        <f t="shared" si="0"/>
        <v>97.014999999999986</v>
      </c>
      <c r="G14" s="2">
        <f t="shared" si="0"/>
        <v>98.077999999999989</v>
      </c>
    </row>
  </sheetData>
  <phoneticPr fontId="2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B1" sqref="B1:I13"/>
    </sheetView>
  </sheetViews>
  <sheetFormatPr baseColWidth="10" defaultRowHeight="13"/>
  <cols>
    <col min="1" max="9" width="11" style="2" customWidth="1"/>
  </cols>
  <sheetData>
    <row r="1" spans="1:9">
      <c r="B1" s="2" t="s">
        <v>83</v>
      </c>
      <c r="C1" s="2" t="s">
        <v>83</v>
      </c>
      <c r="D1" s="2" t="s">
        <v>83</v>
      </c>
      <c r="E1" s="2" t="s">
        <v>83</v>
      </c>
      <c r="F1" s="2" t="s">
        <v>83</v>
      </c>
      <c r="G1" s="2" t="s">
        <v>83</v>
      </c>
      <c r="H1" s="2" t="s">
        <v>83</v>
      </c>
      <c r="I1" s="2" t="s">
        <v>83</v>
      </c>
    </row>
    <row r="2" spans="1:9">
      <c r="B2" s="2" t="s">
        <v>84</v>
      </c>
      <c r="C2" s="2" t="s">
        <v>84</v>
      </c>
      <c r="D2" s="2" t="s">
        <v>84</v>
      </c>
      <c r="E2" s="2" t="s">
        <v>84</v>
      </c>
      <c r="F2" s="2" t="s">
        <v>84</v>
      </c>
      <c r="G2" s="2" t="s">
        <v>84</v>
      </c>
      <c r="H2" s="2" t="s">
        <v>84</v>
      </c>
      <c r="I2" s="2" t="s">
        <v>84</v>
      </c>
    </row>
    <row r="3" spans="1:9">
      <c r="A3" s="2" t="s">
        <v>274</v>
      </c>
      <c r="B3" s="2">
        <v>41.192999999999998</v>
      </c>
      <c r="C3" s="2">
        <v>40.161000000000001</v>
      </c>
      <c r="D3" s="2">
        <v>41.68</v>
      </c>
      <c r="E3" s="2">
        <v>40.905999999999999</v>
      </c>
      <c r="F3" s="2">
        <v>40.384</v>
      </c>
      <c r="G3" s="2">
        <v>42.213000000000001</v>
      </c>
      <c r="H3" s="2">
        <v>40.840000000000003</v>
      </c>
      <c r="I3" s="2">
        <v>41.052999999999997</v>
      </c>
    </row>
    <row r="4" spans="1:9">
      <c r="A4" s="2" t="s">
        <v>109</v>
      </c>
      <c r="B4" s="2">
        <v>3.6230000000000002</v>
      </c>
      <c r="C4" s="2">
        <v>3.5459999999999998</v>
      </c>
      <c r="D4" s="2">
        <v>3.0710000000000002</v>
      </c>
      <c r="E4" s="2">
        <v>3.8260000000000001</v>
      </c>
      <c r="F4" s="2">
        <v>3.806</v>
      </c>
      <c r="G4" s="2">
        <v>2.9260000000000002</v>
      </c>
      <c r="H4" s="2">
        <v>3.4630000000000001</v>
      </c>
      <c r="I4" s="2">
        <v>3.54</v>
      </c>
    </row>
    <row r="5" spans="1:9">
      <c r="A5" s="2" t="s">
        <v>113</v>
      </c>
      <c r="B5" s="2">
        <v>4.7E-2</v>
      </c>
      <c r="C5" s="2">
        <v>3.9E-2</v>
      </c>
      <c r="D5" s="2">
        <v>0.08</v>
      </c>
      <c r="E5" s="2">
        <v>2.9000000000000001E-2</v>
      </c>
      <c r="F5" s="2">
        <v>2.5000000000000001E-2</v>
      </c>
      <c r="G5" s="2">
        <v>0</v>
      </c>
      <c r="H5" s="2">
        <v>7.1999999999999995E-2</v>
      </c>
      <c r="I5" s="2">
        <v>0.21199999999999999</v>
      </c>
    </row>
    <row r="6" spans="1:9">
      <c r="A6" s="2" t="s">
        <v>105</v>
      </c>
      <c r="B6" s="2">
        <v>14.561999999999999</v>
      </c>
      <c r="C6" s="2">
        <v>14.477</v>
      </c>
      <c r="D6" s="2">
        <v>13.512</v>
      </c>
      <c r="E6" s="2">
        <v>14.615</v>
      </c>
      <c r="F6" s="2">
        <v>14.324</v>
      </c>
      <c r="G6" s="2">
        <v>13.414999999999999</v>
      </c>
      <c r="H6" s="2">
        <v>14.602</v>
      </c>
      <c r="I6" s="2">
        <v>14.712999999999999</v>
      </c>
    </row>
    <row r="7" spans="1:9">
      <c r="A7" s="2" t="s">
        <v>104</v>
      </c>
      <c r="B7" s="2">
        <v>9.08</v>
      </c>
      <c r="C7" s="2">
        <v>9.0429999999999993</v>
      </c>
      <c r="D7" s="2">
        <v>9.6319999999999997</v>
      </c>
      <c r="E7" s="2">
        <v>9.1310000000000002</v>
      </c>
      <c r="F7" s="2">
        <v>9.4160000000000004</v>
      </c>
      <c r="G7" s="2">
        <v>9.6370000000000005</v>
      </c>
      <c r="H7" s="2">
        <v>9.1579999999999995</v>
      </c>
      <c r="I7" s="2">
        <v>9.234</v>
      </c>
    </row>
    <row r="8" spans="1:9">
      <c r="A8" s="2" t="s">
        <v>107</v>
      </c>
      <c r="B8" s="2">
        <v>9.2999999999999999E-2</v>
      </c>
      <c r="C8" s="2">
        <v>0.10299999999999999</v>
      </c>
      <c r="D8" s="2">
        <v>9.9000000000000005E-2</v>
      </c>
      <c r="E8" s="2">
        <v>8.4000000000000005E-2</v>
      </c>
      <c r="F8" s="2">
        <v>0.186</v>
      </c>
      <c r="G8" s="2">
        <v>0.13700000000000001</v>
      </c>
      <c r="H8" s="2">
        <v>0.13300000000000001</v>
      </c>
      <c r="I8" s="2">
        <v>0.19500000000000001</v>
      </c>
    </row>
    <row r="9" spans="1:9">
      <c r="A9" s="2" t="s">
        <v>114</v>
      </c>
      <c r="B9" s="2">
        <v>0</v>
      </c>
      <c r="C9" s="2">
        <v>2.5000000000000001E-2</v>
      </c>
      <c r="D9" s="2">
        <v>0.13600000000000001</v>
      </c>
      <c r="E9" s="2">
        <v>0.12</v>
      </c>
      <c r="F9" s="2">
        <v>3.9E-2</v>
      </c>
      <c r="G9" s="2">
        <v>0.104</v>
      </c>
      <c r="H9" s="2">
        <v>0</v>
      </c>
      <c r="I9" s="2">
        <v>1.7999999999999999E-2</v>
      </c>
    </row>
    <row r="10" spans="1:9">
      <c r="A10" s="2" t="s">
        <v>106</v>
      </c>
      <c r="B10" s="2">
        <v>14.404</v>
      </c>
      <c r="C10" s="2">
        <v>14.372</v>
      </c>
      <c r="D10" s="2">
        <v>14.613</v>
      </c>
      <c r="E10" s="2">
        <v>14.442</v>
      </c>
      <c r="F10" s="2">
        <v>14.013999999999999</v>
      </c>
      <c r="G10" s="2">
        <v>14.827</v>
      </c>
      <c r="H10" s="2">
        <v>14.512</v>
      </c>
      <c r="I10" s="2">
        <v>14.548</v>
      </c>
    </row>
    <row r="11" spans="1:9">
      <c r="A11" s="2" t="s">
        <v>108</v>
      </c>
      <c r="B11" s="2">
        <v>11.353</v>
      </c>
      <c r="C11" s="2">
        <v>11.568</v>
      </c>
      <c r="D11" s="2">
        <v>10.968</v>
      </c>
      <c r="E11" s="2">
        <v>11.445</v>
      </c>
      <c r="F11" s="2">
        <v>11.487</v>
      </c>
      <c r="G11" s="2">
        <v>11.013999999999999</v>
      </c>
      <c r="H11" s="2">
        <v>11.366</v>
      </c>
      <c r="I11" s="2">
        <v>11.324999999999999</v>
      </c>
    </row>
    <row r="12" spans="1:9">
      <c r="A12" s="2" t="s">
        <v>103</v>
      </c>
      <c r="B12" s="2">
        <v>2.5680000000000001</v>
      </c>
      <c r="C12" s="2">
        <v>2.5209999999999999</v>
      </c>
      <c r="D12" s="2">
        <v>2.5539999999999998</v>
      </c>
      <c r="E12" s="2">
        <v>2.5840000000000001</v>
      </c>
      <c r="F12" s="2">
        <v>2.4449999999999998</v>
      </c>
      <c r="G12" s="2">
        <v>2.5680000000000001</v>
      </c>
      <c r="H12" s="2">
        <v>2.5310000000000001</v>
      </c>
      <c r="I12" s="2">
        <v>2.5289999999999999</v>
      </c>
    </row>
    <row r="13" spans="1:9">
      <c r="A13" s="2" t="s">
        <v>273</v>
      </c>
      <c r="B13" s="2">
        <v>1.371</v>
      </c>
      <c r="C13" s="2">
        <v>1.4359999999999999</v>
      </c>
      <c r="D13" s="2">
        <v>1.5980000000000001</v>
      </c>
      <c r="E13" s="2">
        <v>1.3120000000000001</v>
      </c>
      <c r="F13" s="2">
        <v>1.3660000000000001</v>
      </c>
      <c r="G13" s="2">
        <v>1.571</v>
      </c>
      <c r="H13" s="2">
        <v>1.403</v>
      </c>
      <c r="I13" s="2">
        <v>1.431</v>
      </c>
    </row>
    <row r="14" spans="1:9">
      <c r="A14" s="2" t="s">
        <v>85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s="2" t="s">
        <v>86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2:9">
      <c r="B17" s="2">
        <f t="shared" ref="B17:I17" si="0">SUM(B3:B13)</f>
        <v>98.293999999999983</v>
      </c>
      <c r="C17" s="2">
        <f t="shared" si="0"/>
        <v>97.290999999999997</v>
      </c>
      <c r="D17" s="2">
        <f t="shared" si="0"/>
        <v>97.942999999999998</v>
      </c>
      <c r="E17" s="2">
        <f t="shared" si="0"/>
        <v>98.494000000000014</v>
      </c>
      <c r="F17" s="2">
        <f t="shared" si="0"/>
        <v>97.49199999999999</v>
      </c>
      <c r="G17" s="2">
        <f t="shared" si="0"/>
        <v>98.411999999999992</v>
      </c>
      <c r="H17" s="2">
        <f t="shared" si="0"/>
        <v>98.080000000000013</v>
      </c>
      <c r="I17" s="2">
        <f t="shared" si="0"/>
        <v>98.797999999999988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Input</vt:lpstr>
      <vt:lpstr>NAMP</vt:lpstr>
      <vt:lpstr>CAMP</vt:lpstr>
      <vt:lpstr>KAMP</vt:lpstr>
      <vt:lpstr>RAMP</vt:lpstr>
      <vt:lpstr>AN</vt:lpstr>
      <vt:lpstr>pu378 amp</vt:lpstr>
      <vt:lpstr>pu380 amp</vt:lpstr>
    </vt:vector>
  </TitlesOfParts>
  <Company>IMP ETHz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Ulmer</dc:creator>
  <cp:lastModifiedBy>Utilisateur Microsoft Office</cp:lastModifiedBy>
  <cp:lastPrinted>2004-02-09T12:47:08Z</cp:lastPrinted>
  <dcterms:created xsi:type="dcterms:W3CDTF">2003-12-08T09:51:19Z</dcterms:created>
  <dcterms:modified xsi:type="dcterms:W3CDTF">2023-02-15T04:53:28Z</dcterms:modified>
</cp:coreProperties>
</file>